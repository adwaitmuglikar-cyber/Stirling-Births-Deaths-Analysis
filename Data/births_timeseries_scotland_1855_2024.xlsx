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7a966f7f2d2c2ebe/Documents/GitHub/Stirling Birth ^0 Mortality Project/Raw Data/"/>
    </mc:Choice>
  </mc:AlternateContent>
  <xr:revisionPtr revIDLastSave="5" documentId="13_ncr:1_{F137BE8D-298C-40FC-AAA3-90162E803536}" xr6:coauthVersionLast="47" xr6:coauthVersionMax="47" xr10:uidLastSave="{946F4FBD-0EB0-4C93-918F-89C1FAD8A789}"/>
  <bookViews>
    <workbookView xWindow="-108" yWindow="-108" windowWidth="23256" windowHeight="13896" firstSheet="3" activeTab="6" xr2:uid="{00000000-000D-0000-FFFF-FFFF00000000}"/>
  </bookViews>
  <sheets>
    <sheet name="Cover" sheetId="1" r:id="rId1"/>
    <sheet name="Contents" sheetId="2" r:id="rId2"/>
    <sheet name="Notes" sheetId="3" r:id="rId3"/>
    <sheet name="Table_1" sheetId="4" r:id="rId4"/>
    <sheet name="Table_2" sheetId="5" r:id="rId5"/>
    <sheet name="Table_3" sheetId="6" r:id="rId6"/>
    <sheet name="Number of births by sex, year a" sheetId="7" r:id="rId7"/>
    <sheet name="Table_5" sheetId="8" r:id="rId8"/>
    <sheet name="Number of births by council are" sheetId="9" r:id="rId9"/>
    <sheet name="Table_7" sheetId="10" r:id="rId10"/>
    <sheet name="Table_8" sheetId="11" r:id="rId11"/>
    <sheet name="Table_9" sheetId="12" r:id="rId12"/>
    <sheet name="Table_10" sheetId="13" r:id="rId13"/>
    <sheet name="Table_11" sheetId="14" r:id="rId14"/>
    <sheet name="Table_12" sheetId="15" r:id="rId15"/>
    <sheet name="Table_13" sheetId="16" r:id="rId16"/>
    <sheet name="Table_14" sheetId="17"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3" l="1"/>
  <c r="A4" i="17"/>
  <c r="A3" i="16"/>
  <c r="A3" i="15"/>
  <c r="A4" i="14"/>
  <c r="A4" i="13"/>
  <c r="A4" i="12"/>
  <c r="A4" i="11"/>
  <c r="A3" i="10"/>
  <c r="A3" i="9"/>
  <c r="A3" i="8"/>
  <c r="A3" i="6"/>
  <c r="A4" i="5"/>
  <c r="A3" i="4"/>
  <c r="A18" i="2"/>
  <c r="A17" i="2"/>
  <c r="A16" i="2"/>
  <c r="A15" i="2"/>
  <c r="A14" i="2"/>
  <c r="A13" i="2"/>
  <c r="A12" i="2"/>
  <c r="A11" i="2"/>
  <c r="A10" i="2"/>
  <c r="A9" i="2"/>
  <c r="A8" i="2"/>
  <c r="A7" i="2"/>
  <c r="A6" i="2"/>
  <c r="A5" i="2"/>
  <c r="A4" i="2"/>
</calcChain>
</file>

<file path=xl/sharedStrings.xml><?xml version="1.0" encoding="utf-8"?>
<sst xmlns="http://schemas.openxmlformats.org/spreadsheetml/2006/main" count="7924" uniqueCount="340">
  <si>
    <t>Vital events, Births time series, Scotland, 2024</t>
  </si>
  <si>
    <t>About this Spreadsheet</t>
  </si>
  <si>
    <t>This spreadsheet contains a contents sheet, notes sheet and 14 tables.</t>
  </si>
  <si>
    <t>Tables contain information on births, re-registrations, fertility rates and birth rates in Scotland broken down by sex, council area, NHS board, age of mother and month of registration.</t>
  </si>
  <si>
    <t>This workbook is part of the Births - Time Series Data Publication (webpage)</t>
  </si>
  <si>
    <t>Date of Publication</t>
  </si>
  <si>
    <t>These statistics were published at 09:30 on 26 August 2025</t>
  </si>
  <si>
    <t>Next update: Summer 2026</t>
  </si>
  <si>
    <t>Time period</t>
  </si>
  <si>
    <t>1855 to 2024</t>
  </si>
  <si>
    <t>Geographic coverage</t>
  </si>
  <si>
    <t>Scotland</t>
  </si>
  <si>
    <t>Notes</t>
  </si>
  <si>
    <t>These statistics are based on the date that events were registered, unless specified otherwise.</t>
  </si>
  <si>
    <t>Some tables refer to notes. When notes are mentioned, a note marker is presented in square brackets. The note text can be found in the notes sheet.</t>
  </si>
  <si>
    <t>The monthly number of registrations shown for 2020 does not reflect the actual number of births in many of those months. During the second half of March 2020 most registration offices closed due to the Covid-19 pandemic and most birth registrations were postponed. During late June 2020, registration of births restarted.</t>
  </si>
  <si>
    <t>For more detailed notes, see the General, Reference tables, and Births Background Information sections on our website (webpage)</t>
  </si>
  <si>
    <t>Supplier</t>
  </si>
  <si>
    <t>National Records of Scotland (NRS), Demographic Statistics, Vital Events Branch</t>
  </si>
  <si>
    <t>Symbols used within the tables</t>
  </si>
  <si>
    <t>Some tables in this spreadsheet have cells with no data. When this is the case the cells are marked up with shorthand: [x] for not available, [c] for confidential and [z] for not applicable’.</t>
  </si>
  <si>
    <t>Feedback</t>
  </si>
  <si>
    <t>It is important that National Records of Scotland ensures that these statistics meet the needs of the people who use them. National Records of Scotland would appreciate feedback on the uses and usefulness of the information provided.</t>
  </si>
  <si>
    <t>Contact Information</t>
  </si>
  <si>
    <t>For feedback and statistics enquiries, please contact statisticscustomerservices@nrscotland.gov.uk</t>
  </si>
  <si>
    <t>For media enquiries, please contact communications@nrscotland.gov.uk</t>
  </si>
  <si>
    <t>Copyright and reproduction</t>
  </si>
  <si>
    <t>© Crown copyright 2025</t>
  </si>
  <si>
    <t>Table of Contents</t>
  </si>
  <si>
    <t>This worksheet contains one table.</t>
  </si>
  <si>
    <t>Sheet name</t>
  </si>
  <si>
    <t>Sheet title</t>
  </si>
  <si>
    <t>Number of births by sex, Scotland, 1855 to 2024</t>
  </si>
  <si>
    <t>Number of Births by mother's age, Scotland, 1945 to 2024</t>
  </si>
  <si>
    <t>Number of births by sex, year and council area, 1991 to 2024</t>
  </si>
  <si>
    <t>Number of births by sex, year and post-April 2014 NHS Board area, 1991 to 2024</t>
  </si>
  <si>
    <t>Number of births by council area, year and mother’s age, 1991 to 2024</t>
  </si>
  <si>
    <t>Number of births by post-April 2014 NHS Board area, year and mother’s age 1991 to 2024</t>
  </si>
  <si>
    <t>Birth and fertility rates by post-April 2014 NHS Board area, 1991 to 2024</t>
  </si>
  <si>
    <t>Age-specific fertility rates by Council area, Scotland, 1991 to 2024</t>
  </si>
  <si>
    <t>Age-specific fertility rates by post-April 2014 NHS Board area, Scotland, 1991 to 2024</t>
  </si>
  <si>
    <t>Number of births by Council area and sex, Scotland, 1997 to 2024</t>
  </si>
  <si>
    <t>Number of births by pre-April 2006 NHS board area and sex, Scotland, 1997 to 2006</t>
  </si>
  <si>
    <t>Note Number</t>
  </si>
  <si>
    <t>Note text</t>
  </si>
  <si>
    <t>Relevant Tables</t>
  </si>
  <si>
    <t>[note 1]</t>
  </si>
  <si>
    <t>The crude birth rate is the number of live births per 1,000 population, where the population is the total population including men, women and children.</t>
  </si>
  <si>
    <t>Table 8, Table 9</t>
  </si>
  <si>
    <t>[note 2]</t>
  </si>
  <si>
    <t>The standardised birth rate per 1,000 population is based on the age and sex-specific rates for Scotland as a whole. It is calculated by multiplying the overall rate for the standard population by the ratio of the area's actual number to its expected number. For example, if the actual number is 10 percent more than the expected number, the standardised rate will be 10 percent more than the overall rate for the standard population.</t>
  </si>
  <si>
    <t>[note 3]</t>
  </si>
  <si>
    <t>The General Fertility Rate is the number of live births per 1,000 women of child-bearing age. For the purpose of calculating the rate, ‘child-bearing age’ is taken as ages 15-44, inclusive.</t>
  </si>
  <si>
    <t>[note 4]</t>
  </si>
  <si>
    <t>The Total Fertility Rate is the average number of children per woman that would be born to a cohort of women who experienced, throughout their childbearing years, the fertility rates of the calendar year in question. It is calculated by summing the age-specific fertility rates for each year of age in that calendar year.</t>
  </si>
  <si>
    <t>[note 5]</t>
  </si>
  <si>
    <t>The Age-specific fertility rate is the number of live births per 1,000 women of a specific age in a specified period. For example, the age-specific fertility rate for 25-29  year old women in 2008 is calculated by dividing the number of births in 2008 to  women aged 25-29 by the estimated population of women of that age in that year.</t>
  </si>
  <si>
    <t>Table 10, Table 11</t>
  </si>
  <si>
    <t>[note 6]</t>
  </si>
  <si>
    <t>Rates for the "15 to 19" and "40 to 44" age-groups are calculated by including, in the numerator, any births to mothers who were aged under 15 or were aged 45 and over, respectively. The denominators for those rates are just the total numbers of women aged 15-19 and 40-44 in the population of Scotland. These figures do not include any births for which the mother's age was not known.</t>
  </si>
  <si>
    <t>[note 7]</t>
  </si>
  <si>
    <t>The statistics for each Health Board area are based on the boundaries that came into effect on 1 April 2014.</t>
  </si>
  <si>
    <t>Table 5, Table 7, Table 9, Table 11</t>
  </si>
  <si>
    <t>[note 8]</t>
  </si>
  <si>
    <t>Table includes a combination of 5 year averages and single year figures</t>
  </si>
  <si>
    <t>Table 14</t>
  </si>
  <si>
    <t>[note 9]</t>
  </si>
  <si>
    <t>In some cases, fertility rates for 1995 to 2010 may differ slightly from previous publications due to a change in rounding methodology.</t>
  </si>
  <si>
    <t>Table BT.01: Number of Births by sex, Scotland, 1855 to 2024</t>
  </si>
  <si>
    <t>Year</t>
  </si>
  <si>
    <t>Persons</t>
  </si>
  <si>
    <t>Males</t>
  </si>
  <si>
    <t>Females</t>
  </si>
  <si>
    <t>Table BT.02 : Number of Births by mother's age, Scotland, 1945 to 2024</t>
  </si>
  <si>
    <t>[x] is used to indicate where data is not available.</t>
  </si>
  <si>
    <t>Age of mother</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</si>
  <si>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</si>
  <si>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</si>
  <si>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</si>
  <si>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</si>
  <si>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</si>
  <si>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</si>
  <si>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</si>
  <si>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</si>
  <si>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</si>
  <si>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</si>
  <si>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</si>
  <si>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</si>
  <si>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</si>
  <si>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</si>
  <si>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</si>
  <si>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</si>
  <si>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</si>
  <si>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</si>
  <si>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</si>
  <si>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</si>
  <si>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</si>
  <si>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</si>
  <si>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</si>
  <si>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</si>
  <si>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</si>
  <si>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</si>
  <si>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</si>
  <si>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</si>
  <si>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</si>
  <si>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</si>
  <si>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</si>
  <si>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</si>
  <si>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</si>
  <si>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</si>
  <si>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</si>
  <si>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</si>
  <si>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</si>
  <si>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</si>
  <si>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</si>
  <si>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</si>
  <si>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</si>
  <si>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</si>
  <si>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</si>
  <si>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</si>
  <si>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</si>
  <si>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</si>
  <si>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</si>
  <si>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</si>
  <si>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</si>
  <si>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</si>
  <si>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</si>
  <si>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</si>
  <si>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</si>
  <si>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</si>
  <si>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</si>
  <si>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</si>
  <si>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</si>
  <si>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</si>
  <si>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</si>
  <si>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</si>
  <si>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</si>
  <si>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</si>
  <si>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</si>
  <si>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</si>
  <si>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</si>
  <si>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</si>
  <si>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</si>
  <si>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</si>
  <si>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</si>
  <si>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</si>
  <si>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</si>
  <si>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</si>
  <si>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</si>
  <si>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</si>
  <si>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</si>
  <si>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</si>
  <si>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</si>
  <si>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</si>
  <si>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</si>
  <si>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</si>
  <si>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under 16</t>
  </si>
  <si>
    <t>12</t>
  </si>
  <si>
    <t>13</t>
  </si>
  <si>
    <t>14</t>
  </si>
  <si>
    <t>15</t>
  </si>
  <si>
    <t>16</t>
  </si>
  <si>
    <t>17</t>
  </si>
  <si>
    <t>18</t>
  </si>
  <si>
    <t>19</t>
  </si>
  <si>
    <t>under 20</t>
  </si>
  <si>
    <t>20</t>
  </si>
  <si>
    <t>21</t>
  </si>
  <si>
    <t>22</t>
  </si>
  <si>
    <t>23</t>
  </si>
  <si>
    <t>24</t>
  </si>
  <si>
    <t>20 to 24</t>
  </si>
  <si>
    <t>25</t>
  </si>
  <si>
    <t>26</t>
  </si>
  <si>
    <t>27</t>
  </si>
  <si>
    <t>28</t>
  </si>
  <si>
    <t>29</t>
  </si>
  <si>
    <t>25 to 29</t>
  </si>
  <si>
    <t>30</t>
  </si>
  <si>
    <t>31</t>
  </si>
  <si>
    <t>32</t>
  </si>
  <si>
    <t>33</t>
  </si>
  <si>
    <t>34</t>
  </si>
  <si>
    <t>30 to 34</t>
  </si>
  <si>
    <t>35</t>
  </si>
  <si>
    <t>36</t>
  </si>
  <si>
    <t>37</t>
  </si>
  <si>
    <t>38</t>
  </si>
  <si>
    <t>39</t>
  </si>
  <si>
    <t>35 to 39</t>
  </si>
  <si>
    <t>40</t>
  </si>
  <si>
    <t>41</t>
  </si>
  <si>
    <t>42</t>
  </si>
  <si>
    <t>43</t>
  </si>
  <si>
    <t>44</t>
  </si>
  <si>
    <t>40 to 44</t>
  </si>
  <si>
    <t>45</t>
  </si>
  <si>
    <t>46</t>
  </si>
  <si>
    <t>47</t>
  </si>
  <si>
    <t>48</t>
  </si>
  <si>
    <t>49</t>
  </si>
  <si>
    <t>45 to 49</t>
  </si>
  <si>
    <t>50</t>
  </si>
  <si>
    <t>51</t>
  </si>
  <si>
    <t>52</t>
  </si>
  <si>
    <t>53</t>
  </si>
  <si>
    <t>54</t>
  </si>
  <si>
    <t>55</t>
  </si>
  <si>
    <t>56</t>
  </si>
  <si>
    <t>50 and over</t>
  </si>
  <si>
    <t>Not stated</t>
  </si>
  <si>
    <t>All</t>
  </si>
  <si>
    <t>Total</t>
  </si>
  <si>
    <t>January</t>
  </si>
  <si>
    <t>February</t>
  </si>
  <si>
    <t>March</t>
  </si>
  <si>
    <t>April</t>
  </si>
  <si>
    <t>May</t>
  </si>
  <si>
    <t>June</t>
  </si>
  <si>
    <t>July</t>
  </si>
  <si>
    <t>August</t>
  </si>
  <si>
    <t>September</t>
  </si>
  <si>
    <t>October</t>
  </si>
  <si>
    <t>November</t>
  </si>
  <si>
    <t>December</t>
  </si>
  <si>
    <t>2020 [Note 1]</t>
  </si>
  <si>
    <t>Area Name</t>
  </si>
  <si>
    <t>Aberdeen City</t>
  </si>
  <si>
    <t>Aberdeenshire</t>
  </si>
  <si>
    <t>Angus</t>
  </si>
  <si>
    <t>Argyll and Bute</t>
  </si>
  <si>
    <t>City of Edinburgh</t>
  </si>
  <si>
    <t>Clackmannanshire</t>
  </si>
  <si>
    <t>Dumfries and Galloway</t>
  </si>
  <si>
    <t>Dundee City</t>
  </si>
  <si>
    <t>East Ayrshire</t>
  </si>
  <si>
    <t>East Dunbartonshire</t>
  </si>
  <si>
    <t>East Lothian</t>
  </si>
  <si>
    <t>East Renfrewshire</t>
  </si>
  <si>
    <t>Falkirk</t>
  </si>
  <si>
    <t>Fife</t>
  </si>
  <si>
    <t>Glasgow City</t>
  </si>
  <si>
    <t>Highland</t>
  </si>
  <si>
    <t>Inverclyde</t>
  </si>
  <si>
    <t>Midlothian</t>
  </si>
  <si>
    <t>Moray</t>
  </si>
  <si>
    <t>Na h Eileanan Siar</t>
  </si>
  <si>
    <t>North Ayrshire</t>
  </si>
  <si>
    <t>North Lanarkshire</t>
  </si>
  <si>
    <t>Orkney Islands</t>
  </si>
  <si>
    <t>Perth and Kinross</t>
  </si>
  <si>
    <t>Renfrewshire</t>
  </si>
  <si>
    <t>Scottish Borders</t>
  </si>
  <si>
    <t>Shetland Islands</t>
  </si>
  <si>
    <t>South Ayrshire</t>
  </si>
  <si>
    <t>South Lanarkshire</t>
  </si>
  <si>
    <t>Stirling</t>
  </si>
  <si>
    <t>West Dunbartonshire</t>
  </si>
  <si>
    <t>West Lothian</t>
  </si>
  <si>
    <t>Table BT.05: Number of births by sex, year and post-April 2014 NHS Board area, 1991 to 2024  [note 7]</t>
  </si>
  <si>
    <t>Ayrshire and Arran</t>
  </si>
  <si>
    <t>Borders</t>
  </si>
  <si>
    <t>Forth Valley</t>
  </si>
  <si>
    <t>Grampian</t>
  </si>
  <si>
    <t>Greater Glasgow and Clyde</t>
  </si>
  <si>
    <t>Lanarkshire</t>
  </si>
  <si>
    <t>Lothian</t>
  </si>
  <si>
    <t>Orkney</t>
  </si>
  <si>
    <t>Shetland</t>
  </si>
  <si>
    <t>Tayside</t>
  </si>
  <si>
    <t>Western Isles</t>
  </si>
  <si>
    <t>Table BT.06 Number of births by council area, year and mother’s age, 1991 to 2024</t>
  </si>
  <si>
    <t>All ages</t>
  </si>
  <si>
    <t>Not Stated</t>
  </si>
  <si>
    <t>0 up to 19</t>
  </si>
  <si>
    <t>40 and over</t>
  </si>
  <si>
    <t>Table BT.07 Number of births by post-April 2014 NHS Board area, year and mother’s age 1991 to 2024 [note 7]</t>
  </si>
  <si>
    <t>Table BT.08: Birth and fertility rates by Council area 1991 to 2024</t>
  </si>
  <si>
    <t>This table contains notes, which can be found in the Notes worksheet.</t>
  </si>
  <si>
    <t>Area name</t>
  </si>
  <si>
    <t>Overall birth rate [Note 1]</t>
  </si>
  <si>
    <t>Standardised birth rate [Note 2]</t>
  </si>
  <si>
    <t>Na h-Eileanan Siar</t>
  </si>
  <si>
    <t>Table BT.09: Birth and fertility rates by post-April 2014 NHS Board area, 1991 to 2024 [note 7]</t>
  </si>
  <si>
    <t>Overall birth rate [note 1]</t>
  </si>
  <si>
    <t>Standardised birth rate [note 2]</t>
  </si>
  <si>
    <t>Table BT.10: Age-specific fertility rates by Council area, Scotland, 1991 to 2024 [note 5]</t>
  </si>
  <si>
    <t>15 to 19 years [note 6]</t>
  </si>
  <si>
    <t>20 to 24 years</t>
  </si>
  <si>
    <t>25 to 29 years</t>
  </si>
  <si>
    <t>30 to 34 years</t>
  </si>
  <si>
    <t>35 to 39 years</t>
  </si>
  <si>
    <t>40 to 44 years [note 6]</t>
  </si>
  <si>
    <t>Table BT.11: Age-specific fertility rates by post-April 2014 NHS Board area, Scotland, 1991 to 2024 [note 5] [note 7]</t>
  </si>
  <si>
    <t>Table BT.12: Number of births by Council area and sex, Scotland, 1997 to 2024</t>
  </si>
  <si>
    <t>Table BT.13: Number of births by pre-April 2006 NHS board area and sex, Scotland, 1997 to 2006</t>
  </si>
  <si>
    <t>Area</t>
  </si>
  <si>
    <t>Argyll  and Clyde</t>
  </si>
  <si>
    <t>Greater Glasgow</t>
  </si>
  <si>
    <t>Table BT.14: Number of birth re-registration, Scotland, 1935 to 2024</t>
  </si>
  <si>
    <t>Period type [note 8]</t>
  </si>
  <si>
    <t>Number of re-registrations</t>
  </si>
  <si>
    <t>1936 to 1940</t>
  </si>
  <si>
    <t>5 year average</t>
  </si>
  <si>
    <t>1941 to 1945</t>
  </si>
  <si>
    <t>1946 to 1950</t>
  </si>
  <si>
    <t>1951 to 1955</t>
  </si>
  <si>
    <t>1956 to 1960</t>
  </si>
  <si>
    <t>1961 to 1965</t>
  </si>
  <si>
    <t>1966 to 1970</t>
  </si>
  <si>
    <t>1971 to 1975</t>
  </si>
  <si>
    <t>1976 to 1980</t>
  </si>
  <si>
    <t>1981 to 1985</t>
  </si>
  <si>
    <t>1986 to 1990</t>
  </si>
  <si>
    <t>1991 to 1995</t>
  </si>
  <si>
    <t>1996 to 2000</t>
  </si>
  <si>
    <t>2001 to 2005</t>
  </si>
  <si>
    <t>2006 to 2010</t>
  </si>
  <si>
    <t>2011 to 2015</t>
  </si>
  <si>
    <t>2016 to 2020</t>
  </si>
  <si>
    <t>1935</t>
  </si>
  <si>
    <t>Single year</t>
  </si>
  <si>
    <t>1936</t>
  </si>
  <si>
    <t>1937</t>
  </si>
  <si>
    <t>1938</t>
  </si>
  <si>
    <t>1939</t>
  </si>
  <si>
    <t>1940</t>
  </si>
  <si>
    <t>1941</t>
  </si>
  <si>
    <t>1942</t>
  </si>
  <si>
    <t>1943</t>
  </si>
  <si>
    <t>1944</t>
  </si>
  <si>
    <t>[x]</t>
  </si>
  <si>
    <t>Table BT.03: Number of births registered by month of registration, Scotland, 1954 to 2024</t>
  </si>
  <si>
    <t>Number of births registered by month of registration, Scotland, 1954 to 2024</t>
  </si>
  <si>
    <t>General Fertility Rate [Note 3] [note 9]</t>
  </si>
  <si>
    <t>Total Fertility Rate [Note 4] [note 9]</t>
  </si>
  <si>
    <t>General Fertility Rate [note 3] [note 9]</t>
  </si>
  <si>
    <t>Total Ferility Rate [note 4] [note 9]</t>
  </si>
  <si>
    <t>Number of birth re-registrations, Scotland, 1935 to 2024</t>
  </si>
  <si>
    <t>Birth and fertility rates by Council area, 1991 to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</si>
</sst>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2"/>
      <color rgb="FF000000"/>
      <name val="Arial"/>
    </font>
    <font>
      <u/>
      <sz val="12"/>
      <color theme="10"/>
      <name val="Arial"/>
    </font>
    <font>
      <b/>
      <sz val="16"/>
      <color rgb="FF000000"/>
      <name val="Arial"/>
    </font>
    <font>
      <b/>
      <sz val="14"/>
      <color rgb="FF000000"/>
      <name val="Arial"/>
    </font>
    <font>
      <b/>
      <sz val="12"/>
      <color rgb="FF000000"/>
      <name val="Arial"/>
    </font>
    <font>
      <u/>
      <sz val="12"/>
      <color theme="10"/>
      <name val="Arial"/>
    </font>
  </fonts>
  <fills count="2">
    <fill>
      <patternFill patternType="none"/>
    </fill>
    <fill>
      <patternFill patternType="gray125"/>
    </fill>
  </fills>
  <borders count="1">
    <border>
      <left/>
      <right/>
      <top/>
      <bottom/>
      <diagonal/>
    </border>
  </borders>
  <cellStyleXfs count="1">
    <xf numFmtId="0" fontId="0" fillId="0" borderId="0"/>
  </cellStyleXfs>
  <cellXfs count="19">
    <xf numFmtId="0" fontId="0" fillId="0" borderId="0" xfId="0"/>
    <xf numFmtId="0" fontId="1" fillId="0" borderId="0" xfId="0" applyFont="1" applyAlignment="1">
      <alignment wrapText="1"/>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xf numFmtId="0" fontId="0" fillId="0" borderId="0" xfId="0" applyAlignment="1">
      <alignment horizontal="left" wrapText="1"/>
    </xf>
    <xf numFmtId="0" fontId="4" fillId="0" borderId="0" xfId="0" applyFont="1" applyAlignment="1">
      <alignment horizontal="left" wrapText="1"/>
    </xf>
    <xf numFmtId="0" fontId="0" fillId="0" borderId="0" xfId="0" applyAlignment="1">
      <alignment horizontal="right" wrapText="1"/>
    </xf>
    <xf numFmtId="0" fontId="4" fillId="0" borderId="0" xfId="0" applyFont="1" applyAlignment="1">
      <alignment horizontal="right" wrapText="1"/>
    </xf>
    <xf numFmtId="49" fontId="4" fillId="0" borderId="0" xfId="0" applyNumberFormat="1" applyFont="1" applyAlignment="1">
      <alignment horizontal="left" wrapText="1"/>
    </xf>
    <xf numFmtId="49" fontId="0" fillId="0" borderId="0" xfId="0" applyNumberFormat="1" applyAlignment="1">
      <alignment horizontal="left" wrapText="1"/>
    </xf>
    <xf numFmtId="3" fontId="4" fillId="0" borderId="0" xfId="0" applyNumberFormat="1" applyFont="1" applyAlignment="1">
      <alignment horizontal="right" wrapText="1"/>
    </xf>
    <xf numFmtId="3" fontId="0" fillId="0" borderId="0" xfId="0" applyNumberFormat="1" applyAlignment="1">
      <alignment horizontal="right" wrapText="1"/>
    </xf>
    <xf numFmtId="4" fontId="4" fillId="0" borderId="0" xfId="0" applyNumberFormat="1" applyFont="1" applyAlignment="1">
      <alignment horizontal="right" wrapText="1"/>
    </xf>
    <xf numFmtId="4" fontId="0" fillId="0" borderId="0" xfId="0" applyNumberFormat="1" applyAlignment="1">
      <alignment horizontal="right" wrapText="1"/>
    </xf>
    <xf numFmtId="0" fontId="5" fillId="0" borderId="0" xfId="0" applyFont="1"/>
    <xf numFmtId="0" fontId="5" fillId="0" borderId="0" xfId="0" applyFont="1" applyAlignment="1">
      <alignment horizontal="left" wrapText="1"/>
    </xf>
    <xf numFmtId="164" fontId="0" fillId="0" borderId="0" xfId="0" applyNumberFormat="1" applyAlignment="1">
      <alignment horizontal="right" wrapText="1"/>
    </xf>
  </cellXfs>
  <cellStyles count="1">
    <cellStyle name="Normal" xfId="0" builtinId="0"/>
  </cellStyles>
  <dxfs count="19">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4" formatCode="#,##0.00"/>
    </dxf>
    <dxf>
      <numFmt numFmtId="164" formatCode="#,##0.0"/>
    </dxf>
    <dxf>
      <numFmt numFmtId="164" formatCode="#,##0.0"/>
    </dxf>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contents" displayName="contents" ref="A3:B18" totalsRowShown="0">
  <tableColumns count="2">
    <tableColumn id="1" xr3:uid="{00000000-0010-0000-0000-000001000000}" name="Sheet name"/>
    <tableColumn id="2" xr3:uid="{00000000-0010-0000-0000-000002000000}" name="Sheet title"/>
  </tableColumns>
  <tableStyleInfo name="none"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notes" displayName="notes" ref="A4:C13" totalsRowShown="0">
  <tableColumns count="3">
    <tableColumn id="1" xr3:uid="{00000000-0010-0000-0100-000001000000}" name="Note Number"/>
    <tableColumn id="2" xr3:uid="{00000000-0010-0000-0100-000002000000}" name="Note text"/>
    <tableColumn id="3" xr3:uid="{00000000-0010-0000-0100-000003000000}" name="Relevant Tables"/>
  </tableColumns>
  <tableStyleInfo name="none"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_1" displayName="table_1" ref="A4:D174" totalsRowShown="0">
  <tableColumns count="4">
    <tableColumn id="1" xr3:uid="{00000000-0010-0000-0200-000001000000}" name="Year"/>
    <tableColumn id="2" xr3:uid="{00000000-0010-0000-0200-000002000000}" name="Persons"/>
    <tableColumn id="3" xr3:uid="{00000000-0010-0000-0200-000003000000}" name="Males"/>
    <tableColumn id="4" xr3:uid="{00000000-0010-0000-0200-000004000000}" name="Females"/>
  </tableColumns>
  <tableStyleInfo name="none"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_2" displayName="table_2" ref="A5:CC61" totalsRowShown="0">
  <tableColumns count="81">
    <tableColumn id="1" xr3:uid="{00000000-0010-0000-0300-000001000000}" name="Age of mother"/>
    <tableColumn id="2" xr3:uid="{00000000-0010-0000-0300-000002000000}" name="1945"/>
    <tableColumn id="3" xr3:uid="{00000000-0010-0000-0300-000003000000}" name="1946"/>
    <tableColumn id="4" xr3:uid="{00000000-0010-0000-0300-000004000000}" name="1947"/>
    <tableColumn id="5" xr3:uid="{00000000-0010-0000-0300-000005000000}" name="1948"/>
    <tableColumn id="6" xr3:uid="{00000000-0010-0000-0300-000006000000}" name="1949"/>
    <tableColumn id="7" xr3:uid="{00000000-0010-0000-0300-000007000000}" name="1950"/>
    <tableColumn id="8" xr3:uid="{00000000-0010-0000-0300-000008000000}" name="1951"/>
    <tableColumn id="9" xr3:uid="{00000000-0010-0000-0300-000009000000}" name="1952"/>
    <tableColumn id="10" xr3:uid="{00000000-0010-0000-0300-00000A000000}" name="1953"/>
    <tableColumn id="11" xr3:uid="{00000000-0010-0000-0300-00000B000000}" name="1954"/>
    <tableColumn id="12" xr3:uid="{00000000-0010-0000-0300-00000C000000}" name="1955"/>
    <tableColumn id="13" xr3:uid="{00000000-0010-0000-0300-00000D000000}" name="1956"/>
    <tableColumn id="14" xr3:uid="{00000000-0010-0000-0300-00000E000000}" name="1957"/>
    <tableColumn id="15" xr3:uid="{00000000-0010-0000-0300-00000F000000}" name="1958"/>
    <tableColumn id="16" xr3:uid="{00000000-0010-0000-0300-000010000000}" name="1959"/>
    <tableColumn id="17" xr3:uid="{00000000-0010-0000-0300-000011000000}" name="1960"/>
    <tableColumn id="18" xr3:uid="{00000000-0010-0000-0300-000012000000}" name="1961"/>
    <tableColumn id="19" xr3:uid="{00000000-0010-0000-0300-000013000000}" name="1962"/>
    <tableColumn id="20" xr3:uid="{00000000-0010-0000-0300-000014000000}" name="1963"/>
    <tableColumn id="21" xr3:uid="{00000000-0010-0000-0300-000015000000}" name="1964"/>
    <tableColumn id="22" xr3:uid="{00000000-0010-0000-0300-000016000000}" name="1965"/>
    <tableColumn id="23" xr3:uid="{00000000-0010-0000-0300-000017000000}" name="1966"/>
    <tableColumn id="24" xr3:uid="{00000000-0010-0000-0300-000018000000}" name="1967"/>
    <tableColumn id="25" xr3:uid="{00000000-0010-0000-0300-000019000000}" name="1968"/>
    <tableColumn id="26" xr3:uid="{00000000-0010-0000-0300-00001A000000}" name="1969"/>
    <tableColumn id="27" xr3:uid="{00000000-0010-0000-0300-00001B000000}" name="1970"/>
    <tableColumn id="28" xr3:uid="{00000000-0010-0000-0300-00001C000000}" name="1971"/>
    <tableColumn id="29" xr3:uid="{00000000-0010-0000-0300-00001D000000}" name="1972"/>
    <tableColumn id="30" xr3:uid="{00000000-0010-0000-0300-00001E000000}" name="1973"/>
    <tableColumn id="31" xr3:uid="{00000000-0010-0000-0300-00001F000000}" name="1974"/>
    <tableColumn id="32" xr3:uid="{00000000-0010-0000-0300-000020000000}" name="1975"/>
    <tableColumn id="33" xr3:uid="{00000000-0010-0000-0300-000021000000}" name="1976"/>
    <tableColumn id="34" xr3:uid="{00000000-0010-0000-0300-000022000000}" name="1977"/>
    <tableColumn id="35" xr3:uid="{00000000-0010-0000-0300-000023000000}" name="1978"/>
    <tableColumn id="36" xr3:uid="{00000000-0010-0000-0300-000024000000}" name="1979"/>
    <tableColumn id="37" xr3:uid="{00000000-0010-0000-0300-000025000000}" name="1980"/>
    <tableColumn id="38" xr3:uid="{00000000-0010-0000-0300-000026000000}" name="1981"/>
    <tableColumn id="39" xr3:uid="{00000000-0010-0000-0300-000027000000}" name="1982"/>
    <tableColumn id="40" xr3:uid="{00000000-0010-0000-0300-000028000000}" name="1983"/>
    <tableColumn id="41" xr3:uid="{00000000-0010-0000-0300-000029000000}" name="1984"/>
    <tableColumn id="42" xr3:uid="{00000000-0010-0000-0300-00002A000000}" name="1985"/>
    <tableColumn id="43" xr3:uid="{00000000-0010-0000-0300-00002B000000}" name="1986"/>
    <tableColumn id="44" xr3:uid="{00000000-0010-0000-0300-00002C000000}" name="1987"/>
    <tableColumn id="45" xr3:uid="{00000000-0010-0000-0300-00002D000000}" name="1988"/>
    <tableColumn id="46" xr3:uid="{00000000-0010-0000-0300-00002E000000}" name="1989"/>
    <tableColumn id="47" xr3:uid="{00000000-0010-0000-0300-00002F000000}" name="1990"/>
    <tableColumn id="48" xr3:uid="{00000000-0010-0000-0300-000030000000}" name="1991"/>
    <tableColumn id="49" xr3:uid="{00000000-0010-0000-0300-000031000000}" name="1992"/>
    <tableColumn id="50" xr3:uid="{00000000-0010-0000-0300-000032000000}" name="1993"/>
    <tableColumn id="51" xr3:uid="{00000000-0010-0000-0300-000033000000}" name="1994"/>
    <tableColumn id="52" xr3:uid="{00000000-0010-0000-0300-000034000000}" name="1995"/>
    <tableColumn id="53" xr3:uid="{00000000-0010-0000-0300-000035000000}" name="1996"/>
    <tableColumn id="54" xr3:uid="{00000000-0010-0000-0300-000036000000}" name="1997"/>
    <tableColumn id="55" xr3:uid="{00000000-0010-0000-0300-000037000000}" name="1998"/>
    <tableColumn id="56" xr3:uid="{00000000-0010-0000-0300-000038000000}" name="1999"/>
    <tableColumn id="57" xr3:uid="{00000000-0010-0000-0300-000039000000}" name="2000"/>
    <tableColumn id="58" xr3:uid="{00000000-0010-0000-0300-00003A000000}" name="2001"/>
    <tableColumn id="59" xr3:uid="{00000000-0010-0000-0300-00003B000000}" name="2002"/>
    <tableColumn id="60" xr3:uid="{00000000-0010-0000-0300-00003C000000}" name="2003"/>
    <tableColumn id="61" xr3:uid="{00000000-0010-0000-0300-00003D000000}" name="2004"/>
    <tableColumn id="62" xr3:uid="{00000000-0010-0000-0300-00003E000000}" name="2005"/>
    <tableColumn id="63" xr3:uid="{00000000-0010-0000-0300-00003F000000}" name="2006"/>
    <tableColumn id="64" xr3:uid="{00000000-0010-0000-0300-000040000000}" name="2007"/>
    <tableColumn id="65" xr3:uid="{00000000-0010-0000-0300-000041000000}" name="2008"/>
    <tableColumn id="66" xr3:uid="{00000000-0010-0000-0300-000042000000}" name="2009"/>
    <tableColumn id="67" xr3:uid="{00000000-0010-0000-0300-000043000000}" name="2010"/>
    <tableColumn id="68" xr3:uid="{00000000-0010-0000-0300-000044000000}" name="2011"/>
    <tableColumn id="69" xr3:uid="{00000000-0010-0000-0300-000045000000}" name="2012"/>
    <tableColumn id="70" xr3:uid="{00000000-0010-0000-0300-000046000000}" name="2013"/>
    <tableColumn id="71" xr3:uid="{00000000-0010-0000-0300-000047000000}" name="2014"/>
    <tableColumn id="72" xr3:uid="{00000000-0010-0000-0300-000048000000}" name="2015"/>
    <tableColumn id="73" xr3:uid="{00000000-0010-0000-0300-000049000000}" name="2016"/>
    <tableColumn id="74" xr3:uid="{00000000-0010-0000-0300-00004A000000}" name="2017"/>
    <tableColumn id="75" xr3:uid="{00000000-0010-0000-0300-00004B000000}" name="2018"/>
    <tableColumn id="76" xr3:uid="{00000000-0010-0000-0300-00004C000000}" name="2019"/>
    <tableColumn id="77" xr3:uid="{00000000-0010-0000-0300-00004D000000}" name="2020"/>
    <tableColumn id="78" xr3:uid="{00000000-0010-0000-0300-00004E000000}" name="2021"/>
    <tableColumn id="79" xr3:uid="{00000000-0010-0000-0300-00004F000000}" name="2022"/>
    <tableColumn id="80" xr3:uid="{00000000-0010-0000-0300-000050000000}" name="2023"/>
    <tableColumn id="81" xr3:uid="{00000000-0010-0000-0300-000051000000}" name="2024"/>
  </tableColumns>
  <tableStyleInfo name="none"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4000000}" name="table_3" displayName="table_3" ref="A4:N75" totalsRowShown="0">
  <tableColumns count="14">
    <tableColumn id="1" xr3:uid="{00000000-0010-0000-0400-000001000000}" name="Year"/>
    <tableColumn id="2" xr3:uid="{00000000-0010-0000-0400-000002000000}" name="Total"/>
    <tableColumn id="3" xr3:uid="{00000000-0010-0000-0400-000003000000}" name="January"/>
    <tableColumn id="4" xr3:uid="{00000000-0010-0000-0400-000004000000}" name="February"/>
    <tableColumn id="5" xr3:uid="{00000000-0010-0000-0400-000005000000}" name="March"/>
    <tableColumn id="6" xr3:uid="{00000000-0010-0000-0400-000006000000}" name="April"/>
    <tableColumn id="7" xr3:uid="{00000000-0010-0000-0400-000007000000}" name="May"/>
    <tableColumn id="8" xr3:uid="{00000000-0010-0000-0400-000008000000}" name="June"/>
    <tableColumn id="9" xr3:uid="{00000000-0010-0000-0400-000009000000}" name="July"/>
    <tableColumn id="10" xr3:uid="{00000000-0010-0000-0400-00000A000000}" name="August"/>
    <tableColumn id="11" xr3:uid="{00000000-0010-0000-0400-00000B000000}" name="September"/>
    <tableColumn id="12" xr3:uid="{00000000-0010-0000-0400-00000C000000}" name="October"/>
    <tableColumn id="13" xr3:uid="{00000000-0010-0000-0400-00000D000000}" name="November"/>
    <tableColumn id="14" xr3:uid="{00000000-0010-0000-0400-00000E000000}" name="December"/>
  </tableColumns>
  <tableStyleInfo name="none"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5000000}" name="table_4" displayName="table_4" ref="A1:E1123" totalsRowShown="0">
  <tableColumns count="5">
    <tableColumn id="1" xr3:uid="{00000000-0010-0000-0500-000001000000}" name="Year"/>
    <tableColumn id="2" xr3:uid="{00000000-0010-0000-0500-000002000000}" name="Area Name"/>
    <tableColumn id="3" xr3:uid="{00000000-0010-0000-0500-000003000000}" name="Persons"/>
    <tableColumn id="4" xr3:uid="{00000000-0010-0000-0500-000004000000}" name="Females"/>
    <tableColumn id="5" xr3:uid="{00000000-0010-0000-0500-000005000000}" name="Males"/>
  </tableColumns>
  <tableStyleInfo name="none"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6000000}" name="table_5" displayName="table_5" ref="A4:E514" totalsRowShown="0">
  <tableColumns count="5">
    <tableColumn id="1" xr3:uid="{00000000-0010-0000-0600-000001000000}" name="Year"/>
    <tableColumn id="2" xr3:uid="{00000000-0010-0000-0600-000002000000}" name="Area Name"/>
    <tableColumn id="3" xr3:uid="{00000000-0010-0000-0600-000003000000}" name="Persons"/>
    <tableColumn id="4" xr3:uid="{00000000-0010-0000-0600-000004000000}" name="Females"/>
    <tableColumn id="5" xr3:uid="{00000000-0010-0000-0600-000005000000}" name="Males"/>
  </tableColumns>
  <tableStyleInfo name="none"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7000000}" name="table_6" displayName="table_6" ref="A4:J1126" totalsRowShown="0">
  <tableColumns count="10">
    <tableColumn id="1" xr3:uid="{00000000-0010-0000-0700-000001000000}" name="Year"/>
    <tableColumn id="2" xr3:uid="{00000000-0010-0000-0700-000002000000}" name="Area Name"/>
    <tableColumn id="3" xr3:uid="{00000000-0010-0000-0700-000003000000}" name="All ages"/>
    <tableColumn id="4" xr3:uid="{00000000-0010-0000-0700-000004000000}" name="Not Stated"/>
    <tableColumn id="5" xr3:uid="{00000000-0010-0000-0700-000005000000}" name="0 up to 19"/>
    <tableColumn id="6" xr3:uid="{00000000-0010-0000-0700-000006000000}" name="20 to 24"/>
    <tableColumn id="7" xr3:uid="{00000000-0010-0000-0700-000007000000}" name="25 to 29"/>
    <tableColumn id="8" xr3:uid="{00000000-0010-0000-0700-000008000000}" name="30 to 34"/>
    <tableColumn id="9" xr3:uid="{00000000-0010-0000-0700-000009000000}" name="35 to 39"/>
    <tableColumn id="10" xr3:uid="{00000000-0010-0000-0700-00000A000000}" name="40 and over"/>
  </tableColumns>
  <tableStyleInfo name="none"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8000000}" name="table_7" displayName="table_7" ref="A4:J514" totalsRowShown="0">
  <tableColumns count="10">
    <tableColumn id="1" xr3:uid="{00000000-0010-0000-0800-000001000000}" name="Year"/>
    <tableColumn id="2" xr3:uid="{00000000-0010-0000-0800-000002000000}" name="Area Name"/>
    <tableColumn id="3" xr3:uid="{00000000-0010-0000-0800-000003000000}" name="All ages"/>
    <tableColumn id="4" xr3:uid="{00000000-0010-0000-0800-000004000000}" name="Not Stated"/>
    <tableColumn id="5" xr3:uid="{00000000-0010-0000-0800-000005000000}" name="0 up to 19"/>
    <tableColumn id="6" xr3:uid="{00000000-0010-0000-0800-000006000000}" name="20 to 24"/>
    <tableColumn id="7" xr3:uid="{00000000-0010-0000-0800-000007000000}" name="25 to 29"/>
    <tableColumn id="8" xr3:uid="{00000000-0010-0000-0800-000008000000}" name="30 to 34"/>
    <tableColumn id="9" xr3:uid="{00000000-0010-0000-0800-000009000000}" name="35 to 39"/>
    <tableColumn id="10" xr3:uid="{00000000-0010-0000-0800-00000A000000}" name="40 and over"/>
  </tableColumns>
  <tableStyleInfo name="none"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9000000}" name="table_8" displayName="table_8" ref="A5:F1127" totalsRowShown="0">
  <tableColumns count="6">
    <tableColumn id="1" xr3:uid="{00000000-0010-0000-0900-000001000000}" name="Year"/>
    <tableColumn id="2" xr3:uid="{00000000-0010-0000-0900-000002000000}" name="Area name"/>
    <tableColumn id="3" xr3:uid="{00000000-0010-0000-0900-000003000000}" name="Overall birth rate [Note 1]" dataDxfId="18"/>
    <tableColumn id="4" xr3:uid="{00000000-0010-0000-0900-000004000000}" name="Standardised birth rate [Note 2]" dataDxfId="17"/>
    <tableColumn id="5" xr3:uid="{00000000-0010-0000-0900-000005000000}" name="General Fertility Rate [Note 3] [note 9]" dataDxfId="16"/>
    <tableColumn id="6" xr3:uid="{00000000-0010-0000-0900-000006000000}" name="Total Fertility Rate [Note 4] [note 9]" dataDxfId="15"/>
  </tableColumns>
  <tableStyleInfo name="none"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A000000}" name="table_9" displayName="table_9" ref="A5:F515" totalsRowShown="0">
  <tableColumns count="6">
    <tableColumn id="1" xr3:uid="{00000000-0010-0000-0A00-000001000000}" name="Year"/>
    <tableColumn id="2" xr3:uid="{00000000-0010-0000-0A00-000002000000}" name="Area name"/>
    <tableColumn id="3" xr3:uid="{00000000-0010-0000-0A00-000003000000}" name="Overall birth rate [note 1]" dataDxfId="14"/>
    <tableColumn id="4" xr3:uid="{00000000-0010-0000-0A00-000004000000}" name="Standardised birth rate [note 2]" dataDxfId="13"/>
    <tableColumn id="5" xr3:uid="{00000000-0010-0000-0A00-000005000000}" name="General Fertility Rate [note 3] [note 9]" dataDxfId="12"/>
    <tableColumn id="6" xr3:uid="{00000000-0010-0000-0A00-000006000000}" name="Total Ferility Rate [note 4] [note 9]"/>
  </tableColumns>
  <tableStyleInfo name="none"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B000000}" name="table_10" displayName="table_10" ref="A5:H1127" totalsRowShown="0">
  <tableColumns count="8">
    <tableColumn id="1" xr3:uid="{00000000-0010-0000-0B00-000001000000}" name="Year"/>
    <tableColumn id="2" xr3:uid="{00000000-0010-0000-0B00-000002000000}" name="Area name"/>
    <tableColumn id="3" xr3:uid="{00000000-0010-0000-0B00-000003000000}" name="15 to 19 years [note 6]" dataDxfId="11"/>
    <tableColumn id="4" xr3:uid="{00000000-0010-0000-0B00-000004000000}" name="20 to 24 years" dataDxfId="10"/>
    <tableColumn id="5" xr3:uid="{00000000-0010-0000-0B00-000005000000}" name="25 to 29 years" dataDxfId="9"/>
    <tableColumn id="6" xr3:uid="{00000000-0010-0000-0B00-000006000000}" name="30 to 34 years" dataDxfId="8"/>
    <tableColumn id="7" xr3:uid="{00000000-0010-0000-0B00-000007000000}" name="35 to 39 years" dataDxfId="7"/>
    <tableColumn id="8" xr3:uid="{00000000-0010-0000-0B00-000008000000}" name="40 to 44 years [note 6]" dataDxfId="6"/>
  </tableColumns>
  <tableStyleInfo name="none"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C000000}" name="table_11" displayName="table_11" ref="A5:H515" totalsRowShown="0">
  <tableColumns count="8">
    <tableColumn id="1" xr3:uid="{00000000-0010-0000-0C00-000001000000}" name="Year"/>
    <tableColumn id="2" xr3:uid="{00000000-0010-0000-0C00-000002000000}" name="Area name"/>
    <tableColumn id="3" xr3:uid="{00000000-0010-0000-0C00-000003000000}" name="15 to 19 years [note 6]" dataDxfId="5"/>
    <tableColumn id="4" xr3:uid="{00000000-0010-0000-0C00-000004000000}" name="20 to 24 years" dataDxfId="4"/>
    <tableColumn id="5" xr3:uid="{00000000-0010-0000-0C00-000005000000}" name="25 to 29 years" dataDxfId="3"/>
    <tableColumn id="6" xr3:uid="{00000000-0010-0000-0C00-000006000000}" name="30 to 34 years" dataDxfId="2"/>
    <tableColumn id="7" xr3:uid="{00000000-0010-0000-0C00-000007000000}" name="35 to 39 years" dataDxfId="1"/>
    <tableColumn id="8" xr3:uid="{00000000-0010-0000-0C00-000008000000}" name="40 to 44 years [note 6]" dataDxfId="0"/>
  </tableColumns>
  <tableStyleInfo name="none"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D000000}" name="table_12" displayName="table_12" ref="A4:E424" totalsRowShown="0">
  <tableColumns count="5">
    <tableColumn id="1" xr3:uid="{00000000-0010-0000-0D00-000001000000}" name="Area name"/>
    <tableColumn id="2" xr3:uid="{00000000-0010-0000-0D00-000002000000}" name="Year"/>
    <tableColumn id="3" xr3:uid="{00000000-0010-0000-0D00-000003000000}" name="Persons"/>
    <tableColumn id="4" xr3:uid="{00000000-0010-0000-0D00-000004000000}" name="Females"/>
    <tableColumn id="5" xr3:uid="{00000000-0010-0000-0D00-000005000000}" name="Males"/>
  </tableColumns>
  <tableStyleInfo name="none"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E000000}" name="table_13" displayName="table_13" ref="A4:E164" totalsRowShown="0">
  <tableColumns count="5">
    <tableColumn id="1" xr3:uid="{00000000-0010-0000-0E00-000001000000}" name="Year"/>
    <tableColumn id="2" xr3:uid="{00000000-0010-0000-0E00-000002000000}" name="Area"/>
    <tableColumn id="3" xr3:uid="{00000000-0010-0000-0E00-000003000000}" name="Persons"/>
    <tableColumn id="4" xr3:uid="{00000000-0010-0000-0E00-000004000000}" name="Females"/>
    <tableColumn id="5" xr3:uid="{00000000-0010-0000-0E00-000005000000}" name="Males"/>
  </tableColumns>
  <tableStyleInfo name="none" showFirstColumn="0" showLastColumn="0" showRowStripes="0"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F000000}" name="table_14" displayName="table_14" ref="A5:C112" totalsRowShown="0">
  <tableColumns count="3">
    <tableColumn id="1" xr3:uid="{00000000-0010-0000-0F00-000001000000}" name="Year"/>
    <tableColumn id="2" xr3:uid="{00000000-0010-0000-0F00-000002000000}" name="Period type [note 8]"/>
    <tableColumn id="3" xr3:uid="{00000000-0010-0000-0F00-000003000000}" name="Number of re-registrations"/>
  </tableColumns>
  <tableStyleInfo name="none"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statisticscustomerservices@nrscotland.gov.uk" TargetMode="External"/><Relationship Id="rId2" Type="http://schemas.openxmlformats.org/officeDocument/2006/relationships/hyperlink" Target="https://www.nrscotland.gov.uk/statistics-and-data/births-deaths-marriages-and-life-expectancy/" TargetMode="External"/><Relationship Id="rId1" Type="http://schemas.openxmlformats.org/officeDocument/2006/relationships/hyperlink" Target="https://www.nrscotland.gov.uk/publications/births-time-series-data/" TargetMode="External"/><Relationship Id="rId4" Type="http://schemas.openxmlformats.org/officeDocument/2006/relationships/hyperlink" Target="mailto:communications@nrscotland.gov.uk"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8"/>
  <sheetViews>
    <sheetView showGridLines="0" workbookViewId="0"/>
  </sheetViews>
  <sheetFormatPr defaultColWidth="11.6328125" defaultRowHeight="15" x14ac:dyDescent="0.25"/>
  <cols>
    <col min="1" max="1" width="72.7265625" customWidth="1"/>
  </cols>
  <sheetData>
    <row r="1" spans="1:1" ht="21" x14ac:dyDescent="0.4">
      <c r="A1" s="2" t="s">
        <v>0</v>
      </c>
    </row>
    <row r="2" spans="1:1" ht="34.049999999999997" customHeight="1" x14ac:dyDescent="0.3">
      <c r="A2" s="4" t="s">
        <v>1</v>
      </c>
    </row>
    <row r="3" spans="1:1" x14ac:dyDescent="0.25">
      <c r="A3" s="3" t="s">
        <v>2</v>
      </c>
    </row>
    <row r="4" spans="1:1" ht="45" x14ac:dyDescent="0.25">
      <c r="A4" s="3" t="s">
        <v>3</v>
      </c>
    </row>
    <row r="5" spans="1:1" x14ac:dyDescent="0.25">
      <c r="A5" s="1" t="s">
        <v>4</v>
      </c>
    </row>
    <row r="6" spans="1:1" ht="34.049999999999997" customHeight="1" x14ac:dyDescent="0.3">
      <c r="A6" s="4" t="s">
        <v>5</v>
      </c>
    </row>
    <row r="7" spans="1:1" x14ac:dyDescent="0.25">
      <c r="A7" s="3" t="s">
        <v>6</v>
      </c>
    </row>
    <row r="8" spans="1:1" x14ac:dyDescent="0.25">
      <c r="A8" s="3" t="s">
        <v>7</v>
      </c>
    </row>
    <row r="9" spans="1:1" ht="34.049999999999997" customHeight="1" x14ac:dyDescent="0.3">
      <c r="A9" s="4" t="s">
        <v>8</v>
      </c>
    </row>
    <row r="10" spans="1:1" x14ac:dyDescent="0.25">
      <c r="A10" s="3" t="s">
        <v>9</v>
      </c>
    </row>
    <row r="11" spans="1:1" ht="34.049999999999997" customHeight="1" x14ac:dyDescent="0.3">
      <c r="A11" s="4" t="s">
        <v>10</v>
      </c>
    </row>
    <row r="12" spans="1:1" x14ac:dyDescent="0.25">
      <c r="A12" s="3" t="s">
        <v>11</v>
      </c>
    </row>
    <row r="13" spans="1:1" ht="34.049999999999997" customHeight="1" x14ac:dyDescent="0.3">
      <c r="A13" s="4" t="s">
        <v>12</v>
      </c>
    </row>
    <row r="14" spans="1:1" ht="30" x14ac:dyDescent="0.25">
      <c r="A14" s="3" t="s">
        <v>13</v>
      </c>
    </row>
    <row r="15" spans="1:1" ht="30" x14ac:dyDescent="0.25">
      <c r="A15" s="3" t="s">
        <v>14</v>
      </c>
    </row>
    <row r="16" spans="1:1" ht="60" x14ac:dyDescent="0.25">
      <c r="A16" s="3" t="s">
        <v>15</v>
      </c>
    </row>
    <row r="17" spans="1:1" ht="30" x14ac:dyDescent="0.25">
      <c r="A17" s="1" t="s">
        <v>16</v>
      </c>
    </row>
    <row r="18" spans="1:1" ht="34.049999999999997" customHeight="1" x14ac:dyDescent="0.3">
      <c r="A18" s="4" t="s">
        <v>17</v>
      </c>
    </row>
    <row r="19" spans="1:1" x14ac:dyDescent="0.25">
      <c r="A19" s="3" t="s">
        <v>18</v>
      </c>
    </row>
    <row r="20" spans="1:1" ht="34.049999999999997" customHeight="1" x14ac:dyDescent="0.3">
      <c r="A20" s="4" t="s">
        <v>19</v>
      </c>
    </row>
    <row r="21" spans="1:1" ht="45" x14ac:dyDescent="0.25">
      <c r="A21" s="3" t="s">
        <v>20</v>
      </c>
    </row>
    <row r="22" spans="1:1" ht="34.049999999999997" customHeight="1" x14ac:dyDescent="0.3">
      <c r="A22" s="4" t="s">
        <v>21</v>
      </c>
    </row>
    <row r="23" spans="1:1" ht="45" x14ac:dyDescent="0.25">
      <c r="A23" s="3" t="s">
        <v>22</v>
      </c>
    </row>
    <row r="24" spans="1:1" ht="34.049999999999997" customHeight="1" x14ac:dyDescent="0.3">
      <c r="A24" s="4" t="s">
        <v>23</v>
      </c>
    </row>
    <row r="25" spans="1:1" ht="30" x14ac:dyDescent="0.25">
      <c r="A25" s="1" t="s">
        <v>24</v>
      </c>
    </row>
    <row r="26" spans="1:1" x14ac:dyDescent="0.25">
      <c r="A26" s="1" t="s">
        <v>25</v>
      </c>
    </row>
    <row r="27" spans="1:1" ht="34.049999999999997" customHeight="1" x14ac:dyDescent="0.3">
      <c r="A27" s="4" t="s">
        <v>26</v>
      </c>
    </row>
    <row r="28" spans="1:1" x14ac:dyDescent="0.25">
      <c r="A28" s="3" t="s">
        <v>27</v>
      </c>
    </row>
  </sheetData>
  <hyperlinks>
    <hyperlink ref="A5" r:id="rId1" xr:uid="{00000000-0004-0000-0000-000000000000}"/>
    <hyperlink ref="A17" r:id="rId2" location=":~:text=Scotland%20in%202023-,Background%20information,-General%20background%20information" xr:uid="{00000000-0004-0000-0000-000001000000}"/>
    <hyperlink ref="A25" r:id="rId3" xr:uid="{00000000-0004-0000-0000-000002000000}"/>
    <hyperlink ref="A26" r:id="rId4" xr:uid="{00000000-0004-0000-0000-000003000000}"/>
  </hyperlink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8"/>
  <sheetViews>
    <sheetView workbookViewId="0"/>
  </sheetViews>
  <sheetFormatPr defaultColWidth="11.6328125" defaultRowHeight="15" x14ac:dyDescent="0.25"/>
  <cols>
    <col min="1" max="1" width="16.7265625" customWidth="1"/>
    <col min="2" max="2" width="56.7265625" customWidth="1"/>
  </cols>
  <sheetData>
    <row r="1" spans="1:2" ht="21" x14ac:dyDescent="0.4">
      <c r="A1" s="5" t="s">
        <v>28</v>
      </c>
    </row>
    <row r="2" spans="1:2" x14ac:dyDescent="0.25">
      <c r="A2" t="s">
        <v>29</v>
      </c>
    </row>
    <row r="3" spans="1:2" ht="15.6" x14ac:dyDescent="0.3">
      <c r="A3" s="7" t="s">
        <v>30</v>
      </c>
      <c r="B3" s="7" t="s">
        <v>31</v>
      </c>
    </row>
    <row r="4" spans="1:2" x14ac:dyDescent="0.25">
      <c r="A4" s="17" t="str">
        <f>HYPERLINK("#Notes!A1","Notes")</f>
        <v>Notes</v>
      </c>
      <c r="B4" s="6" t="s">
        <v>12</v>
      </c>
    </row>
    <row r="5" spans="1:2" x14ac:dyDescent="0.25">
      <c r="A5" s="17" t="str">
        <f>HYPERLINK("#Table_1!A1","Table 1")</f>
        <v>Table 1</v>
      </c>
      <c r="B5" s="6" t="s">
        <v>32</v>
      </c>
    </row>
    <row r="6" spans="1:2" x14ac:dyDescent="0.25">
      <c r="A6" s="17" t="str">
        <f>HYPERLINK("#Table_2!A1","Table 2")</f>
        <v>Table 2</v>
      </c>
      <c r="B6" s="6" t="s">
        <v>33</v>
      </c>
    </row>
    <row r="7" spans="1:2" ht="30" x14ac:dyDescent="0.25">
      <c r="A7" s="17" t="str">
        <f>HYPERLINK("#Table_3!A1","Table 3")</f>
        <v>Table 3</v>
      </c>
      <c r="B7" s="6" t="s">
        <v>333</v>
      </c>
    </row>
    <row r="8" spans="1:2" x14ac:dyDescent="0.25">
      <c r="A8" s="17" t="str">
        <f>HYPERLINK("#Table_4!A1","Table 4")</f>
        <v>Table 4</v>
      </c>
      <c r="B8" s="6" t="s">
        <v>34</v>
      </c>
    </row>
    <row r="9" spans="1:2" ht="30" x14ac:dyDescent="0.25">
      <c r="A9" s="17" t="str">
        <f>HYPERLINK("#Table_5!A1","Table 5")</f>
        <v>Table 5</v>
      </c>
      <c r="B9" s="6" t="s">
        <v>35</v>
      </c>
    </row>
    <row r="10" spans="1:2" ht="30" x14ac:dyDescent="0.25">
      <c r="A10" s="17" t="str">
        <f>HYPERLINK("#Table_6!A1","Table 6")</f>
        <v>Table 6</v>
      </c>
      <c r="B10" s="6" t="s">
        <v>36</v>
      </c>
    </row>
    <row r="11" spans="1:2" ht="30" x14ac:dyDescent="0.25">
      <c r="A11" s="17" t="str">
        <f>HYPERLINK("#Table_7!A1","Table 7")</f>
        <v>Table 7</v>
      </c>
      <c r="B11" s="6" t="s">
        <v>37</v>
      </c>
    </row>
    <row r="12" spans="1:2" x14ac:dyDescent="0.25">
      <c r="A12" s="17" t="str">
        <f>HYPERLINK("#Table_8!A1","Table 8")</f>
        <v>Table 8</v>
      </c>
      <c r="B12" s="6" t="s">
        <v>339</v>
      </c>
    </row>
    <row r="13" spans="1:2" ht="30" x14ac:dyDescent="0.25">
      <c r="A13" s="17" t="str">
        <f>HYPERLINK("#Table_9!A1","Table 9")</f>
        <v>Table 9</v>
      </c>
      <c r="B13" s="6" t="s">
        <v>38</v>
      </c>
    </row>
    <row r="14" spans="1:2" x14ac:dyDescent="0.25">
      <c r="A14" s="17" t="str">
        <f>HYPERLINK("#Table_10!A1","Table 10")</f>
        <v>Table 10</v>
      </c>
      <c r="B14" s="6" t="s">
        <v>39</v>
      </c>
    </row>
    <row r="15" spans="1:2" ht="30" x14ac:dyDescent="0.25">
      <c r="A15" s="17" t="str">
        <f>HYPERLINK("#Table_11!A1","Table 11")</f>
        <v>Table 11</v>
      </c>
      <c r="B15" s="6" t="s">
        <v>40</v>
      </c>
    </row>
    <row r="16" spans="1:2" x14ac:dyDescent="0.25">
      <c r="A16" s="17" t="str">
        <f>HYPERLINK("#Table_12!A1","Table 12")</f>
        <v>Table 12</v>
      </c>
      <c r="B16" s="6" t="s">
        <v>41</v>
      </c>
    </row>
    <row r="17" spans="1:2" ht="30" x14ac:dyDescent="0.25">
      <c r="A17" s="17" t="str">
        <f>HYPERLINK("#Table_13!A1","Table 13")</f>
        <v>Table 13</v>
      </c>
      <c r="B17" s="6" t="s">
        <v>42</v>
      </c>
    </row>
    <row r="18" spans="1:2" x14ac:dyDescent="0.25">
      <c r="A18" s="17" t="str">
        <f>HYPERLINK("#Table_14!A1","Table 14")</f>
        <v>Table 14</v>
      </c>
      <c r="B18" s="6" t="s">
        <v>338</v>
      </c>
    </row>
  </sheetData>
  <pageMargins left="0.7" right="0.7" top="0.75" bottom="0.75" header="0.3" footer="0.3"/>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3"/>
  <sheetViews>
    <sheetView workbookViewId="0"/>
  </sheetViews>
  <sheetFormatPr defaultColWidth="11.6328125" defaultRowHeight="15" x14ac:dyDescent="0.25"/>
  <cols>
    <col min="1" max="1" width="16.7265625" customWidth="1"/>
    <col min="2" max="2" width="56.7265625" customWidth="1"/>
    <col min="3" max="3" width="16.7265625" customWidth="1"/>
  </cols>
  <sheetData>
    <row r="1" spans="1:3" ht="21" x14ac:dyDescent="0.4">
      <c r="A1" s="5" t="s">
        <v>12</v>
      </c>
    </row>
    <row r="2" spans="1:3" x14ac:dyDescent="0.25">
      <c r="A2" t="s">
        <v>29</v>
      </c>
    </row>
    <row r="3" spans="1:3" x14ac:dyDescent="0.25">
      <c r="A3" s="16" t="str">
        <f>HYPERLINK("#'Contents'!A1", "back to contents")</f>
        <v>back to contents</v>
      </c>
    </row>
    <row r="4" spans="1:3" ht="15.6" x14ac:dyDescent="0.3">
      <c r="A4" s="7" t="s">
        <v>43</v>
      </c>
      <c r="B4" s="7" t="s">
        <v>44</v>
      </c>
      <c r="C4" s="7" t="s">
        <v>45</v>
      </c>
    </row>
    <row r="5" spans="1:3" ht="45" x14ac:dyDescent="0.25">
      <c r="A5" s="6" t="s">
        <v>46</v>
      </c>
      <c r="B5" s="6" t="s">
        <v>47</v>
      </c>
      <c r="C5" s="6" t="s">
        <v>48</v>
      </c>
    </row>
    <row r="6" spans="1:3" ht="105" x14ac:dyDescent="0.25">
      <c r="A6" s="6" t="s">
        <v>49</v>
      </c>
      <c r="B6" s="6" t="s">
        <v>50</v>
      </c>
      <c r="C6" s="6" t="s">
        <v>48</v>
      </c>
    </row>
    <row r="7" spans="1:3" ht="45" x14ac:dyDescent="0.25">
      <c r="A7" s="6" t="s">
        <v>51</v>
      </c>
      <c r="B7" s="6" t="s">
        <v>52</v>
      </c>
      <c r="C7" s="6" t="s">
        <v>48</v>
      </c>
    </row>
    <row r="8" spans="1:3" ht="75" x14ac:dyDescent="0.25">
      <c r="A8" s="6" t="s">
        <v>53</v>
      </c>
      <c r="B8" s="6" t="s">
        <v>54</v>
      </c>
      <c r="C8" s="6" t="s">
        <v>48</v>
      </c>
    </row>
    <row r="9" spans="1:3" ht="75" x14ac:dyDescent="0.25">
      <c r="A9" s="6" t="s">
        <v>55</v>
      </c>
      <c r="B9" s="6" t="s">
        <v>56</v>
      </c>
      <c r="C9" s="6" t="s">
        <v>57</v>
      </c>
    </row>
    <row r="10" spans="1:3" ht="90" x14ac:dyDescent="0.25">
      <c r="A10" s="6" t="s">
        <v>58</v>
      </c>
      <c r="B10" s="6" t="s">
        <v>59</v>
      </c>
      <c r="C10" s="6" t="s">
        <v>57</v>
      </c>
    </row>
    <row r="11" spans="1:3" ht="30" x14ac:dyDescent="0.25">
      <c r="A11" s="6" t="s">
        <v>60</v>
      </c>
      <c r="B11" s="6" t="s">
        <v>61</v>
      </c>
      <c r="C11" s="6" t="s">
        <v>62</v>
      </c>
    </row>
    <row r="12" spans="1:3" ht="30" x14ac:dyDescent="0.25">
      <c r="A12" s="6" t="s">
        <v>63</v>
      </c>
      <c r="B12" s="6" t="s">
        <v>64</v>
      </c>
      <c r="C12" s="6" t="s">
        <v>65</v>
      </c>
    </row>
    <row r="13" spans="1:3" ht="30" x14ac:dyDescent="0.25">
      <c r="A13" s="6" t="s">
        <v>66</v>
      </c>
      <c r="B13" s="6" t="s">
        <v>67</v>
      </c>
      <c r="C13" s="6" t="s">
        <v>48</v>
      </c>
    </row>
  </sheetData>
  <pageMargins left="0.7" right="0.7" top="0.75" bottom="0.75" header="0.3" footer="0.3"/>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74"/>
  <sheetViews>
    <sheetView workbookViewId="0"/>
  </sheetViews>
  <sheetFormatPr defaultColWidth="11.6328125" defaultRowHeight="15" x14ac:dyDescent="0.25"/>
  <cols>
    <col min="1" max="4" width="10.6328125" bestFit="1" customWidth="1"/>
  </cols>
  <sheetData>
    <row r="1" spans="1:4" ht="21" x14ac:dyDescent="0.4">
      <c r="A1" s="5" t="s">
        <v>68</v>
      </c>
    </row>
    <row r="2" spans="1:4" x14ac:dyDescent="0.25">
      <c r="A2" t="s">
        <v>29</v>
      </c>
    </row>
    <row r="3" spans="1:4" x14ac:dyDescent="0.25">
      <c r="A3" s="16" t="str">
        <f>HYPERLINK("#'Contents'!A1", "back to contents")</f>
        <v>back to contents</v>
      </c>
    </row>
    <row r="4" spans="1:4" ht="15.6" x14ac:dyDescent="0.3">
      <c r="A4" s="10" t="s">
        <v>69</v>
      </c>
      <c r="B4" s="12" t="s">
        <v>70</v>
      </c>
      <c r="C4" s="12" t="s">
        <v>71</v>
      </c>
      <c r="D4" s="12" t="s">
        <v>72</v>
      </c>
    </row>
    <row r="5" spans="1:4" x14ac:dyDescent="0.25">
      <c r="A5" s="11">
        <v>1855</v>
      </c>
      <c r="B5" s="13">
        <v>93349</v>
      </c>
      <c r="C5" s="13">
        <v>47804</v>
      </c>
      <c r="D5" s="13">
        <v>45545</v>
      </c>
    </row>
    <row r="6" spans="1:4" x14ac:dyDescent="0.25">
      <c r="A6" s="11">
        <v>1856</v>
      </c>
      <c r="B6" s="13">
        <v>101821</v>
      </c>
      <c r="C6" s="13">
        <v>52239</v>
      </c>
      <c r="D6" s="13">
        <v>49582</v>
      </c>
    </row>
    <row r="7" spans="1:4" x14ac:dyDescent="0.25">
      <c r="A7" s="11">
        <v>1857</v>
      </c>
      <c r="B7" s="13">
        <v>103415</v>
      </c>
      <c r="C7" s="13">
        <v>53158</v>
      </c>
      <c r="D7" s="13">
        <v>50257</v>
      </c>
    </row>
    <row r="8" spans="1:4" x14ac:dyDescent="0.25">
      <c r="A8" s="11">
        <v>1858</v>
      </c>
      <c r="B8" s="13">
        <v>104018</v>
      </c>
      <c r="C8" s="13">
        <v>53694</v>
      </c>
      <c r="D8" s="13">
        <v>50324</v>
      </c>
    </row>
    <row r="9" spans="1:4" x14ac:dyDescent="0.25">
      <c r="A9" s="11">
        <v>1859</v>
      </c>
      <c r="B9" s="13">
        <v>106543</v>
      </c>
      <c r="C9" s="13">
        <v>54628</v>
      </c>
      <c r="D9" s="13">
        <v>51915</v>
      </c>
    </row>
    <row r="10" spans="1:4" x14ac:dyDescent="0.25">
      <c r="A10" s="11">
        <v>1860</v>
      </c>
      <c r="B10" s="13">
        <v>105629</v>
      </c>
      <c r="C10" s="13">
        <v>54409</v>
      </c>
      <c r="D10" s="13">
        <v>51220</v>
      </c>
    </row>
    <row r="11" spans="1:4" x14ac:dyDescent="0.25">
      <c r="A11" s="11">
        <v>1861</v>
      </c>
      <c r="B11" s="13">
        <v>107009</v>
      </c>
      <c r="C11" s="13">
        <v>54606</v>
      </c>
      <c r="D11" s="13">
        <v>52403</v>
      </c>
    </row>
    <row r="12" spans="1:4" x14ac:dyDescent="0.25">
      <c r="A12" s="11">
        <v>1862</v>
      </c>
      <c r="B12" s="13">
        <v>107069</v>
      </c>
      <c r="C12" s="13">
        <v>55257</v>
      </c>
      <c r="D12" s="13">
        <v>51812</v>
      </c>
    </row>
    <row r="13" spans="1:4" x14ac:dyDescent="0.25">
      <c r="A13" s="11">
        <v>1863</v>
      </c>
      <c r="B13" s="13">
        <v>109341</v>
      </c>
      <c r="C13" s="13">
        <v>56226</v>
      </c>
      <c r="D13" s="13">
        <v>53115</v>
      </c>
    </row>
    <row r="14" spans="1:4" x14ac:dyDescent="0.25">
      <c r="A14" s="11">
        <v>1864</v>
      </c>
      <c r="B14" s="13">
        <v>112333</v>
      </c>
      <c r="C14" s="13">
        <v>57374</v>
      </c>
      <c r="D14" s="13">
        <v>54959</v>
      </c>
    </row>
    <row r="15" spans="1:4" x14ac:dyDescent="0.25">
      <c r="A15" s="11">
        <v>1865</v>
      </c>
      <c r="B15" s="13">
        <v>113070</v>
      </c>
      <c r="C15" s="13">
        <v>58220</v>
      </c>
      <c r="D15" s="13">
        <v>54850</v>
      </c>
    </row>
    <row r="16" spans="1:4" x14ac:dyDescent="0.25">
      <c r="A16" s="11">
        <v>1866</v>
      </c>
      <c r="B16" s="13">
        <v>113667</v>
      </c>
      <c r="C16" s="13">
        <v>58360</v>
      </c>
      <c r="D16" s="13">
        <v>55307</v>
      </c>
    </row>
    <row r="17" spans="1:4" x14ac:dyDescent="0.25">
      <c r="A17" s="11">
        <v>1867</v>
      </c>
      <c r="B17" s="13">
        <v>114044</v>
      </c>
      <c r="C17" s="13">
        <v>58517</v>
      </c>
      <c r="D17" s="13">
        <v>55527</v>
      </c>
    </row>
    <row r="18" spans="1:4" x14ac:dyDescent="0.25">
      <c r="A18" s="11">
        <v>1868</v>
      </c>
      <c r="B18" s="13">
        <v>115514</v>
      </c>
      <c r="C18" s="13">
        <v>59222</v>
      </c>
      <c r="D18" s="13">
        <v>56292</v>
      </c>
    </row>
    <row r="19" spans="1:4" x14ac:dyDescent="0.25">
      <c r="A19" s="11">
        <v>1869</v>
      </c>
      <c r="B19" s="13">
        <v>113354</v>
      </c>
      <c r="C19" s="13">
        <v>58321</v>
      </c>
      <c r="D19" s="13">
        <v>55033</v>
      </c>
    </row>
    <row r="20" spans="1:4" x14ac:dyDescent="0.25">
      <c r="A20" s="11">
        <v>1870</v>
      </c>
      <c r="B20" s="13">
        <v>115390</v>
      </c>
      <c r="C20" s="13">
        <v>58959</v>
      </c>
      <c r="D20" s="13">
        <v>56431</v>
      </c>
    </row>
    <row r="21" spans="1:4" x14ac:dyDescent="0.25">
      <c r="A21" s="11">
        <v>1871</v>
      </c>
      <c r="B21" s="13">
        <v>116128</v>
      </c>
      <c r="C21" s="13">
        <v>60029</v>
      </c>
      <c r="D21" s="13">
        <v>56099</v>
      </c>
    </row>
    <row r="22" spans="1:4" x14ac:dyDescent="0.25">
      <c r="A22" s="11">
        <v>1872</v>
      </c>
      <c r="B22" s="13">
        <v>118765</v>
      </c>
      <c r="C22" s="13">
        <v>61293</v>
      </c>
      <c r="D22" s="13">
        <v>57472</v>
      </c>
    </row>
    <row r="23" spans="1:4" x14ac:dyDescent="0.25">
      <c r="A23" s="11">
        <v>1873</v>
      </c>
      <c r="B23" s="13">
        <v>119700</v>
      </c>
      <c r="C23" s="13">
        <v>61467</v>
      </c>
      <c r="D23" s="13">
        <v>58233</v>
      </c>
    </row>
    <row r="24" spans="1:4" x14ac:dyDescent="0.25">
      <c r="A24" s="11">
        <v>1874</v>
      </c>
      <c r="B24" s="13">
        <v>123711</v>
      </c>
      <c r="C24" s="13">
        <v>63602</v>
      </c>
      <c r="D24" s="13">
        <v>60109</v>
      </c>
    </row>
    <row r="25" spans="1:4" x14ac:dyDescent="0.25">
      <c r="A25" s="11">
        <v>1875</v>
      </c>
      <c r="B25" s="13">
        <v>123578</v>
      </c>
      <c r="C25" s="13">
        <v>63432</v>
      </c>
      <c r="D25" s="13">
        <v>60146</v>
      </c>
    </row>
    <row r="26" spans="1:4" x14ac:dyDescent="0.25">
      <c r="A26" s="11">
        <v>1876</v>
      </c>
      <c r="B26" s="13">
        <v>126534</v>
      </c>
      <c r="C26" s="13">
        <v>64819</v>
      </c>
      <c r="D26" s="13">
        <v>61715</v>
      </c>
    </row>
    <row r="27" spans="1:4" x14ac:dyDescent="0.25">
      <c r="A27" s="11">
        <v>1877</v>
      </c>
      <c r="B27" s="13">
        <v>126822</v>
      </c>
      <c r="C27" s="13">
        <v>65089</v>
      </c>
      <c r="D27" s="13">
        <v>61733</v>
      </c>
    </row>
    <row r="28" spans="1:4" x14ac:dyDescent="0.25">
      <c r="A28" s="11">
        <v>1878</v>
      </c>
      <c r="B28" s="13">
        <v>126773</v>
      </c>
      <c r="C28" s="13">
        <v>65200</v>
      </c>
      <c r="D28" s="13">
        <v>61573</v>
      </c>
    </row>
    <row r="29" spans="1:4" x14ac:dyDescent="0.25">
      <c r="A29" s="11">
        <v>1879</v>
      </c>
      <c r="B29" s="13">
        <v>125730</v>
      </c>
      <c r="C29" s="13">
        <v>64346</v>
      </c>
      <c r="D29" s="13">
        <v>61384</v>
      </c>
    </row>
    <row r="30" spans="1:4" x14ac:dyDescent="0.25">
      <c r="A30" s="11">
        <v>1880</v>
      </c>
      <c r="B30" s="13">
        <v>124570</v>
      </c>
      <c r="C30" s="13">
        <v>63786</v>
      </c>
      <c r="D30" s="13">
        <v>60784</v>
      </c>
    </row>
    <row r="31" spans="1:4" x14ac:dyDescent="0.25">
      <c r="A31" s="11">
        <v>1881</v>
      </c>
      <c r="B31" s="13">
        <v>126171</v>
      </c>
      <c r="C31" s="13">
        <v>64720</v>
      </c>
      <c r="D31" s="13">
        <v>61451</v>
      </c>
    </row>
    <row r="32" spans="1:4" x14ac:dyDescent="0.25">
      <c r="A32" s="11">
        <v>1882</v>
      </c>
      <c r="B32" s="13">
        <v>126158</v>
      </c>
      <c r="C32" s="13">
        <v>64505</v>
      </c>
      <c r="D32" s="13">
        <v>61653</v>
      </c>
    </row>
    <row r="33" spans="1:4" x14ac:dyDescent="0.25">
      <c r="A33" s="11">
        <v>1883</v>
      </c>
      <c r="B33" s="13">
        <v>124458</v>
      </c>
      <c r="C33" s="13">
        <v>63879</v>
      </c>
      <c r="D33" s="13">
        <v>60579</v>
      </c>
    </row>
    <row r="34" spans="1:4" x14ac:dyDescent="0.25">
      <c r="A34" s="11">
        <v>1884</v>
      </c>
      <c r="B34" s="13">
        <v>129157</v>
      </c>
      <c r="C34" s="13">
        <v>66379</v>
      </c>
      <c r="D34" s="13">
        <v>62778</v>
      </c>
    </row>
    <row r="35" spans="1:4" x14ac:dyDescent="0.25">
      <c r="A35" s="11">
        <v>1885</v>
      </c>
      <c r="B35" s="13">
        <v>126100</v>
      </c>
      <c r="C35" s="13">
        <v>64543</v>
      </c>
      <c r="D35" s="13">
        <v>61557</v>
      </c>
    </row>
    <row r="36" spans="1:4" x14ac:dyDescent="0.25">
      <c r="A36" s="11">
        <v>1886</v>
      </c>
      <c r="B36" s="13">
        <v>127890</v>
      </c>
      <c r="C36" s="13">
        <v>65910</v>
      </c>
      <c r="D36" s="13">
        <v>61980</v>
      </c>
    </row>
    <row r="37" spans="1:4" x14ac:dyDescent="0.25">
      <c r="A37" s="11">
        <v>1887</v>
      </c>
      <c r="B37" s="13">
        <v>124418</v>
      </c>
      <c r="C37" s="13">
        <v>63842</v>
      </c>
      <c r="D37" s="13">
        <v>60576</v>
      </c>
    </row>
    <row r="38" spans="1:4" x14ac:dyDescent="0.25">
      <c r="A38" s="11">
        <v>1888</v>
      </c>
      <c r="B38" s="13">
        <v>123269</v>
      </c>
      <c r="C38" s="13">
        <v>63129</v>
      </c>
      <c r="D38" s="13">
        <v>60140</v>
      </c>
    </row>
    <row r="39" spans="1:4" x14ac:dyDescent="0.25">
      <c r="A39" s="11">
        <v>1889</v>
      </c>
      <c r="B39" s="13">
        <v>122783</v>
      </c>
      <c r="C39" s="13">
        <v>63303</v>
      </c>
      <c r="D39" s="13">
        <v>59480</v>
      </c>
    </row>
    <row r="40" spans="1:4" x14ac:dyDescent="0.25">
      <c r="A40" s="11">
        <v>1890</v>
      </c>
      <c r="B40" s="13">
        <v>121526</v>
      </c>
      <c r="C40" s="13">
        <v>62187</v>
      </c>
      <c r="D40" s="13">
        <v>59339</v>
      </c>
    </row>
    <row r="41" spans="1:4" x14ac:dyDescent="0.25">
      <c r="A41" s="11">
        <v>1891</v>
      </c>
      <c r="B41" s="13">
        <v>125986</v>
      </c>
      <c r="C41" s="13">
        <v>64769</v>
      </c>
      <c r="D41" s="13">
        <v>61217</v>
      </c>
    </row>
    <row r="42" spans="1:4" x14ac:dyDescent="0.25">
      <c r="A42" s="11">
        <v>1892</v>
      </c>
      <c r="B42" s="13">
        <v>125043</v>
      </c>
      <c r="C42" s="13">
        <v>64356</v>
      </c>
      <c r="D42" s="13">
        <v>60687</v>
      </c>
    </row>
    <row r="43" spans="1:4" x14ac:dyDescent="0.25">
      <c r="A43" s="11">
        <v>1893</v>
      </c>
      <c r="B43" s="13">
        <v>127110</v>
      </c>
      <c r="C43" s="13">
        <v>65010</v>
      </c>
      <c r="D43" s="13">
        <v>62100</v>
      </c>
    </row>
    <row r="44" spans="1:4" x14ac:dyDescent="0.25">
      <c r="A44" s="11">
        <v>1894</v>
      </c>
      <c r="B44" s="13">
        <v>124367</v>
      </c>
      <c r="C44" s="13">
        <v>63857</v>
      </c>
      <c r="D44" s="13">
        <v>60510</v>
      </c>
    </row>
    <row r="45" spans="1:4" x14ac:dyDescent="0.25">
      <c r="A45" s="11">
        <v>1895</v>
      </c>
      <c r="B45" s="13">
        <v>126494</v>
      </c>
      <c r="C45" s="13">
        <v>64799</v>
      </c>
      <c r="D45" s="13">
        <v>61695</v>
      </c>
    </row>
    <row r="46" spans="1:4" x14ac:dyDescent="0.25">
      <c r="A46" s="11">
        <v>1896</v>
      </c>
      <c r="B46" s="13">
        <v>129172</v>
      </c>
      <c r="C46" s="13">
        <v>66214</v>
      </c>
      <c r="D46" s="13">
        <v>62958</v>
      </c>
    </row>
    <row r="47" spans="1:4" x14ac:dyDescent="0.25">
      <c r="A47" s="11">
        <v>1897</v>
      </c>
      <c r="B47" s="13">
        <v>128877</v>
      </c>
      <c r="C47" s="13">
        <v>65817</v>
      </c>
      <c r="D47" s="13">
        <v>63060</v>
      </c>
    </row>
    <row r="48" spans="1:4" x14ac:dyDescent="0.25">
      <c r="A48" s="11">
        <v>1898</v>
      </c>
      <c r="B48" s="13">
        <v>130861</v>
      </c>
      <c r="C48" s="13">
        <v>66814</v>
      </c>
      <c r="D48" s="13">
        <v>64047</v>
      </c>
    </row>
    <row r="49" spans="1:4" x14ac:dyDescent="0.25">
      <c r="A49" s="11">
        <v>1899</v>
      </c>
      <c r="B49" s="13">
        <v>130733</v>
      </c>
      <c r="C49" s="13">
        <v>66778</v>
      </c>
      <c r="D49" s="13">
        <v>63955</v>
      </c>
    </row>
    <row r="50" spans="1:4" x14ac:dyDescent="0.25">
      <c r="A50" s="11">
        <v>1900</v>
      </c>
      <c r="B50" s="13">
        <v>131401</v>
      </c>
      <c r="C50" s="13">
        <v>67147</v>
      </c>
      <c r="D50" s="13">
        <v>64254</v>
      </c>
    </row>
    <row r="51" spans="1:4" x14ac:dyDescent="0.25">
      <c r="A51" s="11">
        <v>1901</v>
      </c>
      <c r="B51" s="13">
        <v>132192</v>
      </c>
      <c r="C51" s="13">
        <v>67753</v>
      </c>
      <c r="D51" s="13">
        <v>64439</v>
      </c>
    </row>
    <row r="52" spans="1:4" x14ac:dyDescent="0.25">
      <c r="A52" s="11">
        <v>1902</v>
      </c>
      <c r="B52" s="13">
        <v>132267</v>
      </c>
      <c r="C52" s="13">
        <v>67442</v>
      </c>
      <c r="D52" s="13">
        <v>64825</v>
      </c>
    </row>
    <row r="53" spans="1:4" x14ac:dyDescent="0.25">
      <c r="A53" s="11">
        <v>1903</v>
      </c>
      <c r="B53" s="13">
        <v>133525</v>
      </c>
      <c r="C53" s="13">
        <v>68087</v>
      </c>
      <c r="D53" s="13">
        <v>65438</v>
      </c>
    </row>
    <row r="54" spans="1:4" x14ac:dyDescent="0.25">
      <c r="A54" s="11">
        <v>1904</v>
      </c>
      <c r="B54" s="13">
        <v>132603</v>
      </c>
      <c r="C54" s="13">
        <v>67794</v>
      </c>
      <c r="D54" s="13">
        <v>64809</v>
      </c>
    </row>
    <row r="55" spans="1:4" x14ac:dyDescent="0.25">
      <c r="A55" s="11">
        <v>1905</v>
      </c>
      <c r="B55" s="13">
        <v>131410</v>
      </c>
      <c r="C55" s="13">
        <v>66750</v>
      </c>
      <c r="D55" s="13">
        <v>64660</v>
      </c>
    </row>
    <row r="56" spans="1:4" x14ac:dyDescent="0.25">
      <c r="A56" s="11">
        <v>1906</v>
      </c>
      <c r="B56" s="13">
        <v>132005</v>
      </c>
      <c r="C56" s="13">
        <v>67461</v>
      </c>
      <c r="D56" s="13">
        <v>64544</v>
      </c>
    </row>
    <row r="57" spans="1:4" x14ac:dyDescent="0.25">
      <c r="A57" s="11">
        <v>1907</v>
      </c>
      <c r="B57" s="13">
        <v>128840</v>
      </c>
      <c r="C57" s="13">
        <v>65901</v>
      </c>
      <c r="D57" s="13">
        <v>62939</v>
      </c>
    </row>
    <row r="58" spans="1:4" x14ac:dyDescent="0.25">
      <c r="A58" s="11">
        <v>1908</v>
      </c>
      <c r="B58" s="13">
        <v>131362</v>
      </c>
      <c r="C58" s="13">
        <v>66826</v>
      </c>
      <c r="D58" s="13">
        <v>64536</v>
      </c>
    </row>
    <row r="59" spans="1:4" x14ac:dyDescent="0.25">
      <c r="A59" s="11">
        <v>1909</v>
      </c>
      <c r="B59" s="13">
        <v>128669</v>
      </c>
      <c r="C59" s="13">
        <v>65725</v>
      </c>
      <c r="D59" s="13">
        <v>62944</v>
      </c>
    </row>
    <row r="60" spans="1:4" x14ac:dyDescent="0.25">
      <c r="A60" s="11">
        <v>1910</v>
      </c>
      <c r="B60" s="13">
        <v>124059</v>
      </c>
      <c r="C60" s="13">
        <v>63144</v>
      </c>
      <c r="D60" s="13">
        <v>60915</v>
      </c>
    </row>
    <row r="61" spans="1:4" x14ac:dyDescent="0.25">
      <c r="A61" s="11">
        <v>1911</v>
      </c>
      <c r="B61" s="13">
        <v>121850</v>
      </c>
      <c r="C61" s="13">
        <v>62274</v>
      </c>
      <c r="D61" s="13">
        <v>59576</v>
      </c>
    </row>
    <row r="62" spans="1:4" x14ac:dyDescent="0.25">
      <c r="A62" s="11">
        <v>1912</v>
      </c>
      <c r="B62" s="13">
        <v>122790</v>
      </c>
      <c r="C62" s="13">
        <v>62931</v>
      </c>
      <c r="D62" s="13">
        <v>59859</v>
      </c>
    </row>
    <row r="63" spans="1:4" x14ac:dyDescent="0.25">
      <c r="A63" s="11">
        <v>1913</v>
      </c>
      <c r="B63" s="13">
        <v>120516</v>
      </c>
      <c r="C63" s="13">
        <v>61464</v>
      </c>
      <c r="D63" s="13">
        <v>59052</v>
      </c>
    </row>
    <row r="64" spans="1:4" x14ac:dyDescent="0.25">
      <c r="A64" s="11">
        <v>1914</v>
      </c>
      <c r="B64" s="13">
        <v>123934</v>
      </c>
      <c r="C64" s="13">
        <v>62974</v>
      </c>
      <c r="D64" s="13">
        <v>60960</v>
      </c>
    </row>
    <row r="65" spans="1:4" x14ac:dyDescent="0.25">
      <c r="A65" s="11">
        <v>1915</v>
      </c>
      <c r="B65" s="13">
        <v>114181</v>
      </c>
      <c r="C65" s="13">
        <v>58392</v>
      </c>
      <c r="D65" s="13">
        <v>55789</v>
      </c>
    </row>
    <row r="66" spans="1:4" x14ac:dyDescent="0.25">
      <c r="A66" s="11">
        <v>1916</v>
      </c>
      <c r="B66" s="13">
        <v>109942</v>
      </c>
      <c r="C66" s="13">
        <v>56471</v>
      </c>
      <c r="D66" s="13">
        <v>53471</v>
      </c>
    </row>
    <row r="67" spans="1:4" x14ac:dyDescent="0.25">
      <c r="A67" s="11">
        <v>1917</v>
      </c>
      <c r="B67" s="13">
        <v>97441</v>
      </c>
      <c r="C67" s="13">
        <v>50011</v>
      </c>
      <c r="D67" s="13">
        <v>47430</v>
      </c>
    </row>
    <row r="68" spans="1:4" x14ac:dyDescent="0.25">
      <c r="A68" s="11">
        <v>1918</v>
      </c>
      <c r="B68" s="13">
        <v>98554</v>
      </c>
      <c r="C68" s="13">
        <v>50373</v>
      </c>
      <c r="D68" s="13">
        <v>48181</v>
      </c>
    </row>
    <row r="69" spans="1:4" x14ac:dyDescent="0.25">
      <c r="A69" s="11">
        <v>1919</v>
      </c>
      <c r="B69" s="13">
        <v>106268</v>
      </c>
      <c r="C69" s="13">
        <v>54771</v>
      </c>
      <c r="D69" s="13">
        <v>51497</v>
      </c>
    </row>
    <row r="70" spans="1:4" x14ac:dyDescent="0.25">
      <c r="A70" s="11">
        <v>1920</v>
      </c>
      <c r="B70" s="13">
        <v>136546</v>
      </c>
      <c r="C70" s="13">
        <v>69719</v>
      </c>
      <c r="D70" s="13">
        <v>66827</v>
      </c>
    </row>
    <row r="71" spans="1:4" x14ac:dyDescent="0.25">
      <c r="A71" s="11">
        <v>1921</v>
      </c>
      <c r="B71" s="13">
        <v>123201</v>
      </c>
      <c r="C71" s="13">
        <v>63075</v>
      </c>
      <c r="D71" s="13">
        <v>60126</v>
      </c>
    </row>
    <row r="72" spans="1:4" x14ac:dyDescent="0.25">
      <c r="A72" s="11">
        <v>1922</v>
      </c>
      <c r="B72" s="13">
        <v>115085</v>
      </c>
      <c r="C72" s="13">
        <v>58826</v>
      </c>
      <c r="D72" s="13">
        <v>56259</v>
      </c>
    </row>
    <row r="73" spans="1:4" x14ac:dyDescent="0.25">
      <c r="A73" s="11">
        <v>1923</v>
      </c>
      <c r="B73" s="13">
        <v>111902</v>
      </c>
      <c r="C73" s="13">
        <v>57332</v>
      </c>
      <c r="D73" s="13">
        <v>54570</v>
      </c>
    </row>
    <row r="74" spans="1:4" x14ac:dyDescent="0.25">
      <c r="A74" s="11">
        <v>1924</v>
      </c>
      <c r="B74" s="13">
        <v>106900</v>
      </c>
      <c r="C74" s="13">
        <v>54919</v>
      </c>
      <c r="D74" s="13">
        <v>51981</v>
      </c>
    </row>
    <row r="75" spans="1:4" x14ac:dyDescent="0.25">
      <c r="A75" s="11">
        <v>1925</v>
      </c>
      <c r="B75" s="13">
        <v>104137</v>
      </c>
      <c r="C75" s="13">
        <v>53426</v>
      </c>
      <c r="D75" s="13">
        <v>50711</v>
      </c>
    </row>
    <row r="76" spans="1:4" x14ac:dyDescent="0.25">
      <c r="A76" s="11">
        <v>1926</v>
      </c>
      <c r="B76" s="13">
        <v>102449</v>
      </c>
      <c r="C76" s="13">
        <v>52362</v>
      </c>
      <c r="D76" s="13">
        <v>50087</v>
      </c>
    </row>
    <row r="77" spans="1:4" x14ac:dyDescent="0.25">
      <c r="A77" s="11">
        <v>1927</v>
      </c>
      <c r="B77" s="13">
        <v>96672</v>
      </c>
      <c r="C77" s="13">
        <v>49314</v>
      </c>
      <c r="D77" s="13">
        <v>47358</v>
      </c>
    </row>
    <row r="78" spans="1:4" x14ac:dyDescent="0.25">
      <c r="A78" s="11">
        <v>1928</v>
      </c>
      <c r="B78" s="13">
        <v>96822</v>
      </c>
      <c r="C78" s="13">
        <v>49584</v>
      </c>
      <c r="D78" s="13">
        <v>47238</v>
      </c>
    </row>
    <row r="79" spans="1:4" x14ac:dyDescent="0.25">
      <c r="A79" s="11">
        <v>1929</v>
      </c>
      <c r="B79" s="13">
        <v>92880</v>
      </c>
      <c r="C79" s="13">
        <v>47769</v>
      </c>
      <c r="D79" s="13">
        <v>45111</v>
      </c>
    </row>
    <row r="80" spans="1:4" x14ac:dyDescent="0.25">
      <c r="A80" s="11">
        <v>1930</v>
      </c>
      <c r="B80" s="13">
        <v>94549</v>
      </c>
      <c r="C80" s="13">
        <v>48069</v>
      </c>
      <c r="D80" s="13">
        <v>46480</v>
      </c>
    </row>
    <row r="81" spans="1:4" x14ac:dyDescent="0.25">
      <c r="A81" s="11">
        <v>1931</v>
      </c>
      <c r="B81" s="13">
        <v>92220</v>
      </c>
      <c r="C81" s="13">
        <v>46972</v>
      </c>
      <c r="D81" s="13">
        <v>45248</v>
      </c>
    </row>
    <row r="82" spans="1:4" x14ac:dyDescent="0.25">
      <c r="A82" s="11">
        <v>1932</v>
      </c>
      <c r="B82" s="13">
        <v>91000</v>
      </c>
      <c r="C82" s="13">
        <v>46579</v>
      </c>
      <c r="D82" s="13">
        <v>44421</v>
      </c>
    </row>
    <row r="83" spans="1:4" x14ac:dyDescent="0.25">
      <c r="A83" s="11">
        <v>1933</v>
      </c>
      <c r="B83" s="13">
        <v>86546</v>
      </c>
      <c r="C83" s="13">
        <v>44767</v>
      </c>
      <c r="D83" s="13">
        <v>41779</v>
      </c>
    </row>
    <row r="84" spans="1:4" x14ac:dyDescent="0.25">
      <c r="A84" s="11">
        <v>1934</v>
      </c>
      <c r="B84" s="13">
        <v>88836</v>
      </c>
      <c r="C84" s="13">
        <v>45414</v>
      </c>
      <c r="D84" s="13">
        <v>43422</v>
      </c>
    </row>
    <row r="85" spans="1:4" x14ac:dyDescent="0.25">
      <c r="A85" s="11">
        <v>1935</v>
      </c>
      <c r="B85" s="13">
        <v>87928</v>
      </c>
      <c r="C85" s="13">
        <v>44965</v>
      </c>
      <c r="D85" s="13">
        <v>42963</v>
      </c>
    </row>
    <row r="86" spans="1:4" x14ac:dyDescent="0.25">
      <c r="A86" s="11">
        <v>1936</v>
      </c>
      <c r="B86" s="13">
        <v>88928</v>
      </c>
      <c r="C86" s="13">
        <v>45323</v>
      </c>
      <c r="D86" s="13">
        <v>43605</v>
      </c>
    </row>
    <row r="87" spans="1:4" x14ac:dyDescent="0.25">
      <c r="A87" s="11">
        <v>1937</v>
      </c>
      <c r="B87" s="13">
        <v>87810</v>
      </c>
      <c r="C87" s="13">
        <v>45035</v>
      </c>
      <c r="D87" s="13">
        <v>42775</v>
      </c>
    </row>
    <row r="88" spans="1:4" x14ac:dyDescent="0.25">
      <c r="A88" s="11">
        <v>1938</v>
      </c>
      <c r="B88" s="13">
        <v>88627</v>
      </c>
      <c r="C88" s="13">
        <v>45447</v>
      </c>
      <c r="D88" s="13">
        <v>43180</v>
      </c>
    </row>
    <row r="89" spans="1:4" x14ac:dyDescent="0.25">
      <c r="A89" s="11">
        <v>1939</v>
      </c>
      <c r="B89" s="13">
        <v>86913</v>
      </c>
      <c r="C89" s="13">
        <v>44687</v>
      </c>
      <c r="D89" s="13">
        <v>42226</v>
      </c>
    </row>
    <row r="90" spans="1:4" x14ac:dyDescent="0.25">
      <c r="A90" s="11">
        <v>1940</v>
      </c>
      <c r="B90" s="13">
        <v>86392</v>
      </c>
      <c r="C90" s="13">
        <v>44234</v>
      </c>
      <c r="D90" s="13">
        <v>42158</v>
      </c>
    </row>
    <row r="91" spans="1:4" x14ac:dyDescent="0.25">
      <c r="A91" s="11">
        <v>1941</v>
      </c>
      <c r="B91" s="13">
        <v>89748</v>
      </c>
      <c r="C91" s="13">
        <v>46104</v>
      </c>
      <c r="D91" s="13">
        <v>43644</v>
      </c>
    </row>
    <row r="92" spans="1:4" x14ac:dyDescent="0.25">
      <c r="A92" s="11">
        <v>1942</v>
      </c>
      <c r="B92" s="13">
        <v>90703</v>
      </c>
      <c r="C92" s="13">
        <v>46405</v>
      </c>
      <c r="D92" s="13">
        <v>44298</v>
      </c>
    </row>
    <row r="93" spans="1:4" x14ac:dyDescent="0.25">
      <c r="A93" s="11">
        <v>1943</v>
      </c>
      <c r="B93" s="13">
        <v>94669</v>
      </c>
      <c r="C93" s="13">
        <v>48473</v>
      </c>
      <c r="D93" s="13">
        <v>46196</v>
      </c>
    </row>
    <row r="94" spans="1:4" x14ac:dyDescent="0.25">
      <c r="A94" s="11">
        <v>1944</v>
      </c>
      <c r="B94" s="13">
        <v>95920</v>
      </c>
      <c r="C94" s="13">
        <v>49519</v>
      </c>
      <c r="D94" s="13">
        <v>46401</v>
      </c>
    </row>
    <row r="95" spans="1:4" x14ac:dyDescent="0.25">
      <c r="A95" s="11">
        <v>1945</v>
      </c>
      <c r="B95" s="13">
        <v>86924</v>
      </c>
      <c r="C95" s="13">
        <v>44774</v>
      </c>
      <c r="D95" s="13">
        <v>42150</v>
      </c>
    </row>
    <row r="96" spans="1:4" x14ac:dyDescent="0.25">
      <c r="A96" s="11">
        <v>1946</v>
      </c>
      <c r="B96" s="13">
        <v>104413</v>
      </c>
      <c r="C96" s="13">
        <v>53857</v>
      </c>
      <c r="D96" s="13">
        <v>50556</v>
      </c>
    </row>
    <row r="97" spans="1:4" x14ac:dyDescent="0.25">
      <c r="A97" s="11">
        <v>1947</v>
      </c>
      <c r="B97" s="13">
        <v>113147</v>
      </c>
      <c r="C97" s="13">
        <v>58010</v>
      </c>
      <c r="D97" s="13">
        <v>55137</v>
      </c>
    </row>
    <row r="98" spans="1:4" x14ac:dyDescent="0.25">
      <c r="A98" s="11">
        <v>1948</v>
      </c>
      <c r="B98" s="13">
        <v>100344</v>
      </c>
      <c r="C98" s="13">
        <v>51858</v>
      </c>
      <c r="D98" s="13">
        <v>48486</v>
      </c>
    </row>
    <row r="99" spans="1:4" x14ac:dyDescent="0.25">
      <c r="A99" s="11">
        <v>1949</v>
      </c>
      <c r="B99" s="13">
        <v>95674</v>
      </c>
      <c r="C99" s="13">
        <v>49183</v>
      </c>
      <c r="D99" s="13">
        <v>46491</v>
      </c>
    </row>
    <row r="100" spans="1:4" x14ac:dyDescent="0.25">
      <c r="A100" s="11">
        <v>1950</v>
      </c>
      <c r="B100" s="13">
        <v>92530</v>
      </c>
      <c r="C100" s="13">
        <v>47822</v>
      </c>
      <c r="D100" s="13">
        <v>44708</v>
      </c>
    </row>
    <row r="101" spans="1:4" x14ac:dyDescent="0.25">
      <c r="A101" s="11">
        <v>1951</v>
      </c>
      <c r="B101" s="13">
        <v>90639</v>
      </c>
      <c r="C101" s="13">
        <v>46699</v>
      </c>
      <c r="D101" s="13">
        <v>43940</v>
      </c>
    </row>
    <row r="102" spans="1:4" x14ac:dyDescent="0.25">
      <c r="A102" s="11">
        <v>1952</v>
      </c>
      <c r="B102" s="13">
        <v>90422</v>
      </c>
      <c r="C102" s="13">
        <v>46268</v>
      </c>
      <c r="D102" s="13">
        <v>44154</v>
      </c>
    </row>
    <row r="103" spans="1:4" x14ac:dyDescent="0.25">
      <c r="A103" s="11">
        <v>1953</v>
      </c>
      <c r="B103" s="13">
        <v>90913</v>
      </c>
      <c r="C103" s="13">
        <v>46853</v>
      </c>
      <c r="D103" s="13">
        <v>44060</v>
      </c>
    </row>
    <row r="104" spans="1:4" x14ac:dyDescent="0.25">
      <c r="A104" s="11">
        <v>1954</v>
      </c>
      <c r="B104" s="13">
        <v>92315</v>
      </c>
      <c r="C104" s="13">
        <v>47414</v>
      </c>
      <c r="D104" s="13">
        <v>44901</v>
      </c>
    </row>
    <row r="105" spans="1:4" x14ac:dyDescent="0.25">
      <c r="A105" s="11">
        <v>1955</v>
      </c>
      <c r="B105" s="13">
        <v>92539</v>
      </c>
      <c r="C105" s="13">
        <v>47526</v>
      </c>
      <c r="D105" s="13">
        <v>45013</v>
      </c>
    </row>
    <row r="106" spans="1:4" x14ac:dyDescent="0.25">
      <c r="A106" s="11">
        <v>1956</v>
      </c>
      <c r="B106" s="13">
        <v>95313</v>
      </c>
      <c r="C106" s="13">
        <v>48951</v>
      </c>
      <c r="D106" s="13">
        <v>46362</v>
      </c>
    </row>
    <row r="107" spans="1:4" x14ac:dyDescent="0.25">
      <c r="A107" s="11">
        <v>1957</v>
      </c>
      <c r="B107" s="13">
        <v>97977</v>
      </c>
      <c r="C107" s="13">
        <v>50350</v>
      </c>
      <c r="D107" s="13">
        <v>47627</v>
      </c>
    </row>
    <row r="108" spans="1:4" x14ac:dyDescent="0.25">
      <c r="A108" s="11">
        <v>1958</v>
      </c>
      <c r="B108" s="13">
        <v>99481</v>
      </c>
      <c r="C108" s="13">
        <v>51018</v>
      </c>
      <c r="D108" s="13">
        <v>48463</v>
      </c>
    </row>
    <row r="109" spans="1:4" x14ac:dyDescent="0.25">
      <c r="A109" s="11">
        <v>1959</v>
      </c>
      <c r="B109" s="13">
        <v>99251</v>
      </c>
      <c r="C109" s="13">
        <v>51126</v>
      </c>
      <c r="D109" s="13">
        <v>48125</v>
      </c>
    </row>
    <row r="110" spans="1:4" x14ac:dyDescent="0.25">
      <c r="A110" s="11">
        <v>1960</v>
      </c>
      <c r="B110" s="13">
        <v>101292</v>
      </c>
      <c r="C110" s="13">
        <v>51938</v>
      </c>
      <c r="D110" s="13">
        <v>49354</v>
      </c>
    </row>
    <row r="111" spans="1:4" x14ac:dyDescent="0.25">
      <c r="A111" s="11">
        <v>1961</v>
      </c>
      <c r="B111" s="13">
        <v>101169</v>
      </c>
      <c r="C111" s="13">
        <v>51964</v>
      </c>
      <c r="D111" s="13">
        <v>49205</v>
      </c>
    </row>
    <row r="112" spans="1:4" x14ac:dyDescent="0.25">
      <c r="A112" s="11">
        <v>1962</v>
      </c>
      <c r="B112" s="13">
        <v>104334</v>
      </c>
      <c r="C112" s="13">
        <v>53943</v>
      </c>
      <c r="D112" s="13">
        <v>50391</v>
      </c>
    </row>
    <row r="113" spans="1:4" x14ac:dyDescent="0.25">
      <c r="A113" s="11">
        <v>1963</v>
      </c>
      <c r="B113" s="13">
        <v>102691</v>
      </c>
      <c r="C113" s="13">
        <v>52669</v>
      </c>
      <c r="D113" s="13">
        <v>50022</v>
      </c>
    </row>
    <row r="114" spans="1:4" x14ac:dyDescent="0.25">
      <c r="A114" s="11">
        <v>1964</v>
      </c>
      <c r="B114" s="13">
        <v>104355</v>
      </c>
      <c r="C114" s="13">
        <v>53696</v>
      </c>
      <c r="D114" s="13">
        <v>50659</v>
      </c>
    </row>
    <row r="115" spans="1:4" x14ac:dyDescent="0.25">
      <c r="A115" s="11">
        <v>1965</v>
      </c>
      <c r="B115" s="13">
        <v>100660</v>
      </c>
      <c r="C115" s="13">
        <v>52037</v>
      </c>
      <c r="D115" s="13">
        <v>48623</v>
      </c>
    </row>
    <row r="116" spans="1:4" x14ac:dyDescent="0.25">
      <c r="A116" s="11">
        <v>1966</v>
      </c>
      <c r="B116" s="13">
        <v>96536</v>
      </c>
      <c r="C116" s="13">
        <v>49772</v>
      </c>
      <c r="D116" s="13">
        <v>46764</v>
      </c>
    </row>
    <row r="117" spans="1:4" x14ac:dyDescent="0.25">
      <c r="A117" s="11">
        <v>1967</v>
      </c>
      <c r="B117" s="13">
        <v>96221</v>
      </c>
      <c r="C117" s="13">
        <v>49627</v>
      </c>
      <c r="D117" s="13">
        <v>46594</v>
      </c>
    </row>
    <row r="118" spans="1:4" x14ac:dyDescent="0.25">
      <c r="A118" s="11">
        <v>1968</v>
      </c>
      <c r="B118" s="13">
        <v>94786</v>
      </c>
      <c r="C118" s="13">
        <v>48884</v>
      </c>
      <c r="D118" s="13">
        <v>45902</v>
      </c>
    </row>
    <row r="119" spans="1:4" x14ac:dyDescent="0.25">
      <c r="A119" s="11">
        <v>1969</v>
      </c>
      <c r="B119" s="13">
        <v>90290</v>
      </c>
      <c r="C119" s="13">
        <v>46660</v>
      </c>
      <c r="D119" s="13">
        <v>43630</v>
      </c>
    </row>
    <row r="120" spans="1:4" x14ac:dyDescent="0.25">
      <c r="A120" s="11">
        <v>1970</v>
      </c>
      <c r="B120" s="13">
        <v>87335</v>
      </c>
      <c r="C120" s="13">
        <v>45038</v>
      </c>
      <c r="D120" s="13">
        <v>42297</v>
      </c>
    </row>
    <row r="121" spans="1:4" x14ac:dyDescent="0.25">
      <c r="A121" s="11">
        <v>1971</v>
      </c>
      <c r="B121" s="13">
        <v>86728</v>
      </c>
      <c r="C121" s="13">
        <v>44467</v>
      </c>
      <c r="D121" s="13">
        <v>42261</v>
      </c>
    </row>
    <row r="122" spans="1:4" x14ac:dyDescent="0.25">
      <c r="A122" s="11">
        <v>1972</v>
      </c>
      <c r="B122" s="13">
        <v>78550</v>
      </c>
      <c r="C122" s="13">
        <v>40280</v>
      </c>
      <c r="D122" s="13">
        <v>38270</v>
      </c>
    </row>
    <row r="123" spans="1:4" x14ac:dyDescent="0.25">
      <c r="A123" s="11">
        <v>1973</v>
      </c>
      <c r="B123" s="13">
        <v>74392</v>
      </c>
      <c r="C123" s="13">
        <v>38601</v>
      </c>
      <c r="D123" s="13">
        <v>35791</v>
      </c>
    </row>
    <row r="124" spans="1:4" x14ac:dyDescent="0.25">
      <c r="A124" s="11">
        <v>1974</v>
      </c>
      <c r="B124" s="13">
        <v>70093</v>
      </c>
      <c r="C124" s="13">
        <v>35824</v>
      </c>
      <c r="D124" s="13">
        <v>34269</v>
      </c>
    </row>
    <row r="125" spans="1:4" x14ac:dyDescent="0.25">
      <c r="A125" s="11">
        <v>1975</v>
      </c>
      <c r="B125" s="13">
        <v>67943</v>
      </c>
      <c r="C125" s="13">
        <v>35017</v>
      </c>
      <c r="D125" s="13">
        <v>32926</v>
      </c>
    </row>
    <row r="126" spans="1:4" x14ac:dyDescent="0.25">
      <c r="A126" s="11">
        <v>1976</v>
      </c>
      <c r="B126" s="13">
        <v>64895</v>
      </c>
      <c r="C126" s="13">
        <v>33501</v>
      </c>
      <c r="D126" s="13">
        <v>31394</v>
      </c>
    </row>
    <row r="127" spans="1:4" x14ac:dyDescent="0.25">
      <c r="A127" s="11">
        <v>1977</v>
      </c>
      <c r="B127" s="13">
        <v>62342</v>
      </c>
      <c r="C127" s="13">
        <v>31993</v>
      </c>
      <c r="D127" s="13">
        <v>30349</v>
      </c>
    </row>
    <row r="128" spans="1:4" x14ac:dyDescent="0.25">
      <c r="A128" s="11">
        <v>1978</v>
      </c>
      <c r="B128" s="13">
        <v>64295</v>
      </c>
      <c r="C128" s="13">
        <v>33059</v>
      </c>
      <c r="D128" s="13">
        <v>31236</v>
      </c>
    </row>
    <row r="129" spans="1:4" x14ac:dyDescent="0.25">
      <c r="A129" s="11">
        <v>1979</v>
      </c>
      <c r="B129" s="13">
        <v>68366</v>
      </c>
      <c r="C129" s="13">
        <v>35351</v>
      </c>
      <c r="D129" s="13">
        <v>33015</v>
      </c>
    </row>
    <row r="130" spans="1:4" x14ac:dyDescent="0.25">
      <c r="A130" s="11">
        <v>1980</v>
      </c>
      <c r="B130" s="13">
        <v>68892</v>
      </c>
      <c r="C130" s="13">
        <v>35395</v>
      </c>
      <c r="D130" s="13">
        <v>33497</v>
      </c>
    </row>
    <row r="131" spans="1:4" x14ac:dyDescent="0.25">
      <c r="A131" s="11">
        <v>1981</v>
      </c>
      <c r="B131" s="13">
        <v>69054</v>
      </c>
      <c r="C131" s="13">
        <v>35283</v>
      </c>
      <c r="D131" s="13">
        <v>33771</v>
      </c>
    </row>
    <row r="132" spans="1:4" x14ac:dyDescent="0.25">
      <c r="A132" s="11">
        <v>1982</v>
      </c>
      <c r="B132" s="13">
        <v>66196</v>
      </c>
      <c r="C132" s="13">
        <v>33911</v>
      </c>
      <c r="D132" s="13">
        <v>32285</v>
      </c>
    </row>
    <row r="133" spans="1:4" x14ac:dyDescent="0.25">
      <c r="A133" s="11">
        <v>1983</v>
      </c>
      <c r="B133" s="13">
        <v>65078</v>
      </c>
      <c r="C133" s="13">
        <v>33656</v>
      </c>
      <c r="D133" s="13">
        <v>31422</v>
      </c>
    </row>
    <row r="134" spans="1:4" x14ac:dyDescent="0.25">
      <c r="A134" s="11">
        <v>1984</v>
      </c>
      <c r="B134" s="13">
        <v>65106</v>
      </c>
      <c r="C134" s="13">
        <v>33144</v>
      </c>
      <c r="D134" s="13">
        <v>31962</v>
      </c>
    </row>
    <row r="135" spans="1:4" x14ac:dyDescent="0.25">
      <c r="A135" s="11">
        <v>1985</v>
      </c>
      <c r="B135" s="13">
        <v>66676</v>
      </c>
      <c r="C135" s="13">
        <v>34120</v>
      </c>
      <c r="D135" s="13">
        <v>32556</v>
      </c>
    </row>
    <row r="136" spans="1:4" x14ac:dyDescent="0.25">
      <c r="A136" s="11">
        <v>1986</v>
      </c>
      <c r="B136" s="13">
        <v>65812</v>
      </c>
      <c r="C136" s="13">
        <v>33874</v>
      </c>
      <c r="D136" s="13">
        <v>31938</v>
      </c>
    </row>
    <row r="137" spans="1:4" x14ac:dyDescent="0.25">
      <c r="A137" s="11">
        <v>1987</v>
      </c>
      <c r="B137" s="13">
        <v>66241</v>
      </c>
      <c r="C137" s="13">
        <v>33970</v>
      </c>
      <c r="D137" s="13">
        <v>32271</v>
      </c>
    </row>
    <row r="138" spans="1:4" x14ac:dyDescent="0.25">
      <c r="A138" s="11">
        <v>1988</v>
      </c>
      <c r="B138" s="13">
        <v>66212</v>
      </c>
      <c r="C138" s="13">
        <v>34060</v>
      </c>
      <c r="D138" s="13">
        <v>32152</v>
      </c>
    </row>
    <row r="139" spans="1:4" x14ac:dyDescent="0.25">
      <c r="A139" s="11">
        <v>1989</v>
      </c>
      <c r="B139" s="13">
        <v>63480</v>
      </c>
      <c r="C139" s="13">
        <v>32504</v>
      </c>
      <c r="D139" s="13">
        <v>30976</v>
      </c>
    </row>
    <row r="140" spans="1:4" x14ac:dyDescent="0.25">
      <c r="A140" s="11">
        <v>1990</v>
      </c>
      <c r="B140" s="13">
        <v>65973</v>
      </c>
      <c r="C140" s="13">
        <v>33898</v>
      </c>
      <c r="D140" s="13">
        <v>32075</v>
      </c>
    </row>
    <row r="141" spans="1:4" x14ac:dyDescent="0.25">
      <c r="A141" s="11">
        <v>1991</v>
      </c>
      <c r="B141" s="13">
        <v>67024</v>
      </c>
      <c r="C141" s="13">
        <v>34419</v>
      </c>
      <c r="D141" s="13">
        <v>32605</v>
      </c>
    </row>
    <row r="142" spans="1:4" x14ac:dyDescent="0.25">
      <c r="A142" s="11">
        <v>1992</v>
      </c>
      <c r="B142" s="13">
        <v>65789</v>
      </c>
      <c r="C142" s="13">
        <v>33610</v>
      </c>
      <c r="D142" s="13">
        <v>32179</v>
      </c>
    </row>
    <row r="143" spans="1:4" x14ac:dyDescent="0.25">
      <c r="A143" s="11">
        <v>1993</v>
      </c>
      <c r="B143" s="13">
        <v>63337</v>
      </c>
      <c r="C143" s="13">
        <v>32374</v>
      </c>
      <c r="D143" s="13">
        <v>30963</v>
      </c>
    </row>
    <row r="144" spans="1:4" x14ac:dyDescent="0.25">
      <c r="A144" s="11">
        <v>1994</v>
      </c>
      <c r="B144" s="13">
        <v>61656</v>
      </c>
      <c r="C144" s="13">
        <v>31399</v>
      </c>
      <c r="D144" s="13">
        <v>30257</v>
      </c>
    </row>
    <row r="145" spans="1:4" x14ac:dyDescent="0.25">
      <c r="A145" s="11">
        <v>1995</v>
      </c>
      <c r="B145" s="13">
        <v>60051</v>
      </c>
      <c r="C145" s="13">
        <v>30652</v>
      </c>
      <c r="D145" s="13">
        <v>29399</v>
      </c>
    </row>
    <row r="146" spans="1:4" x14ac:dyDescent="0.25">
      <c r="A146" s="11">
        <v>1996</v>
      </c>
      <c r="B146" s="13">
        <v>59296</v>
      </c>
      <c r="C146" s="13">
        <v>30523</v>
      </c>
      <c r="D146" s="13">
        <v>28773</v>
      </c>
    </row>
    <row r="147" spans="1:4" x14ac:dyDescent="0.25">
      <c r="A147" s="11">
        <v>1997</v>
      </c>
      <c r="B147" s="13">
        <v>59440</v>
      </c>
      <c r="C147" s="13">
        <v>30516</v>
      </c>
      <c r="D147" s="13">
        <v>28924</v>
      </c>
    </row>
    <row r="148" spans="1:4" x14ac:dyDescent="0.25">
      <c r="A148" s="11">
        <v>1998</v>
      </c>
      <c r="B148" s="13">
        <v>57319</v>
      </c>
      <c r="C148" s="13">
        <v>29496</v>
      </c>
      <c r="D148" s="13">
        <v>27823</v>
      </c>
    </row>
    <row r="149" spans="1:4" x14ac:dyDescent="0.25">
      <c r="A149" s="11">
        <v>1999</v>
      </c>
      <c r="B149" s="13">
        <v>55147</v>
      </c>
      <c r="C149" s="13">
        <v>28246</v>
      </c>
      <c r="D149" s="13">
        <v>26901</v>
      </c>
    </row>
    <row r="150" spans="1:4" x14ac:dyDescent="0.25">
      <c r="A150" s="11">
        <v>2000</v>
      </c>
      <c r="B150" s="13">
        <v>53076</v>
      </c>
      <c r="C150" s="13">
        <v>27196</v>
      </c>
      <c r="D150" s="13">
        <v>25880</v>
      </c>
    </row>
    <row r="151" spans="1:4" x14ac:dyDescent="0.25">
      <c r="A151" s="11">
        <v>2001</v>
      </c>
      <c r="B151" s="13">
        <v>52527</v>
      </c>
      <c r="C151" s="13">
        <v>26786</v>
      </c>
      <c r="D151" s="13">
        <v>25741</v>
      </c>
    </row>
    <row r="152" spans="1:4" x14ac:dyDescent="0.25">
      <c r="A152" s="11">
        <v>2002</v>
      </c>
      <c r="B152" s="13">
        <v>51270</v>
      </c>
      <c r="C152" s="13">
        <v>26218</v>
      </c>
      <c r="D152" s="13">
        <v>25052</v>
      </c>
    </row>
    <row r="153" spans="1:4" x14ac:dyDescent="0.25">
      <c r="A153" s="11">
        <v>2003</v>
      </c>
      <c r="B153" s="13">
        <v>52432</v>
      </c>
      <c r="C153" s="13">
        <v>26906</v>
      </c>
      <c r="D153" s="13">
        <v>25526</v>
      </c>
    </row>
    <row r="154" spans="1:4" x14ac:dyDescent="0.25">
      <c r="A154" s="11">
        <v>2004</v>
      </c>
      <c r="B154" s="13">
        <v>53957</v>
      </c>
      <c r="C154" s="13">
        <v>27769</v>
      </c>
      <c r="D154" s="13">
        <v>26188</v>
      </c>
    </row>
    <row r="155" spans="1:4" x14ac:dyDescent="0.25">
      <c r="A155" s="11">
        <v>2005</v>
      </c>
      <c r="B155" s="13">
        <v>54386</v>
      </c>
      <c r="C155" s="13">
        <v>28083</v>
      </c>
      <c r="D155" s="13">
        <v>26303</v>
      </c>
    </row>
    <row r="156" spans="1:4" x14ac:dyDescent="0.25">
      <c r="A156" s="11">
        <v>2006</v>
      </c>
      <c r="B156" s="13">
        <v>55690</v>
      </c>
      <c r="C156" s="13">
        <v>28473</v>
      </c>
      <c r="D156" s="13">
        <v>27217</v>
      </c>
    </row>
    <row r="157" spans="1:4" x14ac:dyDescent="0.25">
      <c r="A157" s="11">
        <v>2007</v>
      </c>
      <c r="B157" s="13">
        <v>57781</v>
      </c>
      <c r="C157" s="13">
        <v>29694</v>
      </c>
      <c r="D157" s="13">
        <v>28087</v>
      </c>
    </row>
    <row r="158" spans="1:4" x14ac:dyDescent="0.25">
      <c r="A158" s="11">
        <v>2008</v>
      </c>
      <c r="B158" s="13">
        <v>60041</v>
      </c>
      <c r="C158" s="13">
        <v>30570</v>
      </c>
      <c r="D158" s="13">
        <v>29471</v>
      </c>
    </row>
    <row r="159" spans="1:4" x14ac:dyDescent="0.25">
      <c r="A159" s="11">
        <v>2009</v>
      </c>
      <c r="B159" s="13">
        <v>59046</v>
      </c>
      <c r="C159" s="13">
        <v>30165</v>
      </c>
      <c r="D159" s="13">
        <v>28881</v>
      </c>
    </row>
    <row r="160" spans="1:4" x14ac:dyDescent="0.25">
      <c r="A160" s="11">
        <v>2010</v>
      </c>
      <c r="B160" s="13">
        <v>58791</v>
      </c>
      <c r="C160" s="13">
        <v>29872</v>
      </c>
      <c r="D160" s="13">
        <v>28919</v>
      </c>
    </row>
    <row r="161" spans="1:4" x14ac:dyDescent="0.25">
      <c r="A161" s="11">
        <v>2011</v>
      </c>
      <c r="B161" s="13">
        <v>58590</v>
      </c>
      <c r="C161" s="13">
        <v>30111</v>
      </c>
      <c r="D161" s="13">
        <v>28479</v>
      </c>
    </row>
    <row r="162" spans="1:4" x14ac:dyDescent="0.25">
      <c r="A162" s="11">
        <v>2012</v>
      </c>
      <c r="B162" s="13">
        <v>58027</v>
      </c>
      <c r="C162" s="13">
        <v>29713</v>
      </c>
      <c r="D162" s="13">
        <v>28314</v>
      </c>
    </row>
    <row r="163" spans="1:4" x14ac:dyDescent="0.25">
      <c r="A163" s="11">
        <v>2013</v>
      </c>
      <c r="B163" s="13">
        <v>56014</v>
      </c>
      <c r="C163" s="13">
        <v>28828</v>
      </c>
      <c r="D163" s="13">
        <v>27186</v>
      </c>
    </row>
    <row r="164" spans="1:4" x14ac:dyDescent="0.25">
      <c r="A164" s="11">
        <v>2014</v>
      </c>
      <c r="B164" s="13">
        <v>56725</v>
      </c>
      <c r="C164" s="13">
        <v>29056</v>
      </c>
      <c r="D164" s="13">
        <v>27669</v>
      </c>
    </row>
    <row r="165" spans="1:4" x14ac:dyDescent="0.25">
      <c r="A165" s="11">
        <v>2015</v>
      </c>
      <c r="B165" s="13">
        <v>55098</v>
      </c>
      <c r="C165" s="13">
        <v>28354</v>
      </c>
      <c r="D165" s="13">
        <v>26744</v>
      </c>
    </row>
    <row r="166" spans="1:4" x14ac:dyDescent="0.25">
      <c r="A166" s="11">
        <v>2016</v>
      </c>
      <c r="B166" s="13">
        <v>54488</v>
      </c>
      <c r="C166" s="13">
        <v>28236</v>
      </c>
      <c r="D166" s="13">
        <v>26252</v>
      </c>
    </row>
    <row r="167" spans="1:4" x14ac:dyDescent="0.25">
      <c r="A167" s="11">
        <v>2017</v>
      </c>
      <c r="B167" s="13">
        <v>52861</v>
      </c>
      <c r="C167" s="13">
        <v>27215</v>
      </c>
      <c r="D167" s="13">
        <v>25646</v>
      </c>
    </row>
    <row r="168" spans="1:4" x14ac:dyDescent="0.25">
      <c r="A168" s="11">
        <v>2018</v>
      </c>
      <c r="B168" s="13">
        <v>51308</v>
      </c>
      <c r="C168" s="13">
        <v>26332</v>
      </c>
      <c r="D168" s="13">
        <v>24976</v>
      </c>
    </row>
    <row r="169" spans="1:4" x14ac:dyDescent="0.25">
      <c r="A169" s="11">
        <v>2019</v>
      </c>
      <c r="B169" s="13">
        <v>49863</v>
      </c>
      <c r="C169" s="13">
        <v>25687</v>
      </c>
      <c r="D169" s="13">
        <v>24176</v>
      </c>
    </row>
    <row r="170" spans="1:4" x14ac:dyDescent="0.25">
      <c r="A170" s="11">
        <v>2020</v>
      </c>
      <c r="B170" s="13">
        <v>46809</v>
      </c>
      <c r="C170" s="13">
        <v>23972</v>
      </c>
      <c r="D170" s="13">
        <v>22837</v>
      </c>
    </row>
    <row r="171" spans="1:4" x14ac:dyDescent="0.25">
      <c r="A171" s="11">
        <v>2021</v>
      </c>
      <c r="B171" s="13">
        <v>47786</v>
      </c>
      <c r="C171" s="13">
        <v>24542</v>
      </c>
      <c r="D171" s="13">
        <v>23244</v>
      </c>
    </row>
    <row r="172" spans="1:4" x14ac:dyDescent="0.25">
      <c r="A172" s="11">
        <v>2022</v>
      </c>
      <c r="B172" s="13">
        <v>46959</v>
      </c>
      <c r="C172" s="13">
        <v>24259</v>
      </c>
      <c r="D172" s="13">
        <v>22700</v>
      </c>
    </row>
    <row r="173" spans="1:4" x14ac:dyDescent="0.25">
      <c r="A173" s="11">
        <v>2023</v>
      </c>
      <c r="B173" s="13">
        <v>45935</v>
      </c>
      <c r="C173" s="13">
        <v>23594</v>
      </c>
      <c r="D173" s="13">
        <v>22341</v>
      </c>
    </row>
    <row r="174" spans="1:4" x14ac:dyDescent="0.25">
      <c r="A174" s="11">
        <v>2024</v>
      </c>
      <c r="B174" s="13">
        <v>45763</v>
      </c>
      <c r="C174" s="13">
        <v>23429</v>
      </c>
      <c r="D174" s="13">
        <v>22334</v>
      </c>
    </row>
  </sheetData>
  <pageMargins left="0.7" right="0.7" top="0.75" bottom="0.75" header="0.3" footer="0.3"/>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A61"/>
  <sheetViews>
    <sheetView workbookViewId="0"/>
  </sheetViews>
  <sheetFormatPr defaultColWidth="11.6328125" defaultRowHeight="15" x14ac:dyDescent="0.25"/>
  <cols>
    <col min="1" max="1" width="13.36328125" customWidth="1"/>
    <col min="2" max="81" width="7.26953125" customWidth="1"/>
  </cols>
  <sheetData>
    <row r="1" spans="1:365" ht="21" x14ac:dyDescent="0.4">
      <c r="A1" s="5" t="s">
        <v>73</v>
      </c>
    </row>
    <row r="2" spans="1:365" x14ac:dyDescent="0.25">
      <c r="A2" t="s">
        <v>29</v>
      </c>
    </row>
    <row r="3" spans="1:365" x14ac:dyDescent="0.25">
      <c r="A3" t="s">
        <v>74</v>
      </c>
    </row>
    <row r="4" spans="1:365" x14ac:dyDescent="0.25">
      <c r="A4" s="16" t="str">
        <f>HYPERLINK("#'Contents'!A1", "back to contents")</f>
        <v>back to contents</v>
      </c>
    </row>
    <row r="5" spans="1:365" ht="15.6" x14ac:dyDescent="0.3">
      <c r="A5" s="10" t="s">
        <v>75</v>
      </c>
      <c r="B5" s="12" t="s">
        <v>76</v>
      </c>
      <c r="C5" s="12" t="s">
        <v>77</v>
      </c>
      <c r="D5" s="12" t="s">
        <v>78</v>
      </c>
      <c r="E5" s="12" t="s">
        <v>79</v>
      </c>
      <c r="F5" s="12" t="s">
        <v>80</v>
      </c>
      <c r="G5" s="12" t="s">
        <v>81</v>
      </c>
      <c r="H5" s="12" t="s">
        <v>82</v>
      </c>
      <c r="I5" s="12" t="s">
        <v>83</v>
      </c>
      <c r="J5" s="12" t="s">
        <v>84</v>
      </c>
      <c r="K5" s="12" t="s">
        <v>85</v>
      </c>
      <c r="L5" s="12" t="s">
        <v>86</v>
      </c>
      <c r="M5" s="12" t="s">
        <v>87</v>
      </c>
      <c r="N5" s="12" t="s">
        <v>88</v>
      </c>
      <c r="O5" s="12" t="s">
        <v>89</v>
      </c>
      <c r="P5" s="12" t="s">
        <v>90</v>
      </c>
      <c r="Q5" s="12" t="s">
        <v>91</v>
      </c>
      <c r="R5" s="12" t="s">
        <v>92</v>
      </c>
      <c r="S5" s="12" t="s">
        <v>93</v>
      </c>
      <c r="T5" s="12" t="s">
        <v>94</v>
      </c>
      <c r="U5" s="12" t="s">
        <v>95</v>
      </c>
      <c r="V5" s="12" t="s">
        <v>96</v>
      </c>
      <c r="W5" s="12" t="s">
        <v>97</v>
      </c>
      <c r="X5" s="12" t="s">
        <v>98</v>
      </c>
      <c r="Y5" s="12" t="s">
        <v>99</v>
      </c>
      <c r="Z5" s="12" t="s">
        <v>100</v>
      </c>
      <c r="AA5" s="9" t="s">
        <v>101</v>
      </c>
      <c r="AB5" s="9" t="s">
        <v>102</v>
      </c>
      <c r="AC5" s="9" t="s">
        <v>103</v>
      </c>
      <c r="AD5" s="9" t="s">
        <v>104</v>
      </c>
      <c r="AE5" s="9" t="s">
        <v>105</v>
      </c>
      <c r="AF5" s="9" t="s">
        <v>106</v>
      </c>
      <c r="AG5" s="9" t="s">
        <v>107</v>
      </c>
      <c r="AH5" s="9" t="s">
        <v>108</v>
      </c>
      <c r="AI5" s="9" t="s">
        <v>109</v>
      </c>
      <c r="AJ5" s="9" t="s">
        <v>110</v>
      </c>
      <c r="AK5" s="9" t="s">
        <v>111</v>
      </c>
      <c r="AL5" s="9" t="s">
        <v>112</v>
      </c>
      <c r="AM5" s="9" t="s">
        <v>113</v>
      </c>
      <c r="AN5" s="9" t="s">
        <v>114</v>
      </c>
      <c r="AO5" s="9" t="s">
        <v>115</v>
      </c>
      <c r="AP5" s="9" t="s">
        <v>116</v>
      </c>
      <c r="AQ5" s="9" t="s">
        <v>117</v>
      </c>
      <c r="AR5" s="9" t="s">
        <v>118</v>
      </c>
      <c r="AS5" s="9" t="s">
        <v>119</v>
      </c>
      <c r="AT5" s="9" t="s">
        <v>120</v>
      </c>
      <c r="AU5" s="9" t="s">
        <v>121</v>
      </c>
      <c r="AV5" s="9" t="s">
        <v>122</v>
      </c>
      <c r="AW5" s="9" t="s">
        <v>123</v>
      </c>
      <c r="AX5" s="9" t="s">
        <v>124</v>
      </c>
      <c r="AY5" s="9" t="s">
        <v>125</v>
      </c>
      <c r="AZ5" s="9" t="s">
        <v>126</v>
      </c>
      <c r="BA5" s="9" t="s">
        <v>127</v>
      </c>
      <c r="BB5" s="9" t="s">
        <v>128</v>
      </c>
      <c r="BC5" s="9" t="s">
        <v>129</v>
      </c>
      <c r="BD5" s="9" t="s">
        <v>130</v>
      </c>
      <c r="BE5" s="9" t="s">
        <v>131</v>
      </c>
      <c r="BF5" s="9" t="s">
        <v>132</v>
      </c>
      <c r="BG5" s="9" t="s">
        <v>133</v>
      </c>
      <c r="BH5" s="9" t="s">
        <v>134</v>
      </c>
      <c r="BI5" s="9" t="s">
        <v>135</v>
      </c>
      <c r="BJ5" s="9" t="s">
        <v>136</v>
      </c>
      <c r="BK5" s="9" t="s">
        <v>137</v>
      </c>
      <c r="BL5" s="9" t="s">
        <v>138</v>
      </c>
      <c r="BM5" s="9" t="s">
        <v>139</v>
      </c>
      <c r="BN5" s="9" t="s">
        <v>140</v>
      </c>
      <c r="BO5" s="9" t="s">
        <v>141</v>
      </c>
      <c r="BP5" s="9" t="s">
        <v>142</v>
      </c>
      <c r="BQ5" s="9" t="s">
        <v>143</v>
      </c>
      <c r="BR5" s="9" t="s">
        <v>144</v>
      </c>
      <c r="BS5" s="9" t="s">
        <v>145</v>
      </c>
      <c r="BT5" s="9" t="s">
        <v>146</v>
      </c>
      <c r="BU5" s="9" t="s">
        <v>147</v>
      </c>
      <c r="BV5" s="9" t="s">
        <v>148</v>
      </c>
      <c r="BW5" s="9" t="s">
        <v>149</v>
      </c>
      <c r="BX5" s="9" t="s">
        <v>150</v>
      </c>
      <c r="BY5" s="9" t="s">
        <v>151</v>
      </c>
      <c r="BZ5" s="9" t="s">
        <v>152</v>
      </c>
      <c r="CA5" s="9" t="s">
        <v>153</v>
      </c>
      <c r="CB5" s="9" t="s">
        <v>154</v>
      </c>
      <c r="CC5" s="9" t="s">
        <v>155</v>
      </c>
      <c r="NA5" s="13"/>
    </row>
    <row r="6" spans="1:365" x14ac:dyDescent="0.25">
      <c r="A6" s="11" t="s">
        <v>156</v>
      </c>
      <c r="B6" s="13">
        <v>37</v>
      </c>
      <c r="C6" s="13">
        <v>38</v>
      </c>
      <c r="D6" s="13">
        <v>24</v>
      </c>
      <c r="E6" s="13">
        <v>32</v>
      </c>
      <c r="F6" s="13">
        <v>17</v>
      </c>
      <c r="G6" s="13">
        <v>18</v>
      </c>
      <c r="H6" s="13">
        <v>26</v>
      </c>
      <c r="I6" s="13">
        <v>22</v>
      </c>
      <c r="J6" s="13">
        <v>26</v>
      </c>
      <c r="K6" s="13">
        <v>23</v>
      </c>
      <c r="L6" s="13">
        <v>24</v>
      </c>
      <c r="M6" s="13">
        <v>36</v>
      </c>
      <c r="N6" s="13">
        <v>35</v>
      </c>
      <c r="O6" s="13">
        <v>30</v>
      </c>
      <c r="P6" s="13">
        <v>39</v>
      </c>
      <c r="Q6" s="13">
        <v>45</v>
      </c>
      <c r="R6" s="13">
        <v>56</v>
      </c>
      <c r="S6" s="13">
        <v>69</v>
      </c>
      <c r="T6" s="13">
        <v>74</v>
      </c>
      <c r="U6" s="13">
        <v>59</v>
      </c>
      <c r="V6" s="13">
        <v>78</v>
      </c>
      <c r="W6" s="13">
        <v>65</v>
      </c>
      <c r="X6" s="13">
        <v>90</v>
      </c>
      <c r="Y6" s="13">
        <v>92</v>
      </c>
      <c r="Z6" s="13">
        <v>108</v>
      </c>
      <c r="AA6" s="8">
        <v>110</v>
      </c>
      <c r="AB6" s="8">
        <v>110</v>
      </c>
      <c r="AC6" s="8">
        <v>111</v>
      </c>
      <c r="AD6" s="8">
        <v>139</v>
      </c>
      <c r="AE6" s="8">
        <v>155</v>
      </c>
      <c r="AF6" s="8">
        <v>145</v>
      </c>
      <c r="AG6" s="8">
        <v>136</v>
      </c>
      <c r="AH6" s="8">
        <v>98</v>
      </c>
      <c r="AI6" s="8">
        <v>104</v>
      </c>
      <c r="AJ6" s="8">
        <v>139</v>
      </c>
      <c r="AK6" s="8">
        <v>112</v>
      </c>
      <c r="AL6" s="8">
        <v>91</v>
      </c>
      <c r="AM6" s="8">
        <v>121</v>
      </c>
      <c r="AN6" s="8">
        <v>127</v>
      </c>
      <c r="AO6" s="8">
        <v>117</v>
      </c>
      <c r="AP6" s="8">
        <v>119</v>
      </c>
      <c r="AQ6" s="8">
        <v>128</v>
      </c>
      <c r="AR6" s="8">
        <v>122</v>
      </c>
      <c r="AS6" s="8">
        <v>147</v>
      </c>
      <c r="AT6" s="8">
        <v>126</v>
      </c>
      <c r="AU6" s="8">
        <v>123</v>
      </c>
      <c r="AV6" s="8">
        <v>114</v>
      </c>
      <c r="AW6" s="8">
        <v>128</v>
      </c>
      <c r="AX6" s="8">
        <v>125</v>
      </c>
      <c r="AY6" s="8">
        <v>131</v>
      </c>
      <c r="AZ6" s="8">
        <v>160</v>
      </c>
      <c r="BA6" s="8">
        <v>160</v>
      </c>
      <c r="BB6" s="8">
        <v>178</v>
      </c>
      <c r="BC6" s="8">
        <v>137</v>
      </c>
      <c r="BD6" s="8">
        <v>142</v>
      </c>
      <c r="BE6" s="8">
        <v>136</v>
      </c>
      <c r="BF6" s="8">
        <v>132</v>
      </c>
      <c r="BG6" s="8">
        <v>110</v>
      </c>
      <c r="BH6" s="8">
        <v>105</v>
      </c>
      <c r="BI6" s="8">
        <v>96</v>
      </c>
      <c r="BJ6" s="8">
        <v>104</v>
      </c>
      <c r="BK6" s="8">
        <v>110</v>
      </c>
      <c r="BL6" s="8">
        <v>107</v>
      </c>
      <c r="BM6" s="8">
        <v>90</v>
      </c>
      <c r="BN6" s="8">
        <v>95</v>
      </c>
      <c r="BO6" s="8">
        <v>76</v>
      </c>
      <c r="BP6" s="8">
        <v>78</v>
      </c>
      <c r="BQ6" s="8">
        <v>63</v>
      </c>
      <c r="BR6" s="8">
        <v>65</v>
      </c>
      <c r="BS6" s="8">
        <v>60</v>
      </c>
      <c r="BT6" s="8">
        <v>58</v>
      </c>
      <c r="BU6" s="8">
        <v>40</v>
      </c>
      <c r="BV6" s="8">
        <v>31</v>
      </c>
      <c r="BW6" s="8">
        <v>23</v>
      </c>
      <c r="BX6" s="8">
        <v>30</v>
      </c>
      <c r="BY6" s="8">
        <v>20</v>
      </c>
      <c r="BZ6" s="8">
        <v>14</v>
      </c>
      <c r="CA6" s="8">
        <v>40</v>
      </c>
      <c r="CB6" s="8">
        <v>25</v>
      </c>
      <c r="CC6" s="8">
        <v>28</v>
      </c>
      <c r="NA6" s="13"/>
    </row>
    <row r="7" spans="1:365" x14ac:dyDescent="0.25">
      <c r="A7" s="11" t="s">
        <v>157</v>
      </c>
      <c r="B7" s="13" t="s">
        <v>331</v>
      </c>
      <c r="C7" s="13" t="s">
        <v>331</v>
      </c>
      <c r="D7" s="13" t="s">
        <v>331</v>
      </c>
      <c r="E7" s="13" t="s">
        <v>331</v>
      </c>
      <c r="F7" s="13" t="s">
        <v>331</v>
      </c>
      <c r="G7" s="13">
        <v>0</v>
      </c>
      <c r="H7" s="13">
        <v>1</v>
      </c>
      <c r="I7" s="13">
        <v>0</v>
      </c>
      <c r="J7" s="13">
        <v>0</v>
      </c>
      <c r="K7" s="13">
        <v>0</v>
      </c>
      <c r="L7" s="13">
        <v>0</v>
      </c>
      <c r="M7" s="13">
        <v>0</v>
      </c>
      <c r="N7" s="13">
        <v>0</v>
      </c>
      <c r="O7" s="13">
        <v>1</v>
      </c>
      <c r="P7" s="13">
        <v>0</v>
      </c>
      <c r="Q7" s="13">
        <v>0</v>
      </c>
      <c r="R7" s="13">
        <v>0</v>
      </c>
      <c r="S7" s="13">
        <v>0</v>
      </c>
      <c r="T7" s="13">
        <v>0</v>
      </c>
      <c r="U7" s="13">
        <v>0</v>
      </c>
      <c r="V7" s="13">
        <v>0</v>
      </c>
      <c r="W7" s="13">
        <v>0</v>
      </c>
      <c r="X7" s="13">
        <v>0</v>
      </c>
      <c r="Y7" s="13">
        <v>0</v>
      </c>
      <c r="Z7" s="13">
        <v>0</v>
      </c>
      <c r="AA7" s="8">
        <v>1</v>
      </c>
      <c r="AB7" s="8">
        <v>0</v>
      </c>
      <c r="AC7" s="8">
        <v>0</v>
      </c>
      <c r="AD7" s="8">
        <v>0</v>
      </c>
      <c r="AE7" s="8">
        <v>0</v>
      </c>
      <c r="AF7" s="8">
        <v>2</v>
      </c>
      <c r="AG7" s="8">
        <v>0</v>
      </c>
      <c r="AH7" s="8">
        <v>0</v>
      </c>
      <c r="AI7" s="8">
        <v>0</v>
      </c>
      <c r="AJ7" s="8">
        <v>0</v>
      </c>
      <c r="AK7" s="8">
        <v>0</v>
      </c>
      <c r="AL7" s="8">
        <v>0</v>
      </c>
      <c r="AM7" s="8">
        <v>1</v>
      </c>
      <c r="AN7" s="8">
        <v>0</v>
      </c>
      <c r="AO7" s="8">
        <v>0</v>
      </c>
      <c r="AP7" s="8">
        <v>0</v>
      </c>
      <c r="AQ7" s="8">
        <v>0</v>
      </c>
      <c r="AR7" s="8">
        <v>0</v>
      </c>
      <c r="AS7" s="8">
        <v>1</v>
      </c>
      <c r="AT7" s="8">
        <v>1</v>
      </c>
      <c r="AU7" s="8">
        <v>0</v>
      </c>
      <c r="AV7" s="8">
        <v>1</v>
      </c>
      <c r="AW7" s="8">
        <v>0</v>
      </c>
      <c r="AX7" s="8">
        <v>0</v>
      </c>
      <c r="AY7" s="8">
        <v>0</v>
      </c>
      <c r="AZ7" s="8">
        <v>0</v>
      </c>
      <c r="BA7" s="8">
        <v>0</v>
      </c>
      <c r="BB7" s="8">
        <v>0</v>
      </c>
      <c r="BC7" s="8">
        <v>0</v>
      </c>
      <c r="BD7" s="8">
        <v>0</v>
      </c>
      <c r="BE7" s="8">
        <v>0</v>
      </c>
      <c r="BF7" s="8">
        <v>0</v>
      </c>
      <c r="BG7" s="8">
        <v>0</v>
      </c>
      <c r="BH7" s="8">
        <v>0</v>
      </c>
      <c r="BI7" s="8">
        <v>0</v>
      </c>
      <c r="BJ7" s="8">
        <v>0</v>
      </c>
      <c r="BK7" s="8">
        <v>1</v>
      </c>
      <c r="BL7" s="8">
        <v>0</v>
      </c>
      <c r="BM7" s="8">
        <v>0</v>
      </c>
      <c r="BN7" s="8">
        <v>0</v>
      </c>
      <c r="BO7" s="8">
        <v>0</v>
      </c>
      <c r="BP7" s="8">
        <v>2</v>
      </c>
      <c r="BQ7" s="8">
        <v>0</v>
      </c>
      <c r="BR7" s="8">
        <v>0</v>
      </c>
      <c r="BS7" s="8">
        <v>0</v>
      </c>
      <c r="BT7" s="8">
        <v>0</v>
      </c>
      <c r="BU7" s="8">
        <v>0</v>
      </c>
      <c r="BV7" s="8">
        <v>1</v>
      </c>
      <c r="BW7" s="8">
        <v>0</v>
      </c>
      <c r="BX7" s="8">
        <v>0</v>
      </c>
      <c r="BY7" s="8">
        <v>0</v>
      </c>
      <c r="BZ7" s="8">
        <v>0</v>
      </c>
      <c r="CA7" s="8">
        <v>0</v>
      </c>
      <c r="CB7" s="8">
        <v>0</v>
      </c>
      <c r="CC7" s="8">
        <v>0</v>
      </c>
      <c r="NA7" s="13"/>
    </row>
    <row r="8" spans="1:365" x14ac:dyDescent="0.25">
      <c r="A8" s="11" t="s">
        <v>158</v>
      </c>
      <c r="B8" s="13" t="s">
        <v>331</v>
      </c>
      <c r="C8" s="13" t="s">
        <v>331</v>
      </c>
      <c r="D8" s="13" t="s">
        <v>331</v>
      </c>
      <c r="E8" s="13" t="s">
        <v>331</v>
      </c>
      <c r="F8" s="13" t="s">
        <v>331</v>
      </c>
      <c r="G8" s="13">
        <v>0</v>
      </c>
      <c r="H8" s="13">
        <v>1</v>
      </c>
      <c r="I8" s="13">
        <v>2</v>
      </c>
      <c r="J8" s="13">
        <v>2</v>
      </c>
      <c r="K8" s="13">
        <v>6</v>
      </c>
      <c r="L8" s="13">
        <v>1</v>
      </c>
      <c r="M8" s="13">
        <v>2</v>
      </c>
      <c r="N8" s="13">
        <v>1</v>
      </c>
      <c r="O8" s="13">
        <v>0</v>
      </c>
      <c r="P8" s="13">
        <v>2</v>
      </c>
      <c r="Q8" s="13">
        <v>0</v>
      </c>
      <c r="R8" s="13">
        <v>2</v>
      </c>
      <c r="S8" s="13">
        <v>1</v>
      </c>
      <c r="T8" s="13">
        <v>4</v>
      </c>
      <c r="U8" s="13">
        <v>0</v>
      </c>
      <c r="V8" s="13">
        <v>3</v>
      </c>
      <c r="W8" s="13">
        <v>0</v>
      </c>
      <c r="X8" s="13">
        <v>4</v>
      </c>
      <c r="Y8" s="13">
        <v>1</v>
      </c>
      <c r="Z8" s="13">
        <v>3</v>
      </c>
      <c r="AA8" s="8">
        <v>1</v>
      </c>
      <c r="AB8" s="8">
        <v>0</v>
      </c>
      <c r="AC8" s="8">
        <v>5</v>
      </c>
      <c r="AD8" s="8">
        <v>0</v>
      </c>
      <c r="AE8" s="8">
        <v>0</v>
      </c>
      <c r="AF8" s="8">
        <v>3</v>
      </c>
      <c r="AG8" s="8">
        <v>2</v>
      </c>
      <c r="AH8" s="8">
        <v>1</v>
      </c>
      <c r="AI8" s="8">
        <v>0</v>
      </c>
      <c r="AJ8" s="8">
        <v>1</v>
      </c>
      <c r="AK8" s="8">
        <v>1</v>
      </c>
      <c r="AL8" s="8">
        <v>0</v>
      </c>
      <c r="AM8" s="8">
        <v>2</v>
      </c>
      <c r="AN8" s="8">
        <v>1</v>
      </c>
      <c r="AO8" s="8">
        <v>3</v>
      </c>
      <c r="AP8" s="8">
        <v>1</v>
      </c>
      <c r="AQ8" s="8">
        <v>2</v>
      </c>
      <c r="AR8" s="8">
        <v>1</v>
      </c>
      <c r="AS8" s="8">
        <v>2</v>
      </c>
      <c r="AT8" s="8">
        <v>4</v>
      </c>
      <c r="AU8" s="8">
        <v>1</v>
      </c>
      <c r="AV8" s="8">
        <v>1</v>
      </c>
      <c r="AW8" s="8">
        <v>1</v>
      </c>
      <c r="AX8" s="8">
        <v>2</v>
      </c>
      <c r="AY8" s="8">
        <v>0</v>
      </c>
      <c r="AZ8" s="8">
        <v>0</v>
      </c>
      <c r="BA8" s="8">
        <v>3</v>
      </c>
      <c r="BB8" s="8">
        <v>2</v>
      </c>
      <c r="BC8" s="8">
        <v>5</v>
      </c>
      <c r="BD8" s="8">
        <v>1</v>
      </c>
      <c r="BE8" s="8">
        <v>2</v>
      </c>
      <c r="BF8" s="8">
        <v>1</v>
      </c>
      <c r="BG8" s="8">
        <v>2</v>
      </c>
      <c r="BH8" s="8">
        <v>3</v>
      </c>
      <c r="BI8" s="8">
        <v>1</v>
      </c>
      <c r="BJ8" s="8">
        <v>2</v>
      </c>
      <c r="BK8" s="8">
        <v>4</v>
      </c>
      <c r="BL8" s="8">
        <v>3</v>
      </c>
      <c r="BM8" s="8">
        <v>1</v>
      </c>
      <c r="BN8" s="8">
        <v>2</v>
      </c>
      <c r="BO8" s="8">
        <v>1</v>
      </c>
      <c r="BP8" s="8">
        <v>1</v>
      </c>
      <c r="BQ8" s="8">
        <v>0</v>
      </c>
      <c r="BR8" s="8">
        <v>1</v>
      </c>
      <c r="BS8" s="8">
        <v>2</v>
      </c>
      <c r="BT8" s="8">
        <v>1</v>
      </c>
      <c r="BU8" s="8">
        <v>2</v>
      </c>
      <c r="BV8" s="8">
        <v>0</v>
      </c>
      <c r="BW8" s="8">
        <v>2</v>
      </c>
      <c r="BX8" s="8">
        <v>2</v>
      </c>
      <c r="BY8" s="8">
        <v>1</v>
      </c>
      <c r="BZ8" s="8">
        <v>0</v>
      </c>
      <c r="CA8" s="8">
        <v>1</v>
      </c>
      <c r="CB8" s="8">
        <v>2</v>
      </c>
      <c r="CC8" s="8">
        <v>0</v>
      </c>
      <c r="NA8" s="13"/>
    </row>
    <row r="9" spans="1:365" x14ac:dyDescent="0.25">
      <c r="A9" s="11" t="s">
        <v>159</v>
      </c>
      <c r="B9" s="13" t="s">
        <v>331</v>
      </c>
      <c r="C9" s="13" t="s">
        <v>331</v>
      </c>
      <c r="D9" s="13" t="s">
        <v>331</v>
      </c>
      <c r="E9" s="13" t="s">
        <v>331</v>
      </c>
      <c r="F9" s="13" t="s">
        <v>331</v>
      </c>
      <c r="G9" s="13">
        <v>2</v>
      </c>
      <c r="H9" s="13">
        <v>7</v>
      </c>
      <c r="I9" s="13">
        <v>3</v>
      </c>
      <c r="J9" s="13">
        <v>5</v>
      </c>
      <c r="K9" s="13">
        <v>1</v>
      </c>
      <c r="L9" s="13">
        <v>3</v>
      </c>
      <c r="M9" s="13">
        <v>6</v>
      </c>
      <c r="N9" s="13">
        <v>9</v>
      </c>
      <c r="O9" s="13">
        <v>8</v>
      </c>
      <c r="P9" s="13">
        <v>6</v>
      </c>
      <c r="Q9" s="13">
        <v>7</v>
      </c>
      <c r="R9" s="13">
        <v>18</v>
      </c>
      <c r="S9" s="13">
        <v>10</v>
      </c>
      <c r="T9" s="13">
        <v>9</v>
      </c>
      <c r="U9" s="13">
        <v>5</v>
      </c>
      <c r="V9" s="13">
        <v>9</v>
      </c>
      <c r="W9" s="13">
        <v>7</v>
      </c>
      <c r="X9" s="13">
        <v>9</v>
      </c>
      <c r="Y9" s="13">
        <v>12</v>
      </c>
      <c r="Z9" s="13">
        <v>9</v>
      </c>
      <c r="AA9" s="8">
        <v>13</v>
      </c>
      <c r="AB9" s="8">
        <v>19</v>
      </c>
      <c r="AC9" s="8">
        <v>9</v>
      </c>
      <c r="AD9" s="8">
        <v>23</v>
      </c>
      <c r="AE9" s="8">
        <v>19</v>
      </c>
      <c r="AF9" s="8">
        <v>17</v>
      </c>
      <c r="AG9" s="8">
        <v>20</v>
      </c>
      <c r="AH9" s="8">
        <v>11</v>
      </c>
      <c r="AI9" s="8">
        <v>16</v>
      </c>
      <c r="AJ9" s="8">
        <v>20</v>
      </c>
      <c r="AK9" s="8">
        <v>16</v>
      </c>
      <c r="AL9" s="8">
        <v>15</v>
      </c>
      <c r="AM9" s="8">
        <v>16</v>
      </c>
      <c r="AN9" s="8">
        <v>18</v>
      </c>
      <c r="AO9" s="8">
        <v>16</v>
      </c>
      <c r="AP9" s="8">
        <v>18</v>
      </c>
      <c r="AQ9" s="8">
        <v>15</v>
      </c>
      <c r="AR9" s="8">
        <v>16</v>
      </c>
      <c r="AS9" s="8">
        <v>17</v>
      </c>
      <c r="AT9" s="8">
        <v>14</v>
      </c>
      <c r="AU9" s="8">
        <v>18</v>
      </c>
      <c r="AV9" s="8">
        <v>11</v>
      </c>
      <c r="AW9" s="8">
        <v>23</v>
      </c>
      <c r="AX9" s="8">
        <v>19</v>
      </c>
      <c r="AY9" s="8">
        <v>24</v>
      </c>
      <c r="AZ9" s="8">
        <v>25</v>
      </c>
      <c r="BA9" s="8">
        <v>23</v>
      </c>
      <c r="BB9" s="8">
        <v>23</v>
      </c>
      <c r="BC9" s="8">
        <v>22</v>
      </c>
      <c r="BD9" s="8">
        <v>18</v>
      </c>
      <c r="BE9" s="8">
        <v>19</v>
      </c>
      <c r="BF9" s="8">
        <v>16</v>
      </c>
      <c r="BG9" s="8">
        <v>17</v>
      </c>
      <c r="BH9" s="8">
        <v>13</v>
      </c>
      <c r="BI9" s="8">
        <v>12</v>
      </c>
      <c r="BJ9" s="8">
        <v>16</v>
      </c>
      <c r="BK9" s="8">
        <v>20</v>
      </c>
      <c r="BL9" s="8">
        <v>18</v>
      </c>
      <c r="BM9" s="8">
        <v>10</v>
      </c>
      <c r="BN9" s="8">
        <v>8</v>
      </c>
      <c r="BO9" s="8">
        <v>14</v>
      </c>
      <c r="BP9" s="8">
        <v>7</v>
      </c>
      <c r="BQ9" s="8">
        <v>8</v>
      </c>
      <c r="BR9" s="8">
        <v>15</v>
      </c>
      <c r="BS9" s="8">
        <v>13</v>
      </c>
      <c r="BT9" s="8">
        <v>11</v>
      </c>
      <c r="BU9" s="8">
        <v>5</v>
      </c>
      <c r="BV9" s="8">
        <v>10</v>
      </c>
      <c r="BW9" s="8">
        <v>4</v>
      </c>
      <c r="BX9" s="8">
        <v>5</v>
      </c>
      <c r="BY9" s="8">
        <v>1</v>
      </c>
      <c r="BZ9" s="8">
        <v>2</v>
      </c>
      <c r="CA9" s="8">
        <v>7</v>
      </c>
      <c r="CB9" s="8">
        <v>4</v>
      </c>
      <c r="CC9" s="8">
        <v>7</v>
      </c>
      <c r="NA9" s="13"/>
    </row>
    <row r="10" spans="1:365" x14ac:dyDescent="0.25">
      <c r="A10" s="11" t="s">
        <v>160</v>
      </c>
      <c r="B10" s="13" t="s">
        <v>331</v>
      </c>
      <c r="C10" s="13" t="s">
        <v>331</v>
      </c>
      <c r="D10" s="13" t="s">
        <v>331</v>
      </c>
      <c r="E10" s="13" t="s">
        <v>331</v>
      </c>
      <c r="F10" s="13" t="s">
        <v>331</v>
      </c>
      <c r="G10" s="13">
        <v>16</v>
      </c>
      <c r="H10" s="13">
        <v>17</v>
      </c>
      <c r="I10" s="13">
        <v>17</v>
      </c>
      <c r="J10" s="13">
        <v>19</v>
      </c>
      <c r="K10" s="13">
        <v>16</v>
      </c>
      <c r="L10" s="13">
        <v>20</v>
      </c>
      <c r="M10" s="13">
        <v>28</v>
      </c>
      <c r="N10" s="13">
        <v>25</v>
      </c>
      <c r="O10" s="13">
        <v>21</v>
      </c>
      <c r="P10" s="13">
        <v>31</v>
      </c>
      <c r="Q10" s="13">
        <v>38</v>
      </c>
      <c r="R10" s="13">
        <v>36</v>
      </c>
      <c r="S10" s="13">
        <v>58</v>
      </c>
      <c r="T10" s="13">
        <v>61</v>
      </c>
      <c r="U10" s="13">
        <v>54</v>
      </c>
      <c r="V10" s="13">
        <v>66</v>
      </c>
      <c r="W10" s="13">
        <v>58</v>
      </c>
      <c r="X10" s="13">
        <v>77</v>
      </c>
      <c r="Y10" s="13">
        <v>79</v>
      </c>
      <c r="Z10" s="13">
        <v>96</v>
      </c>
      <c r="AA10" s="8">
        <v>95</v>
      </c>
      <c r="AB10" s="8">
        <v>91</v>
      </c>
      <c r="AC10" s="8">
        <v>97</v>
      </c>
      <c r="AD10" s="8">
        <v>116</v>
      </c>
      <c r="AE10" s="8">
        <v>136</v>
      </c>
      <c r="AF10" s="8">
        <v>123</v>
      </c>
      <c r="AG10" s="8">
        <v>114</v>
      </c>
      <c r="AH10" s="8">
        <v>86</v>
      </c>
      <c r="AI10" s="8">
        <v>88</v>
      </c>
      <c r="AJ10" s="8">
        <v>118</v>
      </c>
      <c r="AK10" s="8">
        <v>95</v>
      </c>
      <c r="AL10" s="8">
        <v>76</v>
      </c>
      <c r="AM10" s="8">
        <v>102</v>
      </c>
      <c r="AN10" s="8">
        <v>108</v>
      </c>
      <c r="AO10" s="8">
        <v>98</v>
      </c>
      <c r="AP10" s="8">
        <v>100</v>
      </c>
      <c r="AQ10" s="8">
        <v>111</v>
      </c>
      <c r="AR10" s="8">
        <v>105</v>
      </c>
      <c r="AS10" s="8">
        <v>127</v>
      </c>
      <c r="AT10" s="8">
        <v>107</v>
      </c>
      <c r="AU10" s="8">
        <v>104</v>
      </c>
      <c r="AV10" s="8">
        <v>101</v>
      </c>
      <c r="AW10" s="8">
        <v>104</v>
      </c>
      <c r="AX10" s="8">
        <v>104</v>
      </c>
      <c r="AY10" s="8">
        <v>107</v>
      </c>
      <c r="AZ10" s="8">
        <v>135</v>
      </c>
      <c r="BA10" s="8">
        <v>134</v>
      </c>
      <c r="BB10" s="8">
        <v>153</v>
      </c>
      <c r="BC10" s="8">
        <v>110</v>
      </c>
      <c r="BD10" s="8">
        <v>123</v>
      </c>
      <c r="BE10" s="8">
        <v>115</v>
      </c>
      <c r="BF10" s="8">
        <v>115</v>
      </c>
      <c r="BG10" s="8">
        <v>91</v>
      </c>
      <c r="BH10" s="8">
        <v>89</v>
      </c>
      <c r="BI10" s="8">
        <v>83</v>
      </c>
      <c r="BJ10" s="8">
        <v>86</v>
      </c>
      <c r="BK10" s="8">
        <v>85</v>
      </c>
      <c r="BL10" s="8">
        <v>86</v>
      </c>
      <c r="BM10" s="8">
        <v>79</v>
      </c>
      <c r="BN10" s="8">
        <v>85</v>
      </c>
      <c r="BO10" s="8">
        <v>61</v>
      </c>
      <c r="BP10" s="8">
        <v>68</v>
      </c>
      <c r="BQ10" s="8">
        <v>55</v>
      </c>
      <c r="BR10" s="8">
        <v>49</v>
      </c>
      <c r="BS10" s="8">
        <v>45</v>
      </c>
      <c r="BT10" s="8">
        <v>46</v>
      </c>
      <c r="BU10" s="8">
        <v>33</v>
      </c>
      <c r="BV10" s="8">
        <v>20</v>
      </c>
      <c r="BW10" s="8">
        <v>17</v>
      </c>
      <c r="BX10" s="8">
        <v>22</v>
      </c>
      <c r="BY10" s="8">
        <v>18</v>
      </c>
      <c r="BZ10" s="8">
        <v>12</v>
      </c>
      <c r="CA10" s="8">
        <v>32</v>
      </c>
      <c r="CB10" s="8">
        <v>19</v>
      </c>
      <c r="CC10" s="8">
        <v>21</v>
      </c>
      <c r="NA10" s="13"/>
    </row>
    <row r="11" spans="1:365" x14ac:dyDescent="0.25">
      <c r="A11" s="11" t="s">
        <v>161</v>
      </c>
      <c r="B11" s="13">
        <v>120</v>
      </c>
      <c r="C11" s="13">
        <v>174</v>
      </c>
      <c r="D11" s="13">
        <v>136</v>
      </c>
      <c r="E11" s="13">
        <v>121</v>
      </c>
      <c r="F11" s="13">
        <v>110</v>
      </c>
      <c r="G11" s="13">
        <v>98</v>
      </c>
      <c r="H11" s="13">
        <v>100</v>
      </c>
      <c r="I11" s="13">
        <v>103</v>
      </c>
      <c r="J11" s="13">
        <v>104</v>
      </c>
      <c r="K11" s="13">
        <v>128</v>
      </c>
      <c r="L11" s="13">
        <v>115</v>
      </c>
      <c r="M11" s="13">
        <v>148</v>
      </c>
      <c r="N11" s="13">
        <v>131</v>
      </c>
      <c r="O11" s="13">
        <v>165</v>
      </c>
      <c r="P11" s="13">
        <v>184</v>
      </c>
      <c r="Q11" s="13">
        <v>237</v>
      </c>
      <c r="R11" s="13">
        <v>235</v>
      </c>
      <c r="S11" s="13">
        <v>298</v>
      </c>
      <c r="T11" s="13">
        <v>376</v>
      </c>
      <c r="U11" s="13">
        <v>407</v>
      </c>
      <c r="V11" s="13">
        <v>402</v>
      </c>
      <c r="W11" s="13">
        <v>429</v>
      </c>
      <c r="X11" s="13">
        <v>454</v>
      </c>
      <c r="Y11" s="13">
        <v>455</v>
      </c>
      <c r="Z11" s="13">
        <v>475</v>
      </c>
      <c r="AA11" s="8">
        <v>504</v>
      </c>
      <c r="AB11" s="8">
        <v>579</v>
      </c>
      <c r="AC11" s="8">
        <v>651</v>
      </c>
      <c r="AD11" s="8">
        <v>663</v>
      </c>
      <c r="AE11" s="8">
        <v>631</v>
      </c>
      <c r="AF11" s="8">
        <v>593</v>
      </c>
      <c r="AG11" s="8">
        <v>551</v>
      </c>
      <c r="AH11" s="8">
        <v>531</v>
      </c>
      <c r="AI11" s="8">
        <v>542</v>
      </c>
      <c r="AJ11" s="8">
        <v>543</v>
      </c>
      <c r="AK11" s="8">
        <v>496</v>
      </c>
      <c r="AL11" s="8">
        <v>473</v>
      </c>
      <c r="AM11" s="8">
        <v>472</v>
      </c>
      <c r="AN11" s="8">
        <v>459</v>
      </c>
      <c r="AO11" s="8">
        <v>473</v>
      </c>
      <c r="AP11" s="8">
        <v>537</v>
      </c>
      <c r="AQ11" s="8">
        <v>524</v>
      </c>
      <c r="AR11" s="8">
        <v>529</v>
      </c>
      <c r="AS11" s="8">
        <v>514</v>
      </c>
      <c r="AT11" s="8">
        <v>489</v>
      </c>
      <c r="AU11" s="8">
        <v>431</v>
      </c>
      <c r="AV11" s="8">
        <v>449</v>
      </c>
      <c r="AW11" s="8">
        <v>457</v>
      </c>
      <c r="AX11" s="8">
        <v>426</v>
      </c>
      <c r="AY11" s="8">
        <v>385</v>
      </c>
      <c r="AZ11" s="8">
        <v>428</v>
      </c>
      <c r="BA11" s="8">
        <v>494</v>
      </c>
      <c r="BB11" s="8">
        <v>505</v>
      </c>
      <c r="BC11" s="8">
        <v>496</v>
      </c>
      <c r="BD11" s="8">
        <v>420</v>
      </c>
      <c r="BE11" s="8">
        <v>370</v>
      </c>
      <c r="BF11" s="8">
        <v>410</v>
      </c>
      <c r="BG11" s="8">
        <v>358</v>
      </c>
      <c r="BH11" s="8">
        <v>350</v>
      </c>
      <c r="BI11" s="8">
        <v>344</v>
      </c>
      <c r="BJ11" s="8">
        <v>322</v>
      </c>
      <c r="BK11" s="8">
        <v>348</v>
      </c>
      <c r="BL11" s="8">
        <v>348</v>
      </c>
      <c r="BM11" s="8">
        <v>371</v>
      </c>
      <c r="BN11" s="8">
        <v>349</v>
      </c>
      <c r="BO11" s="8">
        <v>299</v>
      </c>
      <c r="BP11" s="8">
        <v>261</v>
      </c>
      <c r="BQ11" s="8">
        <v>209</v>
      </c>
      <c r="BR11" s="8">
        <v>224</v>
      </c>
      <c r="BS11" s="8">
        <v>164</v>
      </c>
      <c r="BT11" s="8">
        <v>147</v>
      </c>
      <c r="BU11" s="8">
        <v>121</v>
      </c>
      <c r="BV11" s="8">
        <v>107</v>
      </c>
      <c r="BW11" s="8">
        <v>94</v>
      </c>
      <c r="BX11" s="8">
        <v>91</v>
      </c>
      <c r="BY11" s="8">
        <v>78</v>
      </c>
      <c r="BZ11" s="8">
        <v>59</v>
      </c>
      <c r="CA11" s="8">
        <v>51</v>
      </c>
      <c r="CB11" s="8">
        <v>55</v>
      </c>
      <c r="CC11" s="8">
        <v>72</v>
      </c>
      <c r="NA11" s="13"/>
    </row>
    <row r="12" spans="1:365" x14ac:dyDescent="0.25">
      <c r="A12" s="11" t="s">
        <v>162</v>
      </c>
      <c r="B12" s="13">
        <v>465</v>
      </c>
      <c r="C12" s="13">
        <v>444</v>
      </c>
      <c r="D12" s="13">
        <v>448</v>
      </c>
      <c r="E12" s="13">
        <v>480</v>
      </c>
      <c r="F12" s="13">
        <v>463</v>
      </c>
      <c r="G12" s="13">
        <v>448</v>
      </c>
      <c r="H12" s="13">
        <v>408</v>
      </c>
      <c r="I12" s="13">
        <v>420</v>
      </c>
      <c r="J12" s="13">
        <v>413</v>
      </c>
      <c r="K12" s="13">
        <v>462</v>
      </c>
      <c r="L12" s="13">
        <v>486</v>
      </c>
      <c r="M12" s="13">
        <v>590</v>
      </c>
      <c r="N12" s="13">
        <v>609</v>
      </c>
      <c r="O12" s="13">
        <v>643</v>
      </c>
      <c r="P12" s="13">
        <v>716</v>
      </c>
      <c r="Q12" s="13">
        <v>852</v>
      </c>
      <c r="R12" s="13">
        <v>988</v>
      </c>
      <c r="S12" s="13">
        <v>1034</v>
      </c>
      <c r="T12" s="13">
        <v>1147</v>
      </c>
      <c r="U12" s="13">
        <v>1540</v>
      </c>
      <c r="V12" s="13">
        <v>1497</v>
      </c>
      <c r="W12" s="13">
        <v>1409</v>
      </c>
      <c r="X12" s="13">
        <v>1457</v>
      </c>
      <c r="Y12" s="13">
        <v>1481</v>
      </c>
      <c r="Z12" s="13">
        <v>1488</v>
      </c>
      <c r="AA12" s="8">
        <v>1659</v>
      </c>
      <c r="AB12" s="8">
        <v>1669</v>
      </c>
      <c r="AC12" s="8">
        <v>1851</v>
      </c>
      <c r="AD12" s="8">
        <v>1880</v>
      </c>
      <c r="AE12" s="8">
        <v>1807</v>
      </c>
      <c r="AF12" s="8">
        <v>1635</v>
      </c>
      <c r="AG12" s="8">
        <v>1438</v>
      </c>
      <c r="AH12" s="8">
        <v>1365</v>
      </c>
      <c r="AI12" s="8">
        <v>1332</v>
      </c>
      <c r="AJ12" s="8">
        <v>1362</v>
      </c>
      <c r="AK12" s="8">
        <v>1396</v>
      </c>
      <c r="AL12" s="8">
        <v>1267</v>
      </c>
      <c r="AM12" s="8">
        <v>1358</v>
      </c>
      <c r="AN12" s="8">
        <v>1194</v>
      </c>
      <c r="AO12" s="8">
        <v>1248</v>
      </c>
      <c r="AP12" s="8">
        <v>1367</v>
      </c>
      <c r="AQ12" s="8">
        <v>1252</v>
      </c>
      <c r="AR12" s="8">
        <v>1262</v>
      </c>
      <c r="AS12" s="8">
        <v>1221</v>
      </c>
      <c r="AT12" s="8">
        <v>1157</v>
      </c>
      <c r="AU12" s="8">
        <v>1140</v>
      </c>
      <c r="AV12" s="8">
        <v>1108</v>
      </c>
      <c r="AW12" s="8">
        <v>1039</v>
      </c>
      <c r="AX12" s="8">
        <v>992</v>
      </c>
      <c r="AY12" s="8">
        <v>845</v>
      </c>
      <c r="AZ12" s="8">
        <v>913</v>
      </c>
      <c r="BA12" s="8">
        <v>1001</v>
      </c>
      <c r="BB12" s="8">
        <v>1101</v>
      </c>
      <c r="BC12" s="8">
        <v>1112</v>
      </c>
      <c r="BD12" s="8">
        <v>1050</v>
      </c>
      <c r="BE12" s="8">
        <v>954</v>
      </c>
      <c r="BF12" s="8">
        <v>868</v>
      </c>
      <c r="BG12" s="8">
        <v>915</v>
      </c>
      <c r="BH12" s="8">
        <v>906</v>
      </c>
      <c r="BI12" s="8">
        <v>853</v>
      </c>
      <c r="BJ12" s="8">
        <v>853</v>
      </c>
      <c r="BK12" s="8">
        <v>849</v>
      </c>
      <c r="BL12" s="8">
        <v>893</v>
      </c>
      <c r="BM12" s="8">
        <v>839</v>
      </c>
      <c r="BN12" s="8">
        <v>802</v>
      </c>
      <c r="BO12" s="8">
        <v>755</v>
      </c>
      <c r="BP12" s="8">
        <v>682</v>
      </c>
      <c r="BQ12" s="8">
        <v>570</v>
      </c>
      <c r="BR12" s="8">
        <v>533</v>
      </c>
      <c r="BS12" s="8">
        <v>457</v>
      </c>
      <c r="BT12" s="8">
        <v>391</v>
      </c>
      <c r="BU12" s="8">
        <v>364</v>
      </c>
      <c r="BV12" s="8">
        <v>301</v>
      </c>
      <c r="BW12" s="8">
        <v>234</v>
      </c>
      <c r="BX12" s="8">
        <v>214</v>
      </c>
      <c r="BY12" s="8">
        <v>186</v>
      </c>
      <c r="BZ12" s="8">
        <v>160</v>
      </c>
      <c r="CA12" s="8">
        <v>187</v>
      </c>
      <c r="CB12" s="8">
        <v>201</v>
      </c>
      <c r="CC12" s="8">
        <v>163</v>
      </c>
      <c r="NA12" s="13"/>
    </row>
    <row r="13" spans="1:365" x14ac:dyDescent="0.25">
      <c r="A13" s="11" t="s">
        <v>163</v>
      </c>
      <c r="B13" s="13">
        <v>1007</v>
      </c>
      <c r="C13" s="13">
        <v>1039</v>
      </c>
      <c r="D13" s="13">
        <v>1131</v>
      </c>
      <c r="E13" s="13">
        <v>1102</v>
      </c>
      <c r="F13" s="13">
        <v>1267</v>
      </c>
      <c r="G13" s="13">
        <v>1165</v>
      </c>
      <c r="H13" s="13">
        <v>1039</v>
      </c>
      <c r="I13" s="13">
        <v>1082</v>
      </c>
      <c r="J13" s="13">
        <v>1147</v>
      </c>
      <c r="K13" s="13">
        <v>1201</v>
      </c>
      <c r="L13" s="13">
        <v>1223</v>
      </c>
      <c r="M13" s="13">
        <v>1431</v>
      </c>
      <c r="N13" s="13">
        <v>1560</v>
      </c>
      <c r="O13" s="13">
        <v>1628</v>
      </c>
      <c r="P13" s="13">
        <v>1650</v>
      </c>
      <c r="Q13" s="13">
        <v>1780</v>
      </c>
      <c r="R13" s="13">
        <v>1988</v>
      </c>
      <c r="S13" s="13">
        <v>2152</v>
      </c>
      <c r="T13" s="13">
        <v>2164</v>
      </c>
      <c r="U13" s="13">
        <v>2399</v>
      </c>
      <c r="V13" s="13">
        <v>2948</v>
      </c>
      <c r="W13" s="13">
        <v>2853</v>
      </c>
      <c r="X13" s="13">
        <v>2943</v>
      </c>
      <c r="Y13" s="13">
        <v>2835</v>
      </c>
      <c r="Z13" s="13">
        <v>2809</v>
      </c>
      <c r="AA13" s="8">
        <v>2699</v>
      </c>
      <c r="AB13" s="8">
        <v>3034</v>
      </c>
      <c r="AC13" s="8">
        <v>2858</v>
      </c>
      <c r="AD13" s="8">
        <v>2694</v>
      </c>
      <c r="AE13" s="8">
        <v>2739</v>
      </c>
      <c r="AF13" s="8">
        <v>2600</v>
      </c>
      <c r="AG13" s="8">
        <v>2342</v>
      </c>
      <c r="AH13" s="8">
        <v>2172</v>
      </c>
      <c r="AI13" s="8">
        <v>2161</v>
      </c>
      <c r="AJ13" s="8">
        <v>2208</v>
      </c>
      <c r="AK13" s="8">
        <v>2203</v>
      </c>
      <c r="AL13" s="8">
        <v>2146</v>
      </c>
      <c r="AM13" s="8">
        <v>2086</v>
      </c>
      <c r="AN13" s="8">
        <v>1928</v>
      </c>
      <c r="AO13" s="8">
        <v>1920</v>
      </c>
      <c r="AP13" s="8">
        <v>1996</v>
      </c>
      <c r="AQ13" s="8">
        <v>1981</v>
      </c>
      <c r="AR13" s="8">
        <v>2003</v>
      </c>
      <c r="AS13" s="8">
        <v>1840</v>
      </c>
      <c r="AT13" s="8">
        <v>1757</v>
      </c>
      <c r="AU13" s="8">
        <v>1704</v>
      </c>
      <c r="AV13" s="8">
        <v>1681</v>
      </c>
      <c r="AW13" s="8">
        <v>1608</v>
      </c>
      <c r="AX13" s="8">
        <v>1504</v>
      </c>
      <c r="AY13" s="8">
        <v>1331</v>
      </c>
      <c r="AZ13" s="8">
        <v>1204</v>
      </c>
      <c r="BA13" s="8">
        <v>1343</v>
      </c>
      <c r="BB13" s="8">
        <v>1390</v>
      </c>
      <c r="BC13" s="8">
        <v>1423</v>
      </c>
      <c r="BD13" s="8">
        <v>1501</v>
      </c>
      <c r="BE13" s="8">
        <v>1382</v>
      </c>
      <c r="BF13" s="8">
        <v>1339</v>
      </c>
      <c r="BG13" s="8">
        <v>1247</v>
      </c>
      <c r="BH13" s="8">
        <v>1285</v>
      </c>
      <c r="BI13" s="8">
        <v>1290</v>
      </c>
      <c r="BJ13" s="8">
        <v>1280</v>
      </c>
      <c r="BK13" s="8">
        <v>1269</v>
      </c>
      <c r="BL13" s="8">
        <v>1223</v>
      </c>
      <c r="BM13" s="8">
        <v>1298</v>
      </c>
      <c r="BN13" s="8">
        <v>1170</v>
      </c>
      <c r="BO13" s="8">
        <v>1100</v>
      </c>
      <c r="BP13" s="8">
        <v>921</v>
      </c>
      <c r="BQ13" s="8">
        <v>951</v>
      </c>
      <c r="BR13" s="8">
        <v>773</v>
      </c>
      <c r="BS13" s="8">
        <v>697</v>
      </c>
      <c r="BT13" s="8">
        <v>609</v>
      </c>
      <c r="BU13" s="8">
        <v>551</v>
      </c>
      <c r="BV13" s="8">
        <v>550</v>
      </c>
      <c r="BW13" s="8">
        <v>483</v>
      </c>
      <c r="BX13" s="8">
        <v>433</v>
      </c>
      <c r="BY13" s="8">
        <v>341</v>
      </c>
      <c r="BZ13" s="8">
        <v>290</v>
      </c>
      <c r="CA13" s="8">
        <v>291</v>
      </c>
      <c r="CB13" s="8">
        <v>333</v>
      </c>
      <c r="CC13" s="8">
        <v>310</v>
      </c>
      <c r="NA13" s="13"/>
    </row>
    <row r="14" spans="1:365" x14ac:dyDescent="0.25">
      <c r="A14" s="11" t="s">
        <v>164</v>
      </c>
      <c r="B14" s="13">
        <v>1914</v>
      </c>
      <c r="C14" s="13">
        <v>1832</v>
      </c>
      <c r="D14" s="13">
        <v>2169</v>
      </c>
      <c r="E14" s="13">
        <v>2249</v>
      </c>
      <c r="F14" s="13">
        <v>2353</v>
      </c>
      <c r="G14" s="13">
        <v>2249</v>
      </c>
      <c r="H14" s="13">
        <v>2123</v>
      </c>
      <c r="I14" s="13">
        <v>2058</v>
      </c>
      <c r="J14" s="13">
        <v>2109</v>
      </c>
      <c r="K14" s="13">
        <v>2212</v>
      </c>
      <c r="L14" s="13">
        <v>2386</v>
      </c>
      <c r="M14" s="13">
        <v>2631</v>
      </c>
      <c r="N14" s="13">
        <v>2753</v>
      </c>
      <c r="O14" s="13">
        <v>2907</v>
      </c>
      <c r="P14" s="13">
        <v>3053</v>
      </c>
      <c r="Q14" s="13">
        <v>3052</v>
      </c>
      <c r="R14" s="13">
        <v>3065</v>
      </c>
      <c r="S14" s="13">
        <v>3486</v>
      </c>
      <c r="T14" s="13">
        <v>3601</v>
      </c>
      <c r="U14" s="13">
        <v>3649</v>
      </c>
      <c r="V14" s="13">
        <v>3689</v>
      </c>
      <c r="W14" s="13">
        <v>4607</v>
      </c>
      <c r="X14" s="13">
        <v>4503</v>
      </c>
      <c r="Y14" s="13">
        <v>4214</v>
      </c>
      <c r="Z14" s="13">
        <v>4051</v>
      </c>
      <c r="AA14" s="8">
        <v>4062</v>
      </c>
      <c r="AB14" s="8">
        <v>3804</v>
      </c>
      <c r="AC14" s="8">
        <v>3760</v>
      </c>
      <c r="AD14" s="8">
        <v>3564</v>
      </c>
      <c r="AE14" s="8">
        <v>3447</v>
      </c>
      <c r="AF14" s="8">
        <v>3294</v>
      </c>
      <c r="AG14" s="8">
        <v>3047</v>
      </c>
      <c r="AH14" s="8">
        <v>2811</v>
      </c>
      <c r="AI14" s="8">
        <v>2945</v>
      </c>
      <c r="AJ14" s="8">
        <v>2900</v>
      </c>
      <c r="AK14" s="8">
        <v>3019</v>
      </c>
      <c r="AL14" s="8">
        <v>2894</v>
      </c>
      <c r="AM14" s="8">
        <v>2848</v>
      </c>
      <c r="AN14" s="8">
        <v>2633</v>
      </c>
      <c r="AO14" s="8">
        <v>2484</v>
      </c>
      <c r="AP14" s="8">
        <v>2499</v>
      </c>
      <c r="AQ14" s="8">
        <v>2496</v>
      </c>
      <c r="AR14" s="8">
        <v>2473</v>
      </c>
      <c r="AS14" s="8">
        <v>2436</v>
      </c>
      <c r="AT14" s="8">
        <v>2191</v>
      </c>
      <c r="AU14" s="8">
        <v>2205</v>
      </c>
      <c r="AV14" s="8">
        <v>2171</v>
      </c>
      <c r="AW14" s="8">
        <v>1974</v>
      </c>
      <c r="AX14" s="8">
        <v>1703</v>
      </c>
      <c r="AY14" s="8">
        <v>1611</v>
      </c>
      <c r="AZ14" s="8">
        <v>1575</v>
      </c>
      <c r="BA14" s="8">
        <v>1546</v>
      </c>
      <c r="BB14" s="8">
        <v>1661</v>
      </c>
      <c r="BC14" s="8">
        <v>1634</v>
      </c>
      <c r="BD14" s="8">
        <v>1642</v>
      </c>
      <c r="BE14" s="8">
        <v>1757</v>
      </c>
      <c r="BF14" s="8">
        <v>1695</v>
      </c>
      <c r="BG14" s="8">
        <v>1565</v>
      </c>
      <c r="BH14" s="8">
        <v>1509</v>
      </c>
      <c r="BI14" s="8">
        <v>1589</v>
      </c>
      <c r="BJ14" s="8">
        <v>1612</v>
      </c>
      <c r="BK14" s="8">
        <v>1554</v>
      </c>
      <c r="BL14" s="8">
        <v>1733</v>
      </c>
      <c r="BM14" s="8">
        <v>1681</v>
      </c>
      <c r="BN14" s="8">
        <v>1574</v>
      </c>
      <c r="BO14" s="8">
        <v>1525</v>
      </c>
      <c r="BP14" s="8">
        <v>1445</v>
      </c>
      <c r="BQ14" s="8">
        <v>1281</v>
      </c>
      <c r="BR14" s="8">
        <v>1168</v>
      </c>
      <c r="BS14" s="8">
        <v>1068</v>
      </c>
      <c r="BT14" s="8">
        <v>921</v>
      </c>
      <c r="BU14" s="8">
        <v>898</v>
      </c>
      <c r="BV14" s="8">
        <v>849</v>
      </c>
      <c r="BW14" s="8">
        <v>780</v>
      </c>
      <c r="BX14" s="8">
        <v>681</v>
      </c>
      <c r="BY14" s="8">
        <v>656</v>
      </c>
      <c r="BZ14" s="8">
        <v>520</v>
      </c>
      <c r="CA14" s="8">
        <v>521</v>
      </c>
      <c r="CB14" s="8">
        <v>525</v>
      </c>
      <c r="CC14" s="8">
        <v>521</v>
      </c>
      <c r="NA14" s="13"/>
    </row>
    <row r="15" spans="1:365" x14ac:dyDescent="0.25">
      <c r="A15" s="11" t="s">
        <v>165</v>
      </c>
      <c r="B15" s="13">
        <v>3543</v>
      </c>
      <c r="C15" s="13">
        <v>3527</v>
      </c>
      <c r="D15" s="13">
        <v>3908</v>
      </c>
      <c r="E15" s="13">
        <v>3984</v>
      </c>
      <c r="F15" s="13">
        <v>4210</v>
      </c>
      <c r="G15" s="13">
        <v>3978</v>
      </c>
      <c r="H15" s="13">
        <v>3696</v>
      </c>
      <c r="I15" s="13">
        <v>3685</v>
      </c>
      <c r="J15" s="13">
        <v>3799</v>
      </c>
      <c r="K15" s="13">
        <v>4026</v>
      </c>
      <c r="L15" s="13">
        <v>4234</v>
      </c>
      <c r="M15" s="13">
        <v>4836</v>
      </c>
      <c r="N15" s="13">
        <v>5088</v>
      </c>
      <c r="O15" s="13">
        <v>5373</v>
      </c>
      <c r="P15" s="13">
        <v>5642</v>
      </c>
      <c r="Q15" s="13">
        <v>5966</v>
      </c>
      <c r="R15" s="13">
        <v>6332</v>
      </c>
      <c r="S15" s="13">
        <v>7039</v>
      </c>
      <c r="T15" s="13">
        <v>7362</v>
      </c>
      <c r="U15" s="13">
        <v>8054</v>
      </c>
      <c r="V15" s="13">
        <v>8614</v>
      </c>
      <c r="W15" s="13">
        <v>9363</v>
      </c>
      <c r="X15" s="13">
        <v>9447</v>
      </c>
      <c r="Y15" s="13">
        <v>9077</v>
      </c>
      <c r="Z15" s="13">
        <v>8931</v>
      </c>
      <c r="AA15" s="8">
        <v>9034</v>
      </c>
      <c r="AB15" s="8">
        <v>9196</v>
      </c>
      <c r="AC15" s="8">
        <v>9231</v>
      </c>
      <c r="AD15" s="8">
        <v>8940</v>
      </c>
      <c r="AE15" s="8">
        <v>8779</v>
      </c>
      <c r="AF15" s="8">
        <v>8267</v>
      </c>
      <c r="AG15" s="8">
        <v>7514</v>
      </c>
      <c r="AH15" s="8">
        <v>6977</v>
      </c>
      <c r="AI15" s="8">
        <v>7084</v>
      </c>
      <c r="AJ15" s="8">
        <v>7152</v>
      </c>
      <c r="AK15" s="8">
        <v>7226</v>
      </c>
      <c r="AL15" s="8">
        <v>6871</v>
      </c>
      <c r="AM15" s="8">
        <v>6885</v>
      </c>
      <c r="AN15" s="8">
        <v>6341</v>
      </c>
      <c r="AO15" s="8">
        <v>6242</v>
      </c>
      <c r="AP15" s="8">
        <v>6518</v>
      </c>
      <c r="AQ15" s="8">
        <v>6381</v>
      </c>
      <c r="AR15" s="8">
        <v>6389</v>
      </c>
      <c r="AS15" s="8">
        <v>6158</v>
      </c>
      <c r="AT15" s="8">
        <v>5720</v>
      </c>
      <c r="AU15" s="8">
        <v>5603</v>
      </c>
      <c r="AV15" s="8">
        <v>5523</v>
      </c>
      <c r="AW15" s="8">
        <v>5206</v>
      </c>
      <c r="AX15" s="8">
        <v>4750</v>
      </c>
      <c r="AY15" s="8">
        <v>4303</v>
      </c>
      <c r="AZ15" s="8">
        <v>4280</v>
      </c>
      <c r="BA15" s="8">
        <v>4544</v>
      </c>
      <c r="BB15" s="8">
        <v>4835</v>
      </c>
      <c r="BC15" s="8">
        <v>4802</v>
      </c>
      <c r="BD15" s="8">
        <v>4755</v>
      </c>
      <c r="BE15" s="8">
        <v>4599</v>
      </c>
      <c r="BF15" s="8">
        <v>4444</v>
      </c>
      <c r="BG15" s="8">
        <v>4195</v>
      </c>
      <c r="BH15" s="8">
        <v>4155</v>
      </c>
      <c r="BI15" s="8">
        <v>4172</v>
      </c>
      <c r="BJ15" s="8">
        <v>4171</v>
      </c>
      <c r="BK15" s="8">
        <v>4130</v>
      </c>
      <c r="BL15" s="8">
        <v>4304</v>
      </c>
      <c r="BM15" s="8">
        <v>4279</v>
      </c>
      <c r="BN15" s="8">
        <v>3990</v>
      </c>
      <c r="BO15" s="8">
        <v>3755</v>
      </c>
      <c r="BP15" s="8">
        <v>3387</v>
      </c>
      <c r="BQ15" s="8">
        <v>3074</v>
      </c>
      <c r="BR15" s="8">
        <v>2763</v>
      </c>
      <c r="BS15" s="8">
        <v>2446</v>
      </c>
      <c r="BT15" s="8">
        <v>2126</v>
      </c>
      <c r="BU15" s="8">
        <v>1974</v>
      </c>
      <c r="BV15" s="8">
        <v>1838</v>
      </c>
      <c r="BW15" s="8">
        <v>1614</v>
      </c>
      <c r="BX15" s="8">
        <v>1449</v>
      </c>
      <c r="BY15" s="8">
        <v>1281</v>
      </c>
      <c r="BZ15" s="8">
        <v>1043</v>
      </c>
      <c r="CA15" s="8">
        <v>1090</v>
      </c>
      <c r="CB15" s="8">
        <v>1139</v>
      </c>
      <c r="CC15" s="8">
        <v>1094</v>
      </c>
      <c r="NA15" s="13"/>
    </row>
    <row r="16" spans="1:365" x14ac:dyDescent="0.25">
      <c r="A16" s="11" t="s">
        <v>166</v>
      </c>
      <c r="B16" s="13">
        <v>2743</v>
      </c>
      <c r="C16" s="13">
        <v>3099</v>
      </c>
      <c r="D16" s="13">
        <v>3195</v>
      </c>
      <c r="E16" s="13">
        <v>3316</v>
      </c>
      <c r="F16" s="13">
        <v>3398</v>
      </c>
      <c r="G16" s="13">
        <v>3350</v>
      </c>
      <c r="H16" s="13">
        <v>3478</v>
      </c>
      <c r="I16" s="13">
        <v>3436</v>
      </c>
      <c r="J16" s="13">
        <v>3275</v>
      </c>
      <c r="K16" s="13">
        <v>3501</v>
      </c>
      <c r="L16" s="13">
        <v>3491</v>
      </c>
      <c r="M16" s="13">
        <v>3810</v>
      </c>
      <c r="N16" s="13">
        <v>4047</v>
      </c>
      <c r="O16" s="13">
        <v>4218</v>
      </c>
      <c r="P16" s="13">
        <v>4354</v>
      </c>
      <c r="Q16" s="13">
        <v>4440</v>
      </c>
      <c r="R16" s="13">
        <v>4252</v>
      </c>
      <c r="S16" s="13">
        <v>4638</v>
      </c>
      <c r="T16" s="13">
        <v>4804</v>
      </c>
      <c r="U16" s="13">
        <v>5066</v>
      </c>
      <c r="V16" s="13">
        <v>4831</v>
      </c>
      <c r="W16" s="13">
        <v>4913</v>
      </c>
      <c r="X16" s="13">
        <v>6010</v>
      </c>
      <c r="Y16" s="13">
        <v>5798</v>
      </c>
      <c r="Z16" s="13">
        <v>5331</v>
      </c>
      <c r="AA16" s="8">
        <v>4884</v>
      </c>
      <c r="AB16" s="8">
        <v>4815</v>
      </c>
      <c r="AC16" s="8">
        <v>4203</v>
      </c>
      <c r="AD16" s="8">
        <v>4094</v>
      </c>
      <c r="AE16" s="8">
        <v>3998</v>
      </c>
      <c r="AF16" s="8">
        <v>3850</v>
      </c>
      <c r="AG16" s="8">
        <v>3594</v>
      </c>
      <c r="AH16" s="8">
        <v>3439</v>
      </c>
      <c r="AI16" s="8">
        <v>3430</v>
      </c>
      <c r="AJ16" s="8">
        <v>3518</v>
      </c>
      <c r="AK16" s="8">
        <v>3511</v>
      </c>
      <c r="AL16" s="8">
        <v>3569</v>
      </c>
      <c r="AM16" s="8">
        <v>3383</v>
      </c>
      <c r="AN16" s="8">
        <v>3229</v>
      </c>
      <c r="AO16" s="8">
        <v>3123</v>
      </c>
      <c r="AP16" s="8">
        <v>3142</v>
      </c>
      <c r="AQ16" s="8">
        <v>2916</v>
      </c>
      <c r="AR16" s="8">
        <v>2796</v>
      </c>
      <c r="AS16" s="8">
        <v>2919</v>
      </c>
      <c r="AT16" s="8">
        <v>2580</v>
      </c>
      <c r="AU16" s="8">
        <v>2589</v>
      </c>
      <c r="AV16" s="8">
        <v>2501</v>
      </c>
      <c r="AW16" s="8">
        <v>2337</v>
      </c>
      <c r="AX16" s="8">
        <v>2010</v>
      </c>
      <c r="AY16" s="8">
        <v>1836</v>
      </c>
      <c r="AZ16" s="8">
        <v>1800</v>
      </c>
      <c r="BA16" s="8">
        <v>1777</v>
      </c>
      <c r="BB16" s="8">
        <v>1684</v>
      </c>
      <c r="BC16" s="8">
        <v>1684</v>
      </c>
      <c r="BD16" s="8">
        <v>1744</v>
      </c>
      <c r="BE16" s="8">
        <v>1749</v>
      </c>
      <c r="BF16" s="8">
        <v>1832</v>
      </c>
      <c r="BG16" s="8">
        <v>1664</v>
      </c>
      <c r="BH16" s="8">
        <v>1738</v>
      </c>
      <c r="BI16" s="8">
        <v>1710</v>
      </c>
      <c r="BJ16" s="8">
        <v>1793</v>
      </c>
      <c r="BK16" s="8">
        <v>1889</v>
      </c>
      <c r="BL16" s="8">
        <v>1953</v>
      </c>
      <c r="BM16" s="8">
        <v>1920</v>
      </c>
      <c r="BN16" s="8">
        <v>1837</v>
      </c>
      <c r="BO16" s="8">
        <v>1776</v>
      </c>
      <c r="BP16" s="8">
        <v>1682</v>
      </c>
      <c r="BQ16" s="8">
        <v>1651</v>
      </c>
      <c r="BR16" s="8">
        <v>1468</v>
      </c>
      <c r="BS16" s="8">
        <v>1325</v>
      </c>
      <c r="BT16" s="8">
        <v>1182</v>
      </c>
      <c r="BU16" s="8">
        <v>1142</v>
      </c>
      <c r="BV16" s="8">
        <v>1080</v>
      </c>
      <c r="BW16" s="8">
        <v>991</v>
      </c>
      <c r="BX16" s="8">
        <v>942</v>
      </c>
      <c r="BY16" s="8">
        <v>849</v>
      </c>
      <c r="BZ16" s="8">
        <v>707</v>
      </c>
      <c r="CA16" s="8">
        <v>667</v>
      </c>
      <c r="CB16" s="8">
        <v>711</v>
      </c>
      <c r="CC16" s="8">
        <v>675</v>
      </c>
      <c r="NA16" s="13"/>
    </row>
    <row r="17" spans="1:365" x14ac:dyDescent="0.25">
      <c r="A17" s="11" t="s">
        <v>167</v>
      </c>
      <c r="B17" s="13">
        <v>3692</v>
      </c>
      <c r="C17" s="13">
        <v>4243</v>
      </c>
      <c r="D17" s="13">
        <v>4895</v>
      </c>
      <c r="E17" s="13">
        <v>4604</v>
      </c>
      <c r="F17" s="13">
        <v>4588</v>
      </c>
      <c r="G17" s="13">
        <v>4575</v>
      </c>
      <c r="H17" s="13">
        <v>4578</v>
      </c>
      <c r="I17" s="13">
        <v>4817</v>
      </c>
      <c r="J17" s="13">
        <v>4741</v>
      </c>
      <c r="K17" s="13">
        <v>4887</v>
      </c>
      <c r="L17" s="13">
        <v>4926</v>
      </c>
      <c r="M17" s="13">
        <v>5162</v>
      </c>
      <c r="N17" s="13">
        <v>5446</v>
      </c>
      <c r="O17" s="13">
        <v>5755</v>
      </c>
      <c r="P17" s="13">
        <v>5890</v>
      </c>
      <c r="Q17" s="13">
        <v>6046</v>
      </c>
      <c r="R17" s="13">
        <v>5989</v>
      </c>
      <c r="S17" s="13">
        <v>6091</v>
      </c>
      <c r="T17" s="13">
        <v>5845</v>
      </c>
      <c r="U17" s="13">
        <v>6369</v>
      </c>
      <c r="V17" s="13">
        <v>6239</v>
      </c>
      <c r="W17" s="13">
        <v>5792</v>
      </c>
      <c r="X17" s="13">
        <v>5941</v>
      </c>
      <c r="Y17" s="13">
        <v>7342</v>
      </c>
      <c r="Z17" s="13">
        <v>6510</v>
      </c>
      <c r="AA17" s="8">
        <v>6142</v>
      </c>
      <c r="AB17" s="8">
        <v>5820</v>
      </c>
      <c r="AC17" s="8">
        <v>4986</v>
      </c>
      <c r="AD17" s="8">
        <v>4615</v>
      </c>
      <c r="AE17" s="8">
        <v>4545</v>
      </c>
      <c r="AF17" s="8">
        <v>4231</v>
      </c>
      <c r="AG17" s="8">
        <v>3999</v>
      </c>
      <c r="AH17" s="8">
        <v>3794</v>
      </c>
      <c r="AI17" s="8">
        <v>4024</v>
      </c>
      <c r="AJ17" s="8">
        <v>4066</v>
      </c>
      <c r="AK17" s="8">
        <v>4277</v>
      </c>
      <c r="AL17" s="8">
        <v>4193</v>
      </c>
      <c r="AM17" s="8">
        <v>4091</v>
      </c>
      <c r="AN17" s="8">
        <v>3927</v>
      </c>
      <c r="AO17" s="8">
        <v>3723</v>
      </c>
      <c r="AP17" s="8">
        <v>3677</v>
      </c>
      <c r="AQ17" s="8">
        <v>3583</v>
      </c>
      <c r="AR17" s="8">
        <v>3421</v>
      </c>
      <c r="AS17" s="8">
        <v>3289</v>
      </c>
      <c r="AT17" s="8">
        <v>2973</v>
      </c>
      <c r="AU17" s="8">
        <v>2972</v>
      </c>
      <c r="AV17" s="8">
        <v>2846</v>
      </c>
      <c r="AW17" s="8">
        <v>2665</v>
      </c>
      <c r="AX17" s="8">
        <v>2418</v>
      </c>
      <c r="AY17" s="8">
        <v>2157</v>
      </c>
      <c r="AZ17" s="8">
        <v>2017</v>
      </c>
      <c r="BA17" s="8">
        <v>1923</v>
      </c>
      <c r="BB17" s="8">
        <v>1909</v>
      </c>
      <c r="BC17" s="8">
        <v>1746</v>
      </c>
      <c r="BD17" s="8">
        <v>1708</v>
      </c>
      <c r="BE17" s="8">
        <v>1738</v>
      </c>
      <c r="BF17" s="8">
        <v>1787</v>
      </c>
      <c r="BG17" s="8">
        <v>1956</v>
      </c>
      <c r="BH17" s="8">
        <v>1848</v>
      </c>
      <c r="BI17" s="8">
        <v>1831</v>
      </c>
      <c r="BJ17" s="8">
        <v>1868</v>
      </c>
      <c r="BK17" s="8">
        <v>1886</v>
      </c>
      <c r="BL17" s="8">
        <v>2085</v>
      </c>
      <c r="BM17" s="8">
        <v>2131</v>
      </c>
      <c r="BN17" s="8">
        <v>2118</v>
      </c>
      <c r="BO17" s="8">
        <v>1906</v>
      </c>
      <c r="BP17" s="8">
        <v>1936</v>
      </c>
      <c r="BQ17" s="8">
        <v>1829</v>
      </c>
      <c r="BR17" s="8">
        <v>1726</v>
      </c>
      <c r="BS17" s="8">
        <v>1593</v>
      </c>
      <c r="BT17" s="8">
        <v>1465</v>
      </c>
      <c r="BU17" s="8">
        <v>1328</v>
      </c>
      <c r="BV17" s="8">
        <v>1258</v>
      </c>
      <c r="BW17" s="8">
        <v>1179</v>
      </c>
      <c r="BX17" s="8">
        <v>1113</v>
      </c>
      <c r="BY17" s="8">
        <v>1053</v>
      </c>
      <c r="BZ17" s="8">
        <v>917</v>
      </c>
      <c r="CA17" s="8">
        <v>848</v>
      </c>
      <c r="CB17" s="8">
        <v>810</v>
      </c>
      <c r="CC17" s="8">
        <v>825</v>
      </c>
      <c r="NA17" s="13"/>
    </row>
    <row r="18" spans="1:365" x14ac:dyDescent="0.25">
      <c r="A18" s="11" t="s">
        <v>168</v>
      </c>
      <c r="B18" s="13">
        <v>4410</v>
      </c>
      <c r="C18" s="13">
        <v>4902</v>
      </c>
      <c r="D18" s="13">
        <v>5672</v>
      </c>
      <c r="E18" s="13">
        <v>5434</v>
      </c>
      <c r="F18" s="13">
        <v>5054</v>
      </c>
      <c r="G18" s="13">
        <v>5113</v>
      </c>
      <c r="H18" s="13">
        <v>5097</v>
      </c>
      <c r="I18" s="13">
        <v>5165</v>
      </c>
      <c r="J18" s="13">
        <v>5410</v>
      </c>
      <c r="K18" s="13">
        <v>5525</v>
      </c>
      <c r="L18" s="13">
        <v>5436</v>
      </c>
      <c r="M18" s="13">
        <v>5934</v>
      </c>
      <c r="N18" s="13">
        <v>6194</v>
      </c>
      <c r="O18" s="13">
        <v>6301</v>
      </c>
      <c r="P18" s="13">
        <v>6380</v>
      </c>
      <c r="Q18" s="13">
        <v>6557</v>
      </c>
      <c r="R18" s="13">
        <v>6566</v>
      </c>
      <c r="S18" s="13">
        <v>6958</v>
      </c>
      <c r="T18" s="13">
        <v>6469</v>
      </c>
      <c r="U18" s="13">
        <v>6514</v>
      </c>
      <c r="V18" s="13">
        <v>6631</v>
      </c>
      <c r="W18" s="13">
        <v>6426</v>
      </c>
      <c r="X18" s="13">
        <v>6165</v>
      </c>
      <c r="Y18" s="13">
        <v>6421</v>
      </c>
      <c r="Z18" s="13">
        <v>7179</v>
      </c>
      <c r="AA18" s="8">
        <v>6800</v>
      </c>
      <c r="AB18" s="8">
        <v>6274</v>
      </c>
      <c r="AC18" s="8">
        <v>5409</v>
      </c>
      <c r="AD18" s="8">
        <v>5040</v>
      </c>
      <c r="AE18" s="8">
        <v>4655</v>
      </c>
      <c r="AF18" s="8">
        <v>4622</v>
      </c>
      <c r="AG18" s="8">
        <v>4420</v>
      </c>
      <c r="AH18" s="8">
        <v>4167</v>
      </c>
      <c r="AI18" s="8">
        <v>4331</v>
      </c>
      <c r="AJ18" s="8">
        <v>4654</v>
      </c>
      <c r="AK18" s="8">
        <v>4672</v>
      </c>
      <c r="AL18" s="8">
        <v>4844</v>
      </c>
      <c r="AM18" s="8">
        <v>4504</v>
      </c>
      <c r="AN18" s="8">
        <v>4399</v>
      </c>
      <c r="AO18" s="8">
        <v>4258</v>
      </c>
      <c r="AP18" s="8">
        <v>4265</v>
      </c>
      <c r="AQ18" s="8">
        <v>4017</v>
      </c>
      <c r="AR18" s="8">
        <v>3851</v>
      </c>
      <c r="AS18" s="8">
        <v>3679</v>
      </c>
      <c r="AT18" s="8">
        <v>3448</v>
      </c>
      <c r="AU18" s="8">
        <v>3427</v>
      </c>
      <c r="AV18" s="8">
        <v>3246</v>
      </c>
      <c r="AW18" s="8">
        <v>2884</v>
      </c>
      <c r="AX18" s="8">
        <v>2712</v>
      </c>
      <c r="AY18" s="8">
        <v>2456</v>
      </c>
      <c r="AZ18" s="8">
        <v>2333</v>
      </c>
      <c r="BA18" s="8">
        <v>2089</v>
      </c>
      <c r="BB18" s="8">
        <v>2100</v>
      </c>
      <c r="BC18" s="8">
        <v>1936</v>
      </c>
      <c r="BD18" s="8">
        <v>1723</v>
      </c>
      <c r="BE18" s="8">
        <v>1713</v>
      </c>
      <c r="BF18" s="8">
        <v>1803</v>
      </c>
      <c r="BG18" s="8">
        <v>1841</v>
      </c>
      <c r="BH18" s="8">
        <v>1962</v>
      </c>
      <c r="BI18" s="8">
        <v>2023</v>
      </c>
      <c r="BJ18" s="8">
        <v>1931</v>
      </c>
      <c r="BK18" s="8">
        <v>1994</v>
      </c>
      <c r="BL18" s="8">
        <v>2184</v>
      </c>
      <c r="BM18" s="8">
        <v>2300</v>
      </c>
      <c r="BN18" s="8">
        <v>2198</v>
      </c>
      <c r="BO18" s="8">
        <v>2141</v>
      </c>
      <c r="BP18" s="8">
        <v>2100</v>
      </c>
      <c r="BQ18" s="8">
        <v>2055</v>
      </c>
      <c r="BR18" s="8">
        <v>1968</v>
      </c>
      <c r="BS18" s="8">
        <v>1936</v>
      </c>
      <c r="BT18" s="8">
        <v>1769</v>
      </c>
      <c r="BU18" s="8">
        <v>1649</v>
      </c>
      <c r="BV18" s="8">
        <v>1531</v>
      </c>
      <c r="BW18" s="8">
        <v>1469</v>
      </c>
      <c r="BX18" s="8">
        <v>1374</v>
      </c>
      <c r="BY18" s="8">
        <v>1209</v>
      </c>
      <c r="BZ18" s="8">
        <v>1110</v>
      </c>
      <c r="CA18" s="8">
        <v>1085</v>
      </c>
      <c r="CB18" s="8">
        <v>1058</v>
      </c>
      <c r="CC18" s="8">
        <v>983</v>
      </c>
      <c r="NA18" s="13"/>
    </row>
    <row r="19" spans="1:365" x14ac:dyDescent="0.25">
      <c r="A19" s="11" t="s">
        <v>169</v>
      </c>
      <c r="B19" s="13">
        <v>5024</v>
      </c>
      <c r="C19" s="13">
        <v>5830</v>
      </c>
      <c r="D19" s="13">
        <v>6808</v>
      </c>
      <c r="E19" s="13">
        <v>6050</v>
      </c>
      <c r="F19" s="13">
        <v>6001</v>
      </c>
      <c r="G19" s="13">
        <v>5550</v>
      </c>
      <c r="H19" s="13">
        <v>5673</v>
      </c>
      <c r="I19" s="13">
        <v>5695</v>
      </c>
      <c r="J19" s="13">
        <v>6018</v>
      </c>
      <c r="K19" s="13">
        <v>6311</v>
      </c>
      <c r="L19" s="13">
        <v>6275</v>
      </c>
      <c r="M19" s="13">
        <v>6317</v>
      </c>
      <c r="N19" s="13">
        <v>6628</v>
      </c>
      <c r="O19" s="13">
        <v>7052</v>
      </c>
      <c r="P19" s="13">
        <v>6910</v>
      </c>
      <c r="Q19" s="13">
        <v>6983</v>
      </c>
      <c r="R19" s="13">
        <v>7020</v>
      </c>
      <c r="S19" s="13">
        <v>7508</v>
      </c>
      <c r="T19" s="13">
        <v>7332</v>
      </c>
      <c r="U19" s="13">
        <v>7066</v>
      </c>
      <c r="V19" s="13">
        <v>6831</v>
      </c>
      <c r="W19" s="13">
        <v>7010</v>
      </c>
      <c r="X19" s="13">
        <v>6842</v>
      </c>
      <c r="Y19" s="13">
        <v>6353</v>
      </c>
      <c r="Z19" s="13">
        <v>6259</v>
      </c>
      <c r="AA19" s="8">
        <v>7457</v>
      </c>
      <c r="AB19" s="8">
        <v>7044</v>
      </c>
      <c r="AC19" s="8">
        <v>6032</v>
      </c>
      <c r="AD19" s="8">
        <v>5473</v>
      </c>
      <c r="AE19" s="8">
        <v>5114</v>
      </c>
      <c r="AF19" s="8">
        <v>4833</v>
      </c>
      <c r="AG19" s="8">
        <v>4608</v>
      </c>
      <c r="AH19" s="8">
        <v>4467</v>
      </c>
      <c r="AI19" s="8">
        <v>4441</v>
      </c>
      <c r="AJ19" s="8">
        <v>4892</v>
      </c>
      <c r="AK19" s="8">
        <v>5031</v>
      </c>
      <c r="AL19" s="8">
        <v>5092</v>
      </c>
      <c r="AM19" s="8">
        <v>4876</v>
      </c>
      <c r="AN19" s="8">
        <v>4732</v>
      </c>
      <c r="AO19" s="8">
        <v>4641</v>
      </c>
      <c r="AP19" s="8">
        <v>4713</v>
      </c>
      <c r="AQ19" s="8">
        <v>4483</v>
      </c>
      <c r="AR19" s="8">
        <v>4505</v>
      </c>
      <c r="AS19" s="8">
        <v>4236</v>
      </c>
      <c r="AT19" s="8">
        <v>3799</v>
      </c>
      <c r="AU19" s="8">
        <v>3719</v>
      </c>
      <c r="AV19" s="8">
        <v>3858</v>
      </c>
      <c r="AW19" s="8">
        <v>3554</v>
      </c>
      <c r="AX19" s="8">
        <v>3137</v>
      </c>
      <c r="AY19" s="8">
        <v>3022</v>
      </c>
      <c r="AZ19" s="8">
        <v>2635</v>
      </c>
      <c r="BA19" s="8">
        <v>2417</v>
      </c>
      <c r="BB19" s="8">
        <v>2271</v>
      </c>
      <c r="BC19" s="8">
        <v>2101</v>
      </c>
      <c r="BD19" s="8">
        <v>1985</v>
      </c>
      <c r="BE19" s="8">
        <v>1780</v>
      </c>
      <c r="BF19" s="8">
        <v>1790</v>
      </c>
      <c r="BG19" s="8">
        <v>1869</v>
      </c>
      <c r="BH19" s="8">
        <v>2051</v>
      </c>
      <c r="BI19" s="8">
        <v>2188</v>
      </c>
      <c r="BJ19" s="8">
        <v>2153</v>
      </c>
      <c r="BK19" s="8">
        <v>2269</v>
      </c>
      <c r="BL19" s="8">
        <v>2222</v>
      </c>
      <c r="BM19" s="8">
        <v>2460</v>
      </c>
      <c r="BN19" s="8">
        <v>2452</v>
      </c>
      <c r="BO19" s="8">
        <v>2358</v>
      </c>
      <c r="BP19" s="8">
        <v>2358</v>
      </c>
      <c r="BQ19" s="8">
        <v>2198</v>
      </c>
      <c r="BR19" s="8">
        <v>2199</v>
      </c>
      <c r="BS19" s="8">
        <v>2088</v>
      </c>
      <c r="BT19" s="8">
        <v>1980</v>
      </c>
      <c r="BU19" s="8">
        <v>1958</v>
      </c>
      <c r="BV19" s="8">
        <v>1750</v>
      </c>
      <c r="BW19" s="8">
        <v>1606</v>
      </c>
      <c r="BX19" s="8">
        <v>1503</v>
      </c>
      <c r="BY19" s="8">
        <v>1443</v>
      </c>
      <c r="BZ19" s="8">
        <v>1257</v>
      </c>
      <c r="CA19" s="8">
        <v>1349</v>
      </c>
      <c r="CB19" s="8">
        <v>1258</v>
      </c>
      <c r="CC19" s="8">
        <v>1169</v>
      </c>
      <c r="NA19" s="13"/>
    </row>
    <row r="20" spans="1:365" x14ac:dyDescent="0.25">
      <c r="A20" s="11" t="s">
        <v>170</v>
      </c>
      <c r="B20" s="13">
        <v>5716</v>
      </c>
      <c r="C20" s="13">
        <v>6479</v>
      </c>
      <c r="D20" s="13">
        <v>7337</v>
      </c>
      <c r="E20" s="13">
        <v>6532</v>
      </c>
      <c r="F20" s="13">
        <v>6192</v>
      </c>
      <c r="G20" s="13">
        <v>6072</v>
      </c>
      <c r="H20" s="13">
        <v>5849</v>
      </c>
      <c r="I20" s="13">
        <v>5821</v>
      </c>
      <c r="J20" s="13">
        <v>6013</v>
      </c>
      <c r="K20" s="13">
        <v>6495</v>
      </c>
      <c r="L20" s="13">
        <v>6702</v>
      </c>
      <c r="M20" s="13">
        <v>6666</v>
      </c>
      <c r="N20" s="13">
        <v>6964</v>
      </c>
      <c r="O20" s="13">
        <v>7044</v>
      </c>
      <c r="P20" s="13">
        <v>6945</v>
      </c>
      <c r="Q20" s="13">
        <v>7307</v>
      </c>
      <c r="R20" s="13">
        <v>7318</v>
      </c>
      <c r="S20" s="13">
        <v>7502</v>
      </c>
      <c r="T20" s="13">
        <v>7411</v>
      </c>
      <c r="U20" s="13">
        <v>7382</v>
      </c>
      <c r="V20" s="13">
        <v>7023</v>
      </c>
      <c r="W20" s="13">
        <v>6757</v>
      </c>
      <c r="X20" s="13">
        <v>7008</v>
      </c>
      <c r="Y20" s="13">
        <v>6891</v>
      </c>
      <c r="Z20" s="13">
        <v>6107</v>
      </c>
      <c r="AA20" s="8">
        <v>6195</v>
      </c>
      <c r="AB20" s="8">
        <v>7527</v>
      </c>
      <c r="AC20" s="8">
        <v>6545</v>
      </c>
      <c r="AD20" s="8">
        <v>6010</v>
      </c>
      <c r="AE20" s="8">
        <v>5381</v>
      </c>
      <c r="AF20" s="8">
        <v>5164</v>
      </c>
      <c r="AG20" s="8">
        <v>4719</v>
      </c>
      <c r="AH20" s="8">
        <v>4692</v>
      </c>
      <c r="AI20" s="8">
        <v>4780</v>
      </c>
      <c r="AJ20" s="8">
        <v>4847</v>
      </c>
      <c r="AK20" s="8">
        <v>5073</v>
      </c>
      <c r="AL20" s="8">
        <v>5322</v>
      </c>
      <c r="AM20" s="8">
        <v>4984</v>
      </c>
      <c r="AN20" s="8">
        <v>5009</v>
      </c>
      <c r="AO20" s="8">
        <v>4954</v>
      </c>
      <c r="AP20" s="8">
        <v>4981</v>
      </c>
      <c r="AQ20" s="8">
        <v>4825</v>
      </c>
      <c r="AR20" s="8">
        <v>4935</v>
      </c>
      <c r="AS20" s="8">
        <v>4689</v>
      </c>
      <c r="AT20" s="8">
        <v>4364</v>
      </c>
      <c r="AU20" s="8">
        <v>4246</v>
      </c>
      <c r="AV20" s="8">
        <v>4272</v>
      </c>
      <c r="AW20" s="8">
        <v>3965</v>
      </c>
      <c r="AX20" s="8">
        <v>3646</v>
      </c>
      <c r="AY20" s="8">
        <v>3166</v>
      </c>
      <c r="AZ20" s="8">
        <v>3128</v>
      </c>
      <c r="BA20" s="8">
        <v>2820</v>
      </c>
      <c r="BB20" s="8">
        <v>2643</v>
      </c>
      <c r="BC20" s="8">
        <v>2337</v>
      </c>
      <c r="BD20" s="8">
        <v>2280</v>
      </c>
      <c r="BE20" s="8">
        <v>1982</v>
      </c>
      <c r="BF20" s="8">
        <v>1909</v>
      </c>
      <c r="BG20" s="8">
        <v>1937</v>
      </c>
      <c r="BH20" s="8">
        <v>2027</v>
      </c>
      <c r="BI20" s="8">
        <v>2198</v>
      </c>
      <c r="BJ20" s="8">
        <v>2263</v>
      </c>
      <c r="BK20" s="8">
        <v>2361</v>
      </c>
      <c r="BL20" s="8">
        <v>2469</v>
      </c>
      <c r="BM20" s="8">
        <v>2562</v>
      </c>
      <c r="BN20" s="8">
        <v>2583</v>
      </c>
      <c r="BO20" s="8">
        <v>2479</v>
      </c>
      <c r="BP20" s="8">
        <v>2543</v>
      </c>
      <c r="BQ20" s="8">
        <v>2539</v>
      </c>
      <c r="BR20" s="8">
        <v>2406</v>
      </c>
      <c r="BS20" s="8">
        <v>2331</v>
      </c>
      <c r="BT20" s="8">
        <v>2247</v>
      </c>
      <c r="BU20" s="8">
        <v>2205</v>
      </c>
      <c r="BV20" s="8">
        <v>2101</v>
      </c>
      <c r="BW20" s="8">
        <v>1942</v>
      </c>
      <c r="BX20" s="8">
        <v>1775</v>
      </c>
      <c r="BY20" s="8">
        <v>1647</v>
      </c>
      <c r="BZ20" s="8">
        <v>1614</v>
      </c>
      <c r="CA20" s="8">
        <v>1585</v>
      </c>
      <c r="CB20" s="8">
        <v>1446</v>
      </c>
      <c r="CC20" s="8">
        <v>1479</v>
      </c>
      <c r="NA20" s="13"/>
    </row>
    <row r="21" spans="1:365" x14ac:dyDescent="0.25">
      <c r="A21" s="11" t="s">
        <v>171</v>
      </c>
      <c r="B21" s="13">
        <v>21585</v>
      </c>
      <c r="C21" s="13">
        <v>24553</v>
      </c>
      <c r="D21" s="13">
        <v>27907</v>
      </c>
      <c r="E21" s="13">
        <v>25936</v>
      </c>
      <c r="F21" s="13">
        <v>25233</v>
      </c>
      <c r="G21" s="13">
        <v>24660</v>
      </c>
      <c r="H21" s="13">
        <v>24675</v>
      </c>
      <c r="I21" s="13">
        <v>24934</v>
      </c>
      <c r="J21" s="13">
        <v>25457</v>
      </c>
      <c r="K21" s="13">
        <v>26719</v>
      </c>
      <c r="L21" s="13">
        <v>26830</v>
      </c>
      <c r="M21" s="13">
        <v>27889</v>
      </c>
      <c r="N21" s="13">
        <v>29279</v>
      </c>
      <c r="O21" s="13">
        <v>30370</v>
      </c>
      <c r="P21" s="13">
        <v>30479</v>
      </c>
      <c r="Q21" s="13">
        <v>31333</v>
      </c>
      <c r="R21" s="13">
        <v>31145</v>
      </c>
      <c r="S21" s="13">
        <v>32697</v>
      </c>
      <c r="T21" s="13">
        <v>31861</v>
      </c>
      <c r="U21" s="13">
        <v>32397</v>
      </c>
      <c r="V21" s="13">
        <v>31555</v>
      </c>
      <c r="W21" s="13">
        <v>30898</v>
      </c>
      <c r="X21" s="13">
        <v>31966</v>
      </c>
      <c r="Y21" s="13">
        <v>32805</v>
      </c>
      <c r="Z21" s="13">
        <v>31386</v>
      </c>
      <c r="AA21" s="8">
        <v>31478</v>
      </c>
      <c r="AB21" s="8">
        <v>31480</v>
      </c>
      <c r="AC21" s="8">
        <v>27175</v>
      </c>
      <c r="AD21" s="8">
        <v>25232</v>
      </c>
      <c r="AE21" s="8">
        <v>23693</v>
      </c>
      <c r="AF21" s="8">
        <v>22700</v>
      </c>
      <c r="AG21" s="8">
        <v>21340</v>
      </c>
      <c r="AH21" s="8">
        <v>20559</v>
      </c>
      <c r="AI21" s="8">
        <v>21006</v>
      </c>
      <c r="AJ21" s="8">
        <v>21977</v>
      </c>
      <c r="AK21" s="8">
        <v>22564</v>
      </c>
      <c r="AL21" s="8">
        <v>23020</v>
      </c>
      <c r="AM21" s="8">
        <v>21838</v>
      </c>
      <c r="AN21" s="8">
        <v>21296</v>
      </c>
      <c r="AO21" s="8">
        <v>20699</v>
      </c>
      <c r="AP21" s="8">
        <v>20778</v>
      </c>
      <c r="AQ21" s="8">
        <v>19824</v>
      </c>
      <c r="AR21" s="8">
        <v>19508</v>
      </c>
      <c r="AS21" s="8">
        <v>18812</v>
      </c>
      <c r="AT21" s="8">
        <v>17164</v>
      </c>
      <c r="AU21" s="8">
        <v>16953</v>
      </c>
      <c r="AV21" s="8">
        <v>16723</v>
      </c>
      <c r="AW21" s="8">
        <v>15405</v>
      </c>
      <c r="AX21" s="8">
        <v>13923</v>
      </c>
      <c r="AY21" s="8">
        <v>12637</v>
      </c>
      <c r="AZ21" s="8">
        <v>11913</v>
      </c>
      <c r="BA21" s="8">
        <v>11026</v>
      </c>
      <c r="BB21" s="8">
        <v>10607</v>
      </c>
      <c r="BC21" s="8">
        <v>9804</v>
      </c>
      <c r="BD21" s="8">
        <v>9440</v>
      </c>
      <c r="BE21" s="8">
        <v>8962</v>
      </c>
      <c r="BF21" s="8">
        <v>9121</v>
      </c>
      <c r="BG21" s="8">
        <v>9267</v>
      </c>
      <c r="BH21" s="8">
        <v>9626</v>
      </c>
      <c r="BI21" s="8">
        <v>9950</v>
      </c>
      <c r="BJ21" s="8">
        <v>10008</v>
      </c>
      <c r="BK21" s="8">
        <v>10399</v>
      </c>
      <c r="BL21" s="8">
        <v>10913</v>
      </c>
      <c r="BM21" s="8">
        <v>11373</v>
      </c>
      <c r="BN21" s="8">
        <v>11188</v>
      </c>
      <c r="BO21" s="8">
        <v>10660</v>
      </c>
      <c r="BP21" s="8">
        <v>10619</v>
      </c>
      <c r="BQ21" s="8">
        <v>10272</v>
      </c>
      <c r="BR21" s="8">
        <v>9767</v>
      </c>
      <c r="BS21" s="8">
        <v>9273</v>
      </c>
      <c r="BT21" s="8">
        <v>8643</v>
      </c>
      <c r="BU21" s="8">
        <v>8282</v>
      </c>
      <c r="BV21" s="8">
        <v>7720</v>
      </c>
      <c r="BW21" s="8">
        <v>7187</v>
      </c>
      <c r="BX21" s="8">
        <v>6707</v>
      </c>
      <c r="BY21" s="8">
        <v>6201</v>
      </c>
      <c r="BZ21" s="8">
        <v>5605</v>
      </c>
      <c r="CA21" s="8">
        <v>5534</v>
      </c>
      <c r="CB21" s="8">
        <v>5283</v>
      </c>
      <c r="CC21" s="8">
        <v>5131</v>
      </c>
      <c r="NA21" s="13"/>
    </row>
    <row r="22" spans="1:365" x14ac:dyDescent="0.25">
      <c r="A22" s="11" t="s">
        <v>172</v>
      </c>
      <c r="B22" s="13" t="s">
        <v>331</v>
      </c>
      <c r="C22" s="13" t="s">
        <v>331</v>
      </c>
      <c r="D22" s="13" t="s">
        <v>331</v>
      </c>
      <c r="E22" s="13" t="s">
        <v>331</v>
      </c>
      <c r="F22" s="13" t="s">
        <v>331</v>
      </c>
      <c r="G22" s="13">
        <v>5997</v>
      </c>
      <c r="H22" s="13">
        <v>6058</v>
      </c>
      <c r="I22" s="13">
        <v>5992</v>
      </c>
      <c r="J22" s="13">
        <v>5996</v>
      </c>
      <c r="K22" s="13">
        <v>6081</v>
      </c>
      <c r="L22" s="13">
        <v>6481</v>
      </c>
      <c r="M22" s="13">
        <v>6624</v>
      </c>
      <c r="N22" s="13">
        <v>6807</v>
      </c>
      <c r="O22" s="13">
        <v>6876</v>
      </c>
      <c r="P22" s="13">
        <v>6816</v>
      </c>
      <c r="Q22" s="13">
        <v>7096</v>
      </c>
      <c r="R22" s="13">
        <v>7132</v>
      </c>
      <c r="S22" s="13">
        <v>7370</v>
      </c>
      <c r="T22" s="13">
        <v>7563</v>
      </c>
      <c r="U22" s="13">
        <v>7511</v>
      </c>
      <c r="V22" s="13">
        <v>6907</v>
      </c>
      <c r="W22" s="13">
        <v>6654</v>
      </c>
      <c r="X22" s="13">
        <v>6586</v>
      </c>
      <c r="Y22" s="13">
        <v>6804</v>
      </c>
      <c r="Z22" s="13">
        <v>6562</v>
      </c>
      <c r="AA22" s="8">
        <v>5926</v>
      </c>
      <c r="AB22" s="8">
        <v>6169</v>
      </c>
      <c r="AC22" s="8">
        <v>6971</v>
      </c>
      <c r="AD22" s="8">
        <v>6185</v>
      </c>
      <c r="AE22" s="8">
        <v>5465</v>
      </c>
      <c r="AF22" s="8">
        <v>5339</v>
      </c>
      <c r="AG22" s="8">
        <v>5078</v>
      </c>
      <c r="AH22" s="8">
        <v>4707</v>
      </c>
      <c r="AI22" s="8">
        <v>4866</v>
      </c>
      <c r="AJ22" s="8">
        <v>5283</v>
      </c>
      <c r="AK22" s="8">
        <v>5102</v>
      </c>
      <c r="AL22" s="8">
        <v>5257</v>
      </c>
      <c r="AM22" s="8">
        <v>4977</v>
      </c>
      <c r="AN22" s="8">
        <v>5011</v>
      </c>
      <c r="AO22" s="8">
        <v>5060</v>
      </c>
      <c r="AP22" s="8">
        <v>5050</v>
      </c>
      <c r="AQ22" s="8">
        <v>5033</v>
      </c>
      <c r="AR22" s="8">
        <v>4916</v>
      </c>
      <c r="AS22" s="8">
        <v>4994</v>
      </c>
      <c r="AT22" s="8">
        <v>4707</v>
      </c>
      <c r="AU22" s="8">
        <v>4849</v>
      </c>
      <c r="AV22" s="8">
        <v>4532</v>
      </c>
      <c r="AW22" s="8">
        <v>4276</v>
      </c>
      <c r="AX22" s="8">
        <v>4330</v>
      </c>
      <c r="AY22" s="8">
        <v>3884</v>
      </c>
      <c r="AZ22" s="8">
        <v>3542</v>
      </c>
      <c r="BA22" s="8">
        <v>3323</v>
      </c>
      <c r="BB22" s="8">
        <v>3057</v>
      </c>
      <c r="BC22" s="8">
        <v>2811</v>
      </c>
      <c r="BD22" s="8">
        <v>2530</v>
      </c>
      <c r="BE22" s="8">
        <v>2292</v>
      </c>
      <c r="BF22" s="8">
        <v>2194</v>
      </c>
      <c r="BG22" s="8">
        <v>1910</v>
      </c>
      <c r="BH22" s="8">
        <v>2139</v>
      </c>
      <c r="BI22" s="8">
        <v>2347</v>
      </c>
      <c r="BJ22" s="8">
        <v>2460</v>
      </c>
      <c r="BK22" s="8">
        <v>2614</v>
      </c>
      <c r="BL22" s="8">
        <v>2592</v>
      </c>
      <c r="BM22" s="8">
        <v>2826</v>
      </c>
      <c r="BN22" s="8">
        <v>2757</v>
      </c>
      <c r="BO22" s="8">
        <v>2720</v>
      </c>
      <c r="BP22" s="8">
        <v>2873</v>
      </c>
      <c r="BQ22" s="8">
        <v>2751</v>
      </c>
      <c r="BR22" s="8">
        <v>2602</v>
      </c>
      <c r="BS22" s="8">
        <v>2623</v>
      </c>
      <c r="BT22" s="8">
        <v>2515</v>
      </c>
      <c r="BU22" s="8">
        <v>2480</v>
      </c>
      <c r="BV22" s="8">
        <v>2385</v>
      </c>
      <c r="BW22" s="8">
        <v>2254</v>
      </c>
      <c r="BX22" s="8">
        <v>2055</v>
      </c>
      <c r="BY22" s="8">
        <v>1929</v>
      </c>
      <c r="BZ22" s="8">
        <v>1873</v>
      </c>
      <c r="CA22" s="8">
        <v>1824</v>
      </c>
      <c r="CB22" s="8">
        <v>1678</v>
      </c>
      <c r="CC22" s="8">
        <v>1704</v>
      </c>
      <c r="NA22" s="13"/>
    </row>
    <row r="23" spans="1:365" x14ac:dyDescent="0.25">
      <c r="A23" s="11" t="s">
        <v>173</v>
      </c>
      <c r="B23" s="13" t="s">
        <v>331</v>
      </c>
      <c r="C23" s="13" t="s">
        <v>331</v>
      </c>
      <c r="D23" s="13" t="s">
        <v>331</v>
      </c>
      <c r="E23" s="13" t="s">
        <v>331</v>
      </c>
      <c r="F23" s="13" t="s">
        <v>331</v>
      </c>
      <c r="G23" s="13">
        <v>5866</v>
      </c>
      <c r="H23" s="13">
        <v>5788</v>
      </c>
      <c r="I23" s="13">
        <v>6230</v>
      </c>
      <c r="J23" s="13">
        <v>5922</v>
      </c>
      <c r="K23" s="13">
        <v>5832</v>
      </c>
      <c r="L23" s="13">
        <v>6136</v>
      </c>
      <c r="M23" s="13">
        <v>6595</v>
      </c>
      <c r="N23" s="13">
        <v>6663</v>
      </c>
      <c r="O23" s="13">
        <v>6730</v>
      </c>
      <c r="P23" s="13">
        <v>6533</v>
      </c>
      <c r="Q23" s="13">
        <v>6766</v>
      </c>
      <c r="R23" s="13">
        <v>6800</v>
      </c>
      <c r="S23" s="13">
        <v>7013</v>
      </c>
      <c r="T23" s="13">
        <v>7005</v>
      </c>
      <c r="U23" s="13">
        <v>7105</v>
      </c>
      <c r="V23" s="13">
        <v>6745</v>
      </c>
      <c r="W23" s="13">
        <v>6255</v>
      </c>
      <c r="X23" s="13">
        <v>6046</v>
      </c>
      <c r="Y23" s="13">
        <v>6088</v>
      </c>
      <c r="Z23" s="13">
        <v>5982</v>
      </c>
      <c r="AA23" s="8">
        <v>5980</v>
      </c>
      <c r="AB23" s="8">
        <v>5560</v>
      </c>
      <c r="AC23" s="8">
        <v>5236</v>
      </c>
      <c r="AD23" s="8">
        <v>6339</v>
      </c>
      <c r="AE23" s="8">
        <v>5649</v>
      </c>
      <c r="AF23" s="8">
        <v>5233</v>
      </c>
      <c r="AG23" s="8">
        <v>4926</v>
      </c>
      <c r="AH23" s="8">
        <v>4601</v>
      </c>
      <c r="AI23" s="8">
        <v>4653</v>
      </c>
      <c r="AJ23" s="8">
        <v>5007</v>
      </c>
      <c r="AK23" s="8">
        <v>5053</v>
      </c>
      <c r="AL23" s="8">
        <v>4925</v>
      </c>
      <c r="AM23" s="8">
        <v>4775</v>
      </c>
      <c r="AN23" s="8">
        <v>4908</v>
      </c>
      <c r="AO23" s="8">
        <v>5000</v>
      </c>
      <c r="AP23" s="8">
        <v>5209</v>
      </c>
      <c r="AQ23" s="8">
        <v>4961</v>
      </c>
      <c r="AR23" s="8">
        <v>4975</v>
      </c>
      <c r="AS23" s="8">
        <v>5051</v>
      </c>
      <c r="AT23" s="8">
        <v>4756</v>
      </c>
      <c r="AU23" s="8">
        <v>5001</v>
      </c>
      <c r="AV23" s="8">
        <v>5070</v>
      </c>
      <c r="AW23" s="8">
        <v>4659</v>
      </c>
      <c r="AX23" s="8">
        <v>4426</v>
      </c>
      <c r="AY23" s="8">
        <v>4238</v>
      </c>
      <c r="AZ23" s="8">
        <v>3950</v>
      </c>
      <c r="BA23" s="8">
        <v>3590</v>
      </c>
      <c r="BB23" s="8">
        <v>3574</v>
      </c>
      <c r="BC23" s="8">
        <v>3219</v>
      </c>
      <c r="BD23" s="8">
        <v>2814</v>
      </c>
      <c r="BE23" s="8">
        <v>2604</v>
      </c>
      <c r="BF23" s="8">
        <v>2405</v>
      </c>
      <c r="BG23" s="8">
        <v>2340</v>
      </c>
      <c r="BH23" s="8">
        <v>2133</v>
      </c>
      <c r="BI23" s="8">
        <v>2407</v>
      </c>
      <c r="BJ23" s="8">
        <v>2494</v>
      </c>
      <c r="BK23" s="8">
        <v>2712</v>
      </c>
      <c r="BL23" s="8">
        <v>2904</v>
      </c>
      <c r="BM23" s="8">
        <v>3065</v>
      </c>
      <c r="BN23" s="8">
        <v>3091</v>
      </c>
      <c r="BO23" s="8">
        <v>2939</v>
      </c>
      <c r="BP23" s="8">
        <v>3026</v>
      </c>
      <c r="BQ23" s="8">
        <v>2999</v>
      </c>
      <c r="BR23" s="8">
        <v>2796</v>
      </c>
      <c r="BS23" s="8">
        <v>2927</v>
      </c>
      <c r="BT23" s="8">
        <v>2735</v>
      </c>
      <c r="BU23" s="8">
        <v>2693</v>
      </c>
      <c r="BV23" s="8">
        <v>2708</v>
      </c>
      <c r="BW23" s="8">
        <v>2587</v>
      </c>
      <c r="BX23" s="8">
        <v>2490</v>
      </c>
      <c r="BY23" s="8">
        <v>2164</v>
      </c>
      <c r="BZ23" s="8">
        <v>2225</v>
      </c>
      <c r="CA23" s="8">
        <v>2124</v>
      </c>
      <c r="CB23" s="8">
        <v>2045</v>
      </c>
      <c r="CC23" s="8">
        <v>2015</v>
      </c>
      <c r="NA23" s="13"/>
    </row>
    <row r="24" spans="1:365" x14ac:dyDescent="0.25">
      <c r="A24" s="11" t="s">
        <v>174</v>
      </c>
      <c r="B24" s="13" t="s">
        <v>331</v>
      </c>
      <c r="C24" s="13" t="s">
        <v>331</v>
      </c>
      <c r="D24" s="13" t="s">
        <v>331</v>
      </c>
      <c r="E24" s="13" t="s">
        <v>331</v>
      </c>
      <c r="F24" s="13" t="s">
        <v>331</v>
      </c>
      <c r="G24" s="13">
        <v>5785</v>
      </c>
      <c r="H24" s="13">
        <v>5647</v>
      </c>
      <c r="I24" s="13">
        <v>5375</v>
      </c>
      <c r="J24" s="13">
        <v>5905</v>
      </c>
      <c r="K24" s="13">
        <v>5705</v>
      </c>
      <c r="L24" s="13">
        <v>5857</v>
      </c>
      <c r="M24" s="13">
        <v>5914</v>
      </c>
      <c r="N24" s="13">
        <v>6237</v>
      </c>
      <c r="O24" s="13">
        <v>6273</v>
      </c>
      <c r="P24" s="13">
        <v>6220</v>
      </c>
      <c r="Q24" s="13">
        <v>6130</v>
      </c>
      <c r="R24" s="13">
        <v>6254</v>
      </c>
      <c r="S24" s="13">
        <v>6446</v>
      </c>
      <c r="T24" s="13">
        <v>6289</v>
      </c>
      <c r="U24" s="13">
        <v>6322</v>
      </c>
      <c r="V24" s="13">
        <v>6224</v>
      </c>
      <c r="W24" s="13">
        <v>5772</v>
      </c>
      <c r="X24" s="13">
        <v>5776</v>
      </c>
      <c r="Y24" s="13">
        <v>5364</v>
      </c>
      <c r="Z24" s="13">
        <v>5218</v>
      </c>
      <c r="AA24" s="8">
        <v>5433</v>
      </c>
      <c r="AB24" s="8">
        <v>5381</v>
      </c>
      <c r="AC24" s="8">
        <v>4683</v>
      </c>
      <c r="AD24" s="8">
        <v>4671</v>
      </c>
      <c r="AE24" s="8">
        <v>5454</v>
      </c>
      <c r="AF24" s="8">
        <v>5113</v>
      </c>
      <c r="AG24" s="8">
        <v>4808</v>
      </c>
      <c r="AH24" s="8">
        <v>4429</v>
      </c>
      <c r="AI24" s="8">
        <v>4478</v>
      </c>
      <c r="AJ24" s="8">
        <v>4790</v>
      </c>
      <c r="AK24" s="8">
        <v>4901</v>
      </c>
      <c r="AL24" s="8">
        <v>4687</v>
      </c>
      <c r="AM24" s="8">
        <v>4543</v>
      </c>
      <c r="AN24" s="8">
        <v>4412</v>
      </c>
      <c r="AO24" s="8">
        <v>4678</v>
      </c>
      <c r="AP24" s="8">
        <v>4851</v>
      </c>
      <c r="AQ24" s="8">
        <v>4857</v>
      </c>
      <c r="AR24" s="8">
        <v>4805</v>
      </c>
      <c r="AS24" s="8">
        <v>5014</v>
      </c>
      <c r="AT24" s="8">
        <v>4759</v>
      </c>
      <c r="AU24" s="8">
        <v>5093</v>
      </c>
      <c r="AV24" s="8">
        <v>5053</v>
      </c>
      <c r="AW24" s="8">
        <v>4948</v>
      </c>
      <c r="AX24" s="8">
        <v>4616</v>
      </c>
      <c r="AY24" s="8">
        <v>4509</v>
      </c>
      <c r="AZ24" s="8">
        <v>4267</v>
      </c>
      <c r="BA24" s="8">
        <v>4134</v>
      </c>
      <c r="BB24" s="8">
        <v>3708</v>
      </c>
      <c r="BC24" s="8">
        <v>3568</v>
      </c>
      <c r="BD24" s="8">
        <v>3231</v>
      </c>
      <c r="BE24" s="8">
        <v>2887</v>
      </c>
      <c r="BF24" s="8">
        <v>2735</v>
      </c>
      <c r="BG24" s="8">
        <v>2551</v>
      </c>
      <c r="BH24" s="8">
        <v>2555</v>
      </c>
      <c r="BI24" s="8">
        <v>2485</v>
      </c>
      <c r="BJ24" s="8">
        <v>2618</v>
      </c>
      <c r="BK24" s="8">
        <v>2720</v>
      </c>
      <c r="BL24" s="8">
        <v>3146</v>
      </c>
      <c r="BM24" s="8">
        <v>3288</v>
      </c>
      <c r="BN24" s="8">
        <v>3346</v>
      </c>
      <c r="BO24" s="8">
        <v>3194</v>
      </c>
      <c r="BP24" s="8">
        <v>3010</v>
      </c>
      <c r="BQ24" s="8">
        <v>3255</v>
      </c>
      <c r="BR24" s="8">
        <v>3084</v>
      </c>
      <c r="BS24" s="8">
        <v>3187</v>
      </c>
      <c r="BT24" s="8">
        <v>3117</v>
      </c>
      <c r="BU24" s="8">
        <v>2949</v>
      </c>
      <c r="BV24" s="8">
        <v>2966</v>
      </c>
      <c r="BW24" s="8">
        <v>2950</v>
      </c>
      <c r="BX24" s="8">
        <v>2856</v>
      </c>
      <c r="BY24" s="8">
        <v>2528</v>
      </c>
      <c r="BZ24" s="8">
        <v>2534</v>
      </c>
      <c r="CA24" s="8">
        <v>2460</v>
      </c>
      <c r="CB24" s="8">
        <v>2345</v>
      </c>
      <c r="CC24" s="8">
        <v>2305</v>
      </c>
      <c r="NA24" s="13"/>
    </row>
    <row r="25" spans="1:365" x14ac:dyDescent="0.25">
      <c r="A25" s="11" t="s">
        <v>175</v>
      </c>
      <c r="B25" s="13" t="s">
        <v>331</v>
      </c>
      <c r="C25" s="13" t="s">
        <v>331</v>
      </c>
      <c r="D25" s="13" t="s">
        <v>331</v>
      </c>
      <c r="E25" s="13" t="s">
        <v>331</v>
      </c>
      <c r="F25" s="13" t="s">
        <v>331</v>
      </c>
      <c r="G25" s="13">
        <v>5664</v>
      </c>
      <c r="H25" s="13">
        <v>5427</v>
      </c>
      <c r="I25" s="13">
        <v>5477</v>
      </c>
      <c r="J25" s="13">
        <v>5409</v>
      </c>
      <c r="K25" s="13">
        <v>5627</v>
      </c>
      <c r="L25" s="13">
        <v>5540</v>
      </c>
      <c r="M25" s="13">
        <v>5724</v>
      </c>
      <c r="N25" s="13">
        <v>5911</v>
      </c>
      <c r="O25" s="13">
        <v>6027</v>
      </c>
      <c r="P25" s="13">
        <v>6059</v>
      </c>
      <c r="Q25" s="13">
        <v>6018</v>
      </c>
      <c r="R25" s="13">
        <v>5699</v>
      </c>
      <c r="S25" s="13">
        <v>6018</v>
      </c>
      <c r="T25" s="13">
        <v>5924</v>
      </c>
      <c r="U25" s="13">
        <v>5957</v>
      </c>
      <c r="V25" s="13">
        <v>5892</v>
      </c>
      <c r="W25" s="13">
        <v>5570</v>
      </c>
      <c r="X25" s="13">
        <v>5449</v>
      </c>
      <c r="Y25" s="13">
        <v>5185</v>
      </c>
      <c r="Z25" s="13">
        <v>4866</v>
      </c>
      <c r="AA25" s="8">
        <v>4660</v>
      </c>
      <c r="AB25" s="8">
        <v>4850</v>
      </c>
      <c r="AC25" s="8">
        <v>4340</v>
      </c>
      <c r="AD25" s="8">
        <v>4011</v>
      </c>
      <c r="AE25" s="8">
        <v>3923</v>
      </c>
      <c r="AF25" s="8">
        <v>4685</v>
      </c>
      <c r="AG25" s="8">
        <v>4460</v>
      </c>
      <c r="AH25" s="8">
        <v>4071</v>
      </c>
      <c r="AI25" s="8">
        <v>4181</v>
      </c>
      <c r="AJ25" s="8">
        <v>4497</v>
      </c>
      <c r="AK25" s="8">
        <v>4299</v>
      </c>
      <c r="AL25" s="8">
        <v>4396</v>
      </c>
      <c r="AM25" s="8">
        <v>4139</v>
      </c>
      <c r="AN25" s="8">
        <v>4078</v>
      </c>
      <c r="AO25" s="8">
        <v>4249</v>
      </c>
      <c r="AP25" s="8">
        <v>4499</v>
      </c>
      <c r="AQ25" s="8">
        <v>4433</v>
      </c>
      <c r="AR25" s="8">
        <v>4617</v>
      </c>
      <c r="AS25" s="8">
        <v>4577</v>
      </c>
      <c r="AT25" s="8">
        <v>4549</v>
      </c>
      <c r="AU25" s="8">
        <v>4809</v>
      </c>
      <c r="AV25" s="8">
        <v>4859</v>
      </c>
      <c r="AW25" s="8">
        <v>4941</v>
      </c>
      <c r="AX25" s="8">
        <v>4771</v>
      </c>
      <c r="AY25" s="8">
        <v>4583</v>
      </c>
      <c r="AZ25" s="8">
        <v>4331</v>
      </c>
      <c r="BA25" s="8">
        <v>4244</v>
      </c>
      <c r="BB25" s="8">
        <v>4147</v>
      </c>
      <c r="BC25" s="8">
        <v>3836</v>
      </c>
      <c r="BD25" s="8">
        <v>3721</v>
      </c>
      <c r="BE25" s="8">
        <v>3274</v>
      </c>
      <c r="BF25" s="8">
        <v>3077</v>
      </c>
      <c r="BG25" s="8">
        <v>2779</v>
      </c>
      <c r="BH25" s="8">
        <v>2890</v>
      </c>
      <c r="BI25" s="8">
        <v>2881</v>
      </c>
      <c r="BJ25" s="8">
        <v>2676</v>
      </c>
      <c r="BK25" s="8">
        <v>2876</v>
      </c>
      <c r="BL25" s="8">
        <v>3218</v>
      </c>
      <c r="BM25" s="8">
        <v>3542</v>
      </c>
      <c r="BN25" s="8">
        <v>3495</v>
      </c>
      <c r="BO25" s="8">
        <v>3597</v>
      </c>
      <c r="BP25" s="8">
        <v>3357</v>
      </c>
      <c r="BQ25" s="8">
        <v>3370</v>
      </c>
      <c r="BR25" s="8">
        <v>3267</v>
      </c>
      <c r="BS25" s="8">
        <v>3398</v>
      </c>
      <c r="BT25" s="8">
        <v>3443</v>
      </c>
      <c r="BU25" s="8">
        <v>3362</v>
      </c>
      <c r="BV25" s="8">
        <v>3125</v>
      </c>
      <c r="BW25" s="8">
        <v>3035</v>
      </c>
      <c r="BX25" s="8">
        <v>2937</v>
      </c>
      <c r="BY25" s="8">
        <v>2829</v>
      </c>
      <c r="BZ25" s="8">
        <v>2896</v>
      </c>
      <c r="CA25" s="8">
        <v>2770</v>
      </c>
      <c r="CB25" s="8">
        <v>2730</v>
      </c>
      <c r="CC25" s="8">
        <v>2619</v>
      </c>
      <c r="NA25" s="13"/>
    </row>
    <row r="26" spans="1:365" x14ac:dyDescent="0.25">
      <c r="A26" s="11" t="s">
        <v>176</v>
      </c>
      <c r="B26" s="13" t="s">
        <v>331</v>
      </c>
      <c r="C26" s="13" t="s">
        <v>331</v>
      </c>
      <c r="D26" s="13" t="s">
        <v>331</v>
      </c>
      <c r="E26" s="13" t="s">
        <v>331</v>
      </c>
      <c r="F26" s="13" t="s">
        <v>331</v>
      </c>
      <c r="G26" s="13">
        <v>5815</v>
      </c>
      <c r="H26" s="13">
        <v>5457</v>
      </c>
      <c r="I26" s="13">
        <v>5012</v>
      </c>
      <c r="J26" s="13">
        <v>5084</v>
      </c>
      <c r="K26" s="13">
        <v>5065</v>
      </c>
      <c r="L26" s="13">
        <v>5351</v>
      </c>
      <c r="M26" s="13">
        <v>5170</v>
      </c>
      <c r="N26" s="13">
        <v>5253</v>
      </c>
      <c r="O26" s="13">
        <v>5370</v>
      </c>
      <c r="P26" s="13">
        <v>5517</v>
      </c>
      <c r="Q26" s="13">
        <v>5656</v>
      </c>
      <c r="R26" s="13">
        <v>5436</v>
      </c>
      <c r="S26" s="13">
        <v>5424</v>
      </c>
      <c r="T26" s="13">
        <v>5243</v>
      </c>
      <c r="U26" s="13">
        <v>5286</v>
      </c>
      <c r="V26" s="13">
        <v>5165</v>
      </c>
      <c r="W26" s="13">
        <v>4752</v>
      </c>
      <c r="X26" s="13">
        <v>4623</v>
      </c>
      <c r="Y26" s="13">
        <v>4587</v>
      </c>
      <c r="Z26" s="13">
        <v>4346</v>
      </c>
      <c r="AA26" s="8">
        <v>3875</v>
      </c>
      <c r="AB26" s="8">
        <v>4055</v>
      </c>
      <c r="AC26" s="8">
        <v>3641</v>
      </c>
      <c r="AD26" s="8">
        <v>3512</v>
      </c>
      <c r="AE26" s="8">
        <v>3142</v>
      </c>
      <c r="AF26" s="8">
        <v>3209</v>
      </c>
      <c r="AG26" s="8">
        <v>4021</v>
      </c>
      <c r="AH26" s="8">
        <v>3759</v>
      </c>
      <c r="AI26" s="8">
        <v>3814</v>
      </c>
      <c r="AJ26" s="8">
        <v>4033</v>
      </c>
      <c r="AK26" s="8">
        <v>3845</v>
      </c>
      <c r="AL26" s="8">
        <v>3875</v>
      </c>
      <c r="AM26" s="8">
        <v>3681</v>
      </c>
      <c r="AN26" s="8">
        <v>3677</v>
      </c>
      <c r="AO26" s="8">
        <v>3797</v>
      </c>
      <c r="AP26" s="8">
        <v>3868</v>
      </c>
      <c r="AQ26" s="8">
        <v>4039</v>
      </c>
      <c r="AR26" s="8">
        <v>4167</v>
      </c>
      <c r="AS26" s="8">
        <v>4282</v>
      </c>
      <c r="AT26" s="8">
        <v>4128</v>
      </c>
      <c r="AU26" s="8">
        <v>4451</v>
      </c>
      <c r="AV26" s="8">
        <v>4649</v>
      </c>
      <c r="AW26" s="8">
        <v>4747</v>
      </c>
      <c r="AX26" s="8">
        <v>4615</v>
      </c>
      <c r="AY26" s="8">
        <v>4637</v>
      </c>
      <c r="AZ26" s="8">
        <v>4305</v>
      </c>
      <c r="BA26" s="8">
        <v>4220</v>
      </c>
      <c r="BB26" s="8">
        <v>4296</v>
      </c>
      <c r="BC26" s="8">
        <v>4043</v>
      </c>
      <c r="BD26" s="8">
        <v>3715</v>
      </c>
      <c r="BE26" s="8">
        <v>3619</v>
      </c>
      <c r="BF26" s="8">
        <v>3352</v>
      </c>
      <c r="BG26" s="8">
        <v>3114</v>
      </c>
      <c r="BH26" s="8">
        <v>3008</v>
      </c>
      <c r="BI26" s="8">
        <v>3011</v>
      </c>
      <c r="BJ26" s="8">
        <v>2981</v>
      </c>
      <c r="BK26" s="8">
        <v>2954</v>
      </c>
      <c r="BL26" s="8">
        <v>3058</v>
      </c>
      <c r="BM26" s="8">
        <v>3450</v>
      </c>
      <c r="BN26" s="8">
        <v>3489</v>
      </c>
      <c r="BO26" s="8">
        <v>3702</v>
      </c>
      <c r="BP26" s="8">
        <v>3613</v>
      </c>
      <c r="BQ26" s="8">
        <v>3653</v>
      </c>
      <c r="BR26" s="8">
        <v>3479</v>
      </c>
      <c r="BS26" s="8">
        <v>3596</v>
      </c>
      <c r="BT26" s="8">
        <v>3505</v>
      </c>
      <c r="BU26" s="8">
        <v>3492</v>
      </c>
      <c r="BV26" s="8">
        <v>3353</v>
      </c>
      <c r="BW26" s="8">
        <v>3254</v>
      </c>
      <c r="BX26" s="8">
        <v>3236</v>
      </c>
      <c r="BY26" s="8">
        <v>3108</v>
      </c>
      <c r="BZ26" s="8">
        <v>3307</v>
      </c>
      <c r="CA26" s="8">
        <v>3125</v>
      </c>
      <c r="CB26" s="8">
        <v>2967</v>
      </c>
      <c r="CC26" s="8">
        <v>2925</v>
      </c>
      <c r="NA26" s="13"/>
    </row>
    <row r="27" spans="1:365" x14ac:dyDescent="0.25">
      <c r="A27" s="11" t="s">
        <v>177</v>
      </c>
      <c r="B27" s="13">
        <v>22951</v>
      </c>
      <c r="C27" s="13">
        <v>30781</v>
      </c>
      <c r="D27" s="13">
        <v>35168</v>
      </c>
      <c r="E27" s="13">
        <v>31471</v>
      </c>
      <c r="F27" s="13">
        <v>30955</v>
      </c>
      <c r="G27" s="13">
        <v>29127</v>
      </c>
      <c r="H27" s="13">
        <v>28377</v>
      </c>
      <c r="I27" s="13">
        <v>28086</v>
      </c>
      <c r="J27" s="13">
        <v>28316</v>
      </c>
      <c r="K27" s="13">
        <v>28310</v>
      </c>
      <c r="L27" s="13">
        <v>29365</v>
      </c>
      <c r="M27" s="13">
        <v>30027</v>
      </c>
      <c r="N27" s="13">
        <v>30871</v>
      </c>
      <c r="O27" s="13">
        <v>31276</v>
      </c>
      <c r="P27" s="13">
        <v>31145</v>
      </c>
      <c r="Q27" s="13">
        <v>31666</v>
      </c>
      <c r="R27" s="13">
        <v>31321</v>
      </c>
      <c r="S27" s="13">
        <v>32271</v>
      </c>
      <c r="T27" s="13">
        <v>32024</v>
      </c>
      <c r="U27" s="13">
        <v>32181</v>
      </c>
      <c r="V27" s="13">
        <v>30933</v>
      </c>
      <c r="W27" s="13">
        <v>29003</v>
      </c>
      <c r="X27" s="13">
        <v>28480</v>
      </c>
      <c r="Y27" s="13">
        <v>28028</v>
      </c>
      <c r="Z27" s="13">
        <v>26974</v>
      </c>
      <c r="AA27" s="8">
        <v>25874</v>
      </c>
      <c r="AB27" s="8">
        <v>26015</v>
      </c>
      <c r="AC27" s="8">
        <v>24871</v>
      </c>
      <c r="AD27" s="8">
        <v>24718</v>
      </c>
      <c r="AE27" s="8">
        <v>23633</v>
      </c>
      <c r="AF27" s="8">
        <v>23579</v>
      </c>
      <c r="AG27" s="8">
        <v>23293</v>
      </c>
      <c r="AH27" s="8">
        <v>21567</v>
      </c>
      <c r="AI27" s="8">
        <v>21992</v>
      </c>
      <c r="AJ27" s="8">
        <v>23610</v>
      </c>
      <c r="AK27" s="8">
        <v>23200</v>
      </c>
      <c r="AL27" s="8">
        <v>23140</v>
      </c>
      <c r="AM27" s="8">
        <v>22115</v>
      </c>
      <c r="AN27" s="8">
        <v>22086</v>
      </c>
      <c r="AO27" s="8">
        <v>22784</v>
      </c>
      <c r="AP27" s="8">
        <v>23477</v>
      </c>
      <c r="AQ27" s="8">
        <v>23323</v>
      </c>
      <c r="AR27" s="8">
        <v>23480</v>
      </c>
      <c r="AS27" s="8">
        <v>23918</v>
      </c>
      <c r="AT27" s="8">
        <v>22899</v>
      </c>
      <c r="AU27" s="8">
        <v>24203</v>
      </c>
      <c r="AV27" s="8">
        <v>24163</v>
      </c>
      <c r="AW27" s="8">
        <v>23571</v>
      </c>
      <c r="AX27" s="8">
        <v>22758</v>
      </c>
      <c r="AY27" s="8">
        <v>21851</v>
      </c>
      <c r="AZ27" s="8">
        <v>20395</v>
      </c>
      <c r="BA27" s="8">
        <v>19511</v>
      </c>
      <c r="BB27" s="8">
        <v>18782</v>
      </c>
      <c r="BC27" s="8">
        <v>17477</v>
      </c>
      <c r="BD27" s="8">
        <v>16011</v>
      </c>
      <c r="BE27" s="8">
        <v>14676</v>
      </c>
      <c r="BF27" s="8">
        <v>13763</v>
      </c>
      <c r="BG27" s="8">
        <v>12694</v>
      </c>
      <c r="BH27" s="8">
        <v>12725</v>
      </c>
      <c r="BI27" s="8">
        <v>13131</v>
      </c>
      <c r="BJ27" s="8">
        <v>13229</v>
      </c>
      <c r="BK27" s="8">
        <v>13876</v>
      </c>
      <c r="BL27" s="8">
        <v>14918</v>
      </c>
      <c r="BM27" s="8">
        <v>16171</v>
      </c>
      <c r="BN27" s="8">
        <v>16178</v>
      </c>
      <c r="BO27" s="8">
        <v>16152</v>
      </c>
      <c r="BP27" s="8">
        <v>15879</v>
      </c>
      <c r="BQ27" s="8">
        <v>16028</v>
      </c>
      <c r="BR27" s="8">
        <v>15228</v>
      </c>
      <c r="BS27" s="8">
        <v>15731</v>
      </c>
      <c r="BT27" s="8">
        <v>15315</v>
      </c>
      <c r="BU27" s="8">
        <v>14976</v>
      </c>
      <c r="BV27" s="8">
        <v>14537</v>
      </c>
      <c r="BW27" s="8">
        <v>14080</v>
      </c>
      <c r="BX27" s="8">
        <v>13574</v>
      </c>
      <c r="BY27" s="8">
        <v>12558</v>
      </c>
      <c r="BZ27" s="8">
        <v>12835</v>
      </c>
      <c r="CA27" s="8">
        <v>12303</v>
      </c>
      <c r="CB27" s="8">
        <v>11765</v>
      </c>
      <c r="CC27" s="8">
        <v>11568</v>
      </c>
      <c r="NA27" s="13"/>
    </row>
    <row r="28" spans="1:365" x14ac:dyDescent="0.25">
      <c r="A28" s="11" t="s">
        <v>178</v>
      </c>
      <c r="B28" s="13" t="s">
        <v>331</v>
      </c>
      <c r="C28" s="13" t="s">
        <v>331</v>
      </c>
      <c r="D28" s="13" t="s">
        <v>331</v>
      </c>
      <c r="E28" s="13" t="s">
        <v>331</v>
      </c>
      <c r="F28" s="13" t="s">
        <v>331</v>
      </c>
      <c r="G28" s="13">
        <v>5516</v>
      </c>
      <c r="H28" s="13">
        <v>5313</v>
      </c>
      <c r="I28" s="13">
        <v>4907</v>
      </c>
      <c r="J28" s="13">
        <v>4843</v>
      </c>
      <c r="K28" s="13">
        <v>4765</v>
      </c>
      <c r="L28" s="13">
        <v>4667</v>
      </c>
      <c r="M28" s="13">
        <v>4912</v>
      </c>
      <c r="N28" s="13">
        <v>4899</v>
      </c>
      <c r="O28" s="13">
        <v>4877</v>
      </c>
      <c r="P28" s="13">
        <v>4923</v>
      </c>
      <c r="Q28" s="13">
        <v>5157</v>
      </c>
      <c r="R28" s="13">
        <v>5064</v>
      </c>
      <c r="S28" s="13">
        <v>4803</v>
      </c>
      <c r="T28" s="13">
        <v>4790</v>
      </c>
      <c r="U28" s="13">
        <v>4760</v>
      </c>
      <c r="V28" s="13">
        <v>4442</v>
      </c>
      <c r="W28" s="13">
        <v>4265</v>
      </c>
      <c r="X28" s="13">
        <v>4121</v>
      </c>
      <c r="Y28" s="13">
        <v>4024</v>
      </c>
      <c r="Z28" s="13">
        <v>3881</v>
      </c>
      <c r="AA28" s="8">
        <v>3602</v>
      </c>
      <c r="AB28" s="8">
        <v>3449</v>
      </c>
      <c r="AC28" s="8">
        <v>3165</v>
      </c>
      <c r="AD28" s="8">
        <v>3053</v>
      </c>
      <c r="AE28" s="8">
        <v>2804</v>
      </c>
      <c r="AF28" s="8">
        <v>2634</v>
      </c>
      <c r="AG28" s="8">
        <v>2739</v>
      </c>
      <c r="AH28" s="8">
        <v>3445</v>
      </c>
      <c r="AI28" s="8">
        <v>3441</v>
      </c>
      <c r="AJ28" s="8">
        <v>3467</v>
      </c>
      <c r="AK28" s="8">
        <v>3434</v>
      </c>
      <c r="AL28" s="8">
        <v>3323</v>
      </c>
      <c r="AM28" s="8">
        <v>3151</v>
      </c>
      <c r="AN28" s="8">
        <v>3270</v>
      </c>
      <c r="AO28" s="8">
        <v>3228</v>
      </c>
      <c r="AP28" s="8">
        <v>3328</v>
      </c>
      <c r="AQ28" s="8">
        <v>3508</v>
      </c>
      <c r="AR28" s="8">
        <v>3644</v>
      </c>
      <c r="AS28" s="8">
        <v>3694</v>
      </c>
      <c r="AT28" s="8">
        <v>3718</v>
      </c>
      <c r="AU28" s="8">
        <v>3928</v>
      </c>
      <c r="AV28" s="8">
        <v>4159</v>
      </c>
      <c r="AW28" s="8">
        <v>4219</v>
      </c>
      <c r="AX28" s="8">
        <v>4262</v>
      </c>
      <c r="AY28" s="8">
        <v>4359</v>
      </c>
      <c r="AZ28" s="8">
        <v>4293</v>
      </c>
      <c r="BA28" s="8">
        <v>4186</v>
      </c>
      <c r="BB28" s="8">
        <v>4210</v>
      </c>
      <c r="BC28" s="8">
        <v>4073</v>
      </c>
      <c r="BD28" s="8">
        <v>3879</v>
      </c>
      <c r="BE28" s="8">
        <v>3731</v>
      </c>
      <c r="BF28" s="8">
        <v>3637</v>
      </c>
      <c r="BG28" s="8">
        <v>3454</v>
      </c>
      <c r="BH28" s="8">
        <v>3229</v>
      </c>
      <c r="BI28" s="8">
        <v>3145</v>
      </c>
      <c r="BJ28" s="8">
        <v>3122</v>
      </c>
      <c r="BK28" s="8">
        <v>3191</v>
      </c>
      <c r="BL28" s="8">
        <v>3056</v>
      </c>
      <c r="BM28" s="8">
        <v>3289</v>
      </c>
      <c r="BN28" s="8">
        <v>3444</v>
      </c>
      <c r="BO28" s="8">
        <v>3638</v>
      </c>
      <c r="BP28" s="8">
        <v>3842</v>
      </c>
      <c r="BQ28" s="8">
        <v>3824</v>
      </c>
      <c r="BR28" s="8">
        <v>3547</v>
      </c>
      <c r="BS28" s="8">
        <v>3523</v>
      </c>
      <c r="BT28" s="8">
        <v>3486</v>
      </c>
      <c r="BU28" s="8">
        <v>3620</v>
      </c>
      <c r="BV28" s="8">
        <v>3475</v>
      </c>
      <c r="BW28" s="8">
        <v>3384</v>
      </c>
      <c r="BX28" s="8">
        <v>3372</v>
      </c>
      <c r="BY28" s="8">
        <v>3123</v>
      </c>
      <c r="BZ28" s="8">
        <v>3386</v>
      </c>
      <c r="CA28" s="8">
        <v>3314</v>
      </c>
      <c r="CB28" s="8">
        <v>3188</v>
      </c>
      <c r="CC28" s="8">
        <v>3219</v>
      </c>
      <c r="NA28" s="13"/>
    </row>
    <row r="29" spans="1:365" x14ac:dyDescent="0.25">
      <c r="A29" s="11" t="s">
        <v>179</v>
      </c>
      <c r="B29" s="13" t="s">
        <v>331</v>
      </c>
      <c r="C29" s="13" t="s">
        <v>331</v>
      </c>
      <c r="D29" s="13" t="s">
        <v>331</v>
      </c>
      <c r="E29" s="13" t="s">
        <v>331</v>
      </c>
      <c r="F29" s="13" t="s">
        <v>331</v>
      </c>
      <c r="G29" s="13">
        <v>3550</v>
      </c>
      <c r="H29" s="13">
        <v>4626</v>
      </c>
      <c r="I29" s="13">
        <v>4712</v>
      </c>
      <c r="J29" s="13">
        <v>4243</v>
      </c>
      <c r="K29" s="13">
        <v>4119</v>
      </c>
      <c r="L29" s="13">
        <v>4029</v>
      </c>
      <c r="M29" s="13">
        <v>4077</v>
      </c>
      <c r="N29" s="13">
        <v>4302</v>
      </c>
      <c r="O29" s="13">
        <v>4099</v>
      </c>
      <c r="P29" s="13">
        <v>4070</v>
      </c>
      <c r="Q29" s="13">
        <v>4172</v>
      </c>
      <c r="R29" s="13">
        <v>4315</v>
      </c>
      <c r="S29" s="13">
        <v>4356</v>
      </c>
      <c r="T29" s="13">
        <v>4138</v>
      </c>
      <c r="U29" s="13">
        <v>4015</v>
      </c>
      <c r="V29" s="13">
        <v>3835</v>
      </c>
      <c r="W29" s="13">
        <v>3498</v>
      </c>
      <c r="X29" s="13">
        <v>3439</v>
      </c>
      <c r="Y29" s="13">
        <v>3370</v>
      </c>
      <c r="Z29" s="13">
        <v>3129</v>
      </c>
      <c r="AA29" s="8">
        <v>3047</v>
      </c>
      <c r="AB29" s="8">
        <v>2900</v>
      </c>
      <c r="AC29" s="8">
        <v>2494</v>
      </c>
      <c r="AD29" s="8">
        <v>2300</v>
      </c>
      <c r="AE29" s="8">
        <v>2288</v>
      </c>
      <c r="AF29" s="8">
        <v>2272</v>
      </c>
      <c r="AG29" s="8">
        <v>2125</v>
      </c>
      <c r="AH29" s="8">
        <v>2193</v>
      </c>
      <c r="AI29" s="8">
        <v>2828</v>
      </c>
      <c r="AJ29" s="8">
        <v>2845</v>
      </c>
      <c r="AK29" s="8">
        <v>2968</v>
      </c>
      <c r="AL29" s="8">
        <v>2866</v>
      </c>
      <c r="AM29" s="8">
        <v>2625</v>
      </c>
      <c r="AN29" s="8">
        <v>2592</v>
      </c>
      <c r="AO29" s="8">
        <v>2711</v>
      </c>
      <c r="AP29" s="8">
        <v>2760</v>
      </c>
      <c r="AQ29" s="8">
        <v>2872</v>
      </c>
      <c r="AR29" s="8">
        <v>3021</v>
      </c>
      <c r="AS29" s="8">
        <v>3045</v>
      </c>
      <c r="AT29" s="8">
        <v>3124</v>
      </c>
      <c r="AU29" s="8">
        <v>3467</v>
      </c>
      <c r="AV29" s="8">
        <v>3598</v>
      </c>
      <c r="AW29" s="8">
        <v>3912</v>
      </c>
      <c r="AX29" s="8">
        <v>3793</v>
      </c>
      <c r="AY29" s="8">
        <v>3961</v>
      </c>
      <c r="AZ29" s="8">
        <v>3924</v>
      </c>
      <c r="BA29" s="8">
        <v>3929</v>
      </c>
      <c r="BB29" s="8">
        <v>3780</v>
      </c>
      <c r="BC29" s="8">
        <v>3815</v>
      </c>
      <c r="BD29" s="8">
        <v>3832</v>
      </c>
      <c r="BE29" s="8">
        <v>3593</v>
      </c>
      <c r="BF29" s="8">
        <v>3453</v>
      </c>
      <c r="BG29" s="8">
        <v>3575</v>
      </c>
      <c r="BH29" s="8">
        <v>3477</v>
      </c>
      <c r="BI29" s="8">
        <v>3310</v>
      </c>
      <c r="BJ29" s="8">
        <v>3256</v>
      </c>
      <c r="BK29" s="8">
        <v>3314</v>
      </c>
      <c r="BL29" s="8">
        <v>3300</v>
      </c>
      <c r="BM29" s="8">
        <v>3274</v>
      </c>
      <c r="BN29" s="8">
        <v>3356</v>
      </c>
      <c r="BO29" s="8">
        <v>3608</v>
      </c>
      <c r="BP29" s="8">
        <v>3682</v>
      </c>
      <c r="BQ29" s="8">
        <v>3795</v>
      </c>
      <c r="BR29" s="8">
        <v>3738</v>
      </c>
      <c r="BS29" s="8">
        <v>3795</v>
      </c>
      <c r="BT29" s="8">
        <v>3754</v>
      </c>
      <c r="BU29" s="8">
        <v>3723</v>
      </c>
      <c r="BV29" s="8">
        <v>3510</v>
      </c>
      <c r="BW29" s="8">
        <v>3533</v>
      </c>
      <c r="BX29" s="8">
        <v>3513</v>
      </c>
      <c r="BY29" s="8">
        <v>3274</v>
      </c>
      <c r="BZ29" s="8">
        <v>3552</v>
      </c>
      <c r="CA29" s="8">
        <v>3485</v>
      </c>
      <c r="CB29" s="8">
        <v>3522</v>
      </c>
      <c r="CC29" s="8">
        <v>3390</v>
      </c>
      <c r="NA29" s="13"/>
    </row>
    <row r="30" spans="1:365" x14ac:dyDescent="0.25">
      <c r="A30" s="11" t="s">
        <v>180</v>
      </c>
      <c r="B30" s="13" t="s">
        <v>331</v>
      </c>
      <c r="C30" s="13" t="s">
        <v>331</v>
      </c>
      <c r="D30" s="13" t="s">
        <v>331</v>
      </c>
      <c r="E30" s="13" t="s">
        <v>331</v>
      </c>
      <c r="F30" s="13" t="s">
        <v>331</v>
      </c>
      <c r="G30" s="13">
        <v>3466</v>
      </c>
      <c r="H30" s="13">
        <v>3332</v>
      </c>
      <c r="I30" s="13">
        <v>4378</v>
      </c>
      <c r="J30" s="13">
        <v>4375</v>
      </c>
      <c r="K30" s="13">
        <v>4068</v>
      </c>
      <c r="L30" s="13">
        <v>3887</v>
      </c>
      <c r="M30" s="13">
        <v>3965</v>
      </c>
      <c r="N30" s="13">
        <v>3863</v>
      </c>
      <c r="O30" s="13">
        <v>4040</v>
      </c>
      <c r="P30" s="13">
        <v>3783</v>
      </c>
      <c r="Q30" s="13">
        <v>3776</v>
      </c>
      <c r="R30" s="13">
        <v>3842</v>
      </c>
      <c r="S30" s="13">
        <v>4077</v>
      </c>
      <c r="T30" s="13">
        <v>4019</v>
      </c>
      <c r="U30" s="13">
        <v>3934</v>
      </c>
      <c r="V30" s="13">
        <v>3549</v>
      </c>
      <c r="W30" s="13">
        <v>3280</v>
      </c>
      <c r="X30" s="13">
        <v>3137</v>
      </c>
      <c r="Y30" s="13">
        <v>3022</v>
      </c>
      <c r="Z30" s="13">
        <v>2839</v>
      </c>
      <c r="AA30" s="8">
        <v>2603</v>
      </c>
      <c r="AB30" s="8">
        <v>2563</v>
      </c>
      <c r="AC30" s="8">
        <v>2163</v>
      </c>
      <c r="AD30" s="8">
        <v>2007</v>
      </c>
      <c r="AE30" s="8">
        <v>1763</v>
      </c>
      <c r="AF30" s="8">
        <v>1779</v>
      </c>
      <c r="AG30" s="8">
        <v>1734</v>
      </c>
      <c r="AH30" s="8">
        <v>1623</v>
      </c>
      <c r="AI30" s="8">
        <v>1852</v>
      </c>
      <c r="AJ30" s="8">
        <v>2610</v>
      </c>
      <c r="AK30" s="8">
        <v>2421</v>
      </c>
      <c r="AL30" s="8">
        <v>2399</v>
      </c>
      <c r="AM30" s="8">
        <v>2197</v>
      </c>
      <c r="AN30" s="8">
        <v>2162</v>
      </c>
      <c r="AO30" s="8">
        <v>2158</v>
      </c>
      <c r="AP30" s="8">
        <v>2274</v>
      </c>
      <c r="AQ30" s="8">
        <v>2294</v>
      </c>
      <c r="AR30" s="8">
        <v>2467</v>
      </c>
      <c r="AS30" s="8">
        <v>2477</v>
      </c>
      <c r="AT30" s="8">
        <v>2611</v>
      </c>
      <c r="AU30" s="8">
        <v>2952</v>
      </c>
      <c r="AV30" s="8">
        <v>3039</v>
      </c>
      <c r="AW30" s="8">
        <v>3132</v>
      </c>
      <c r="AX30" s="8">
        <v>3194</v>
      </c>
      <c r="AY30" s="8">
        <v>3318</v>
      </c>
      <c r="AZ30" s="8">
        <v>3361</v>
      </c>
      <c r="BA30" s="8">
        <v>3375</v>
      </c>
      <c r="BB30" s="8">
        <v>3619</v>
      </c>
      <c r="BC30" s="8">
        <v>3521</v>
      </c>
      <c r="BD30" s="8">
        <v>3410</v>
      </c>
      <c r="BE30" s="8">
        <v>3389</v>
      </c>
      <c r="BF30" s="8">
        <v>3309</v>
      </c>
      <c r="BG30" s="8">
        <v>3317</v>
      </c>
      <c r="BH30" s="8">
        <v>3558</v>
      </c>
      <c r="BI30" s="8">
        <v>3419</v>
      </c>
      <c r="BJ30" s="8">
        <v>3278</v>
      </c>
      <c r="BK30" s="8">
        <v>3183</v>
      </c>
      <c r="BL30" s="8">
        <v>3248</v>
      </c>
      <c r="BM30" s="8">
        <v>3293</v>
      </c>
      <c r="BN30" s="8">
        <v>3138</v>
      </c>
      <c r="BO30" s="8">
        <v>3310</v>
      </c>
      <c r="BP30" s="8">
        <v>3472</v>
      </c>
      <c r="BQ30" s="8">
        <v>3601</v>
      </c>
      <c r="BR30" s="8">
        <v>3585</v>
      </c>
      <c r="BS30" s="8">
        <v>3736</v>
      </c>
      <c r="BT30" s="8">
        <v>3632</v>
      </c>
      <c r="BU30" s="8">
        <v>3546</v>
      </c>
      <c r="BV30" s="8">
        <v>3520</v>
      </c>
      <c r="BW30" s="8">
        <v>3497</v>
      </c>
      <c r="BX30" s="8">
        <v>3409</v>
      </c>
      <c r="BY30" s="8">
        <v>3363</v>
      </c>
      <c r="BZ30" s="8">
        <v>3449</v>
      </c>
      <c r="CA30" s="8">
        <v>3378</v>
      </c>
      <c r="CB30" s="8">
        <v>3374</v>
      </c>
      <c r="CC30" s="8">
        <v>3402</v>
      </c>
      <c r="NA30" s="13"/>
    </row>
    <row r="31" spans="1:365" x14ac:dyDescent="0.25">
      <c r="A31" s="11" t="s">
        <v>181</v>
      </c>
      <c r="B31" s="13" t="s">
        <v>331</v>
      </c>
      <c r="C31" s="13" t="s">
        <v>331</v>
      </c>
      <c r="D31" s="13" t="s">
        <v>331</v>
      </c>
      <c r="E31" s="13" t="s">
        <v>331</v>
      </c>
      <c r="F31" s="13" t="s">
        <v>331</v>
      </c>
      <c r="G31" s="13">
        <v>3171</v>
      </c>
      <c r="H31" s="13">
        <v>2880</v>
      </c>
      <c r="I31" s="13">
        <v>2908</v>
      </c>
      <c r="J31" s="13">
        <v>3908</v>
      </c>
      <c r="K31" s="13">
        <v>3931</v>
      </c>
      <c r="L31" s="13">
        <v>3516</v>
      </c>
      <c r="M31" s="13">
        <v>3381</v>
      </c>
      <c r="N31" s="13">
        <v>3329</v>
      </c>
      <c r="O31" s="13">
        <v>3264</v>
      </c>
      <c r="P31" s="13">
        <v>3355</v>
      </c>
      <c r="Q31" s="13">
        <v>3302</v>
      </c>
      <c r="R31" s="13">
        <v>3239</v>
      </c>
      <c r="S31" s="13">
        <v>3313</v>
      </c>
      <c r="T31" s="13">
        <v>3432</v>
      </c>
      <c r="U31" s="13">
        <v>3425</v>
      </c>
      <c r="V31" s="13">
        <v>3164</v>
      </c>
      <c r="W31" s="13">
        <v>2849</v>
      </c>
      <c r="X31" s="13">
        <v>2803</v>
      </c>
      <c r="Y31" s="13">
        <v>2552</v>
      </c>
      <c r="Z31" s="13">
        <v>2380</v>
      </c>
      <c r="AA31" s="8">
        <v>2219</v>
      </c>
      <c r="AB31" s="8">
        <v>2148</v>
      </c>
      <c r="AC31" s="8">
        <v>1894</v>
      </c>
      <c r="AD31" s="8">
        <v>1622</v>
      </c>
      <c r="AE31" s="8">
        <v>1360</v>
      </c>
      <c r="AF31" s="8">
        <v>1377</v>
      </c>
      <c r="AG31" s="8">
        <v>1372</v>
      </c>
      <c r="AH31" s="8">
        <v>1388</v>
      </c>
      <c r="AI31" s="8">
        <v>1432</v>
      </c>
      <c r="AJ31" s="8">
        <v>1613</v>
      </c>
      <c r="AK31" s="8">
        <v>2026</v>
      </c>
      <c r="AL31" s="8">
        <v>1912</v>
      </c>
      <c r="AM31" s="8">
        <v>1788</v>
      </c>
      <c r="AN31" s="8">
        <v>1755</v>
      </c>
      <c r="AO31" s="8">
        <v>1736</v>
      </c>
      <c r="AP31" s="8">
        <v>1813</v>
      </c>
      <c r="AQ31" s="8">
        <v>1866</v>
      </c>
      <c r="AR31" s="8">
        <v>1902</v>
      </c>
      <c r="AS31" s="8">
        <v>2022</v>
      </c>
      <c r="AT31" s="8">
        <v>2069</v>
      </c>
      <c r="AU31" s="8">
        <v>2264</v>
      </c>
      <c r="AV31" s="8">
        <v>2448</v>
      </c>
      <c r="AW31" s="8">
        <v>2622</v>
      </c>
      <c r="AX31" s="8">
        <v>2598</v>
      </c>
      <c r="AY31" s="8">
        <v>2757</v>
      </c>
      <c r="AZ31" s="8">
        <v>2874</v>
      </c>
      <c r="BA31" s="8">
        <v>3061</v>
      </c>
      <c r="BB31" s="8">
        <v>3194</v>
      </c>
      <c r="BC31" s="8">
        <v>3086</v>
      </c>
      <c r="BD31" s="8">
        <v>2977</v>
      </c>
      <c r="BE31" s="8">
        <v>2934</v>
      </c>
      <c r="BF31" s="8">
        <v>3086</v>
      </c>
      <c r="BG31" s="8">
        <v>3035</v>
      </c>
      <c r="BH31" s="8">
        <v>3039</v>
      </c>
      <c r="BI31" s="8">
        <v>3330</v>
      </c>
      <c r="BJ31" s="8">
        <v>3267</v>
      </c>
      <c r="BK31" s="8">
        <v>3163</v>
      </c>
      <c r="BL31" s="8">
        <v>3089</v>
      </c>
      <c r="BM31" s="8">
        <v>3138</v>
      </c>
      <c r="BN31" s="8">
        <v>3015</v>
      </c>
      <c r="BO31" s="8">
        <v>3017</v>
      </c>
      <c r="BP31" s="8">
        <v>3145</v>
      </c>
      <c r="BQ31" s="8">
        <v>3260</v>
      </c>
      <c r="BR31" s="8">
        <v>3277</v>
      </c>
      <c r="BS31" s="8">
        <v>3391</v>
      </c>
      <c r="BT31" s="8">
        <v>3394</v>
      </c>
      <c r="BU31" s="8">
        <v>3469</v>
      </c>
      <c r="BV31" s="8">
        <v>3324</v>
      </c>
      <c r="BW31" s="8">
        <v>3263</v>
      </c>
      <c r="BX31" s="8">
        <v>3166</v>
      </c>
      <c r="BY31" s="8">
        <v>3075</v>
      </c>
      <c r="BZ31" s="8">
        <v>3268</v>
      </c>
      <c r="CA31" s="8">
        <v>3102</v>
      </c>
      <c r="CB31" s="8">
        <v>3214</v>
      </c>
      <c r="CC31" s="8">
        <v>3229</v>
      </c>
      <c r="NA31" s="13"/>
    </row>
    <row r="32" spans="1:365" x14ac:dyDescent="0.25">
      <c r="A32" s="11" t="s">
        <v>182</v>
      </c>
      <c r="B32" s="13" t="s">
        <v>331</v>
      </c>
      <c r="C32" s="13" t="s">
        <v>331</v>
      </c>
      <c r="D32" s="13" t="s">
        <v>331</v>
      </c>
      <c r="E32" s="13" t="s">
        <v>331</v>
      </c>
      <c r="F32" s="13" t="s">
        <v>331</v>
      </c>
      <c r="G32" s="13">
        <v>3224</v>
      </c>
      <c r="H32" s="13">
        <v>2888</v>
      </c>
      <c r="I32" s="13">
        <v>2610</v>
      </c>
      <c r="J32" s="13">
        <v>2674</v>
      </c>
      <c r="K32" s="13">
        <v>3505</v>
      </c>
      <c r="L32" s="13">
        <v>3366</v>
      </c>
      <c r="M32" s="13">
        <v>3237</v>
      </c>
      <c r="N32" s="13">
        <v>3055</v>
      </c>
      <c r="O32" s="13">
        <v>3073</v>
      </c>
      <c r="P32" s="13">
        <v>3041</v>
      </c>
      <c r="Q32" s="13">
        <v>3143</v>
      </c>
      <c r="R32" s="13">
        <v>3042</v>
      </c>
      <c r="S32" s="13">
        <v>2877</v>
      </c>
      <c r="T32" s="13">
        <v>2911</v>
      </c>
      <c r="U32" s="13">
        <v>3070</v>
      </c>
      <c r="V32" s="13">
        <v>2807</v>
      </c>
      <c r="W32" s="13">
        <v>2551</v>
      </c>
      <c r="X32" s="13">
        <v>2410</v>
      </c>
      <c r="Y32" s="13">
        <v>2342</v>
      </c>
      <c r="Z32" s="13">
        <v>2151</v>
      </c>
      <c r="AA32" s="8">
        <v>1929</v>
      </c>
      <c r="AB32" s="8">
        <v>1794</v>
      </c>
      <c r="AC32" s="8">
        <v>1533</v>
      </c>
      <c r="AD32" s="8">
        <v>1359</v>
      </c>
      <c r="AE32" s="8">
        <v>1264</v>
      </c>
      <c r="AF32" s="8">
        <v>1107</v>
      </c>
      <c r="AG32" s="8">
        <v>1054</v>
      </c>
      <c r="AH32" s="8">
        <v>1049</v>
      </c>
      <c r="AI32" s="8">
        <v>1144</v>
      </c>
      <c r="AJ32" s="8">
        <v>1210</v>
      </c>
      <c r="AK32" s="8">
        <v>1262</v>
      </c>
      <c r="AL32" s="8">
        <v>1618</v>
      </c>
      <c r="AM32" s="8">
        <v>1563</v>
      </c>
      <c r="AN32" s="8">
        <v>1425</v>
      </c>
      <c r="AO32" s="8">
        <v>1378</v>
      </c>
      <c r="AP32" s="8">
        <v>1408</v>
      </c>
      <c r="AQ32" s="8">
        <v>1455</v>
      </c>
      <c r="AR32" s="8">
        <v>1542</v>
      </c>
      <c r="AS32" s="8">
        <v>1590</v>
      </c>
      <c r="AT32" s="8">
        <v>1588</v>
      </c>
      <c r="AU32" s="8">
        <v>1768</v>
      </c>
      <c r="AV32" s="8">
        <v>1962</v>
      </c>
      <c r="AW32" s="8">
        <v>2088</v>
      </c>
      <c r="AX32" s="8">
        <v>2241</v>
      </c>
      <c r="AY32" s="8">
        <v>2310</v>
      </c>
      <c r="AZ32" s="8">
        <v>2351</v>
      </c>
      <c r="BA32" s="8">
        <v>2487</v>
      </c>
      <c r="BB32" s="8">
        <v>2652</v>
      </c>
      <c r="BC32" s="8">
        <v>2712</v>
      </c>
      <c r="BD32" s="8">
        <v>2624</v>
      </c>
      <c r="BE32" s="8">
        <v>2586</v>
      </c>
      <c r="BF32" s="8">
        <v>2721</v>
      </c>
      <c r="BG32" s="8">
        <v>2657</v>
      </c>
      <c r="BH32" s="8">
        <v>2782</v>
      </c>
      <c r="BI32" s="8">
        <v>2881</v>
      </c>
      <c r="BJ32" s="8">
        <v>3039</v>
      </c>
      <c r="BK32" s="8">
        <v>3027</v>
      </c>
      <c r="BL32" s="8">
        <v>2929</v>
      </c>
      <c r="BM32" s="8">
        <v>3034</v>
      </c>
      <c r="BN32" s="8">
        <v>2882</v>
      </c>
      <c r="BO32" s="8">
        <v>2853</v>
      </c>
      <c r="BP32" s="8">
        <v>2727</v>
      </c>
      <c r="BQ32" s="8">
        <v>2782</v>
      </c>
      <c r="BR32" s="8">
        <v>2885</v>
      </c>
      <c r="BS32" s="8">
        <v>3202</v>
      </c>
      <c r="BT32" s="8">
        <v>3187</v>
      </c>
      <c r="BU32" s="8">
        <v>3132</v>
      </c>
      <c r="BV32" s="8">
        <v>3126</v>
      </c>
      <c r="BW32" s="8">
        <v>2981</v>
      </c>
      <c r="BX32" s="8">
        <v>3102</v>
      </c>
      <c r="BY32" s="8">
        <v>2880</v>
      </c>
      <c r="BZ32" s="8">
        <v>2908</v>
      </c>
      <c r="CA32" s="8">
        <v>2994</v>
      </c>
      <c r="CB32" s="8">
        <v>2940</v>
      </c>
      <c r="CC32" s="8">
        <v>3084</v>
      </c>
      <c r="NA32" s="13"/>
    </row>
    <row r="33" spans="1:365" x14ac:dyDescent="0.25">
      <c r="A33" s="11" t="s">
        <v>183</v>
      </c>
      <c r="B33" s="13">
        <v>20967</v>
      </c>
      <c r="C33" s="13">
        <v>25495</v>
      </c>
      <c r="D33" s="13">
        <v>25711</v>
      </c>
      <c r="E33" s="13">
        <v>21093</v>
      </c>
      <c r="F33" s="13">
        <v>18708</v>
      </c>
      <c r="G33" s="13">
        <v>18927</v>
      </c>
      <c r="H33" s="13">
        <v>19039</v>
      </c>
      <c r="I33" s="13">
        <v>19515</v>
      </c>
      <c r="J33" s="13">
        <v>20043</v>
      </c>
      <c r="K33" s="13">
        <v>20388</v>
      </c>
      <c r="L33" s="13">
        <v>19465</v>
      </c>
      <c r="M33" s="13">
        <v>19572</v>
      </c>
      <c r="N33" s="13">
        <v>19448</v>
      </c>
      <c r="O33" s="13">
        <v>19353</v>
      </c>
      <c r="P33" s="13">
        <v>19172</v>
      </c>
      <c r="Q33" s="13">
        <v>19550</v>
      </c>
      <c r="R33" s="13">
        <v>19502</v>
      </c>
      <c r="S33" s="13">
        <v>19426</v>
      </c>
      <c r="T33" s="13">
        <v>19290</v>
      </c>
      <c r="U33" s="13">
        <v>19204</v>
      </c>
      <c r="V33" s="13">
        <v>17797</v>
      </c>
      <c r="W33" s="13">
        <v>16443</v>
      </c>
      <c r="X33" s="13">
        <v>15910</v>
      </c>
      <c r="Y33" s="13">
        <v>15310</v>
      </c>
      <c r="Z33" s="13">
        <v>14380</v>
      </c>
      <c r="AA33" s="8">
        <v>13400</v>
      </c>
      <c r="AB33" s="8">
        <v>12854</v>
      </c>
      <c r="AC33" s="8">
        <v>11249</v>
      </c>
      <c r="AD33" s="8">
        <v>10341</v>
      </c>
      <c r="AE33" s="8">
        <v>9479</v>
      </c>
      <c r="AF33" s="8">
        <v>9169</v>
      </c>
      <c r="AG33" s="8">
        <v>9024</v>
      </c>
      <c r="AH33" s="8">
        <v>9698</v>
      </c>
      <c r="AI33" s="8">
        <v>10697</v>
      </c>
      <c r="AJ33" s="8">
        <v>11745</v>
      </c>
      <c r="AK33" s="8">
        <v>12111</v>
      </c>
      <c r="AL33" s="8">
        <v>12118</v>
      </c>
      <c r="AM33" s="8">
        <v>11324</v>
      </c>
      <c r="AN33" s="8">
        <v>11204</v>
      </c>
      <c r="AO33" s="8">
        <v>11211</v>
      </c>
      <c r="AP33" s="8">
        <v>11583</v>
      </c>
      <c r="AQ33" s="8">
        <v>11995</v>
      </c>
      <c r="AR33" s="8">
        <v>12576</v>
      </c>
      <c r="AS33" s="8">
        <v>12828</v>
      </c>
      <c r="AT33" s="8">
        <v>13110</v>
      </c>
      <c r="AU33" s="8">
        <v>14379</v>
      </c>
      <c r="AV33" s="8">
        <v>15206</v>
      </c>
      <c r="AW33" s="8">
        <v>15973</v>
      </c>
      <c r="AX33" s="8">
        <v>16088</v>
      </c>
      <c r="AY33" s="8">
        <v>16705</v>
      </c>
      <c r="AZ33" s="8">
        <v>16803</v>
      </c>
      <c r="BA33" s="8">
        <v>17038</v>
      </c>
      <c r="BB33" s="8">
        <v>17455</v>
      </c>
      <c r="BC33" s="8">
        <v>17207</v>
      </c>
      <c r="BD33" s="8">
        <v>16722</v>
      </c>
      <c r="BE33" s="8">
        <v>16233</v>
      </c>
      <c r="BF33" s="8">
        <v>16206</v>
      </c>
      <c r="BG33" s="8">
        <v>16038</v>
      </c>
      <c r="BH33" s="8">
        <v>16085</v>
      </c>
      <c r="BI33" s="8">
        <v>16085</v>
      </c>
      <c r="BJ33" s="8">
        <v>15962</v>
      </c>
      <c r="BK33" s="8">
        <v>15878</v>
      </c>
      <c r="BL33" s="8">
        <v>15622</v>
      </c>
      <c r="BM33" s="8">
        <v>16028</v>
      </c>
      <c r="BN33" s="8">
        <v>15835</v>
      </c>
      <c r="BO33" s="8">
        <v>16426</v>
      </c>
      <c r="BP33" s="8">
        <v>16868</v>
      </c>
      <c r="BQ33" s="8">
        <v>17262</v>
      </c>
      <c r="BR33" s="8">
        <v>17032</v>
      </c>
      <c r="BS33" s="8">
        <v>17647</v>
      </c>
      <c r="BT33" s="8">
        <v>17453</v>
      </c>
      <c r="BU33" s="8">
        <v>17490</v>
      </c>
      <c r="BV33" s="8">
        <v>16955</v>
      </c>
      <c r="BW33" s="8">
        <v>16658</v>
      </c>
      <c r="BX33" s="8">
        <v>16562</v>
      </c>
      <c r="BY33" s="8">
        <v>15715</v>
      </c>
      <c r="BZ33" s="8">
        <v>16563</v>
      </c>
      <c r="CA33" s="8">
        <v>16273</v>
      </c>
      <c r="CB33" s="8">
        <v>16238</v>
      </c>
      <c r="CC33" s="8">
        <v>16324</v>
      </c>
      <c r="NA33" s="13"/>
    </row>
    <row r="34" spans="1:365" x14ac:dyDescent="0.25">
      <c r="A34" s="11" t="s">
        <v>184</v>
      </c>
      <c r="B34" s="13" t="s">
        <v>331</v>
      </c>
      <c r="C34" s="13" t="s">
        <v>331</v>
      </c>
      <c r="D34" s="13" t="s">
        <v>331</v>
      </c>
      <c r="E34" s="13" t="s">
        <v>331</v>
      </c>
      <c r="F34" s="13" t="s">
        <v>331</v>
      </c>
      <c r="G34" s="13">
        <v>3092</v>
      </c>
      <c r="H34" s="13">
        <v>2815</v>
      </c>
      <c r="I34" s="13">
        <v>2511</v>
      </c>
      <c r="J34" s="13">
        <v>2347</v>
      </c>
      <c r="K34" s="13">
        <v>2500</v>
      </c>
      <c r="L34" s="13">
        <v>3023</v>
      </c>
      <c r="M34" s="13">
        <v>3074</v>
      </c>
      <c r="N34" s="13">
        <v>2856</v>
      </c>
      <c r="O34" s="13">
        <v>2591</v>
      </c>
      <c r="P34" s="13">
        <v>2610</v>
      </c>
      <c r="Q34" s="13">
        <v>2656</v>
      </c>
      <c r="R34" s="13">
        <v>2715</v>
      </c>
      <c r="S34" s="13">
        <v>2689</v>
      </c>
      <c r="T34" s="13">
        <v>2444</v>
      </c>
      <c r="U34" s="13">
        <v>2536</v>
      </c>
      <c r="V34" s="13">
        <v>2522</v>
      </c>
      <c r="W34" s="13">
        <v>2270</v>
      </c>
      <c r="X34" s="13">
        <v>2190</v>
      </c>
      <c r="Y34" s="13">
        <v>2076</v>
      </c>
      <c r="Z34" s="13">
        <v>1874</v>
      </c>
      <c r="AA34" s="8">
        <v>1661</v>
      </c>
      <c r="AB34" s="8">
        <v>1689</v>
      </c>
      <c r="AC34" s="8">
        <v>1345</v>
      </c>
      <c r="AD34" s="8">
        <v>1149</v>
      </c>
      <c r="AE34" s="8">
        <v>980</v>
      </c>
      <c r="AF34" s="8">
        <v>950</v>
      </c>
      <c r="AG34" s="8">
        <v>819</v>
      </c>
      <c r="AH34" s="8">
        <v>875</v>
      </c>
      <c r="AI34" s="8">
        <v>916</v>
      </c>
      <c r="AJ34" s="8">
        <v>1013</v>
      </c>
      <c r="AK34" s="8">
        <v>1002</v>
      </c>
      <c r="AL34" s="8">
        <v>1070</v>
      </c>
      <c r="AM34" s="8">
        <v>1269</v>
      </c>
      <c r="AN34" s="8">
        <v>1213</v>
      </c>
      <c r="AO34" s="8">
        <v>1126</v>
      </c>
      <c r="AP34" s="8">
        <v>1145</v>
      </c>
      <c r="AQ34" s="8">
        <v>1161</v>
      </c>
      <c r="AR34" s="8">
        <v>1196</v>
      </c>
      <c r="AS34" s="8">
        <v>1303</v>
      </c>
      <c r="AT34" s="8">
        <v>1321</v>
      </c>
      <c r="AU34" s="8">
        <v>1367</v>
      </c>
      <c r="AV34" s="8">
        <v>1545</v>
      </c>
      <c r="AW34" s="8">
        <v>1671</v>
      </c>
      <c r="AX34" s="8">
        <v>1689</v>
      </c>
      <c r="AY34" s="8">
        <v>1748</v>
      </c>
      <c r="AZ34" s="8">
        <v>1894</v>
      </c>
      <c r="BA34" s="8">
        <v>1987</v>
      </c>
      <c r="BB34" s="8">
        <v>2160</v>
      </c>
      <c r="BC34" s="8">
        <v>2240</v>
      </c>
      <c r="BD34" s="8">
        <v>2234</v>
      </c>
      <c r="BE34" s="8">
        <v>2286</v>
      </c>
      <c r="BF34" s="8">
        <v>2347</v>
      </c>
      <c r="BG34" s="8">
        <v>2327</v>
      </c>
      <c r="BH34" s="8">
        <v>2476</v>
      </c>
      <c r="BI34" s="8">
        <v>2646</v>
      </c>
      <c r="BJ34" s="8">
        <v>2637</v>
      </c>
      <c r="BK34" s="8">
        <v>2819</v>
      </c>
      <c r="BL34" s="8">
        <v>2795</v>
      </c>
      <c r="BM34" s="8">
        <v>2702</v>
      </c>
      <c r="BN34" s="8">
        <v>2507</v>
      </c>
      <c r="BO34" s="8">
        <v>2530</v>
      </c>
      <c r="BP34" s="8">
        <v>2611</v>
      </c>
      <c r="BQ34" s="8">
        <v>2570</v>
      </c>
      <c r="BR34" s="8">
        <v>2607</v>
      </c>
      <c r="BS34" s="8">
        <v>2691</v>
      </c>
      <c r="BT34" s="8">
        <v>2812</v>
      </c>
      <c r="BU34" s="8">
        <v>2850</v>
      </c>
      <c r="BV34" s="8">
        <v>2703</v>
      </c>
      <c r="BW34" s="8">
        <v>2707</v>
      </c>
      <c r="BX34" s="8">
        <v>2635</v>
      </c>
      <c r="BY34" s="8">
        <v>2490</v>
      </c>
      <c r="BZ34" s="8">
        <v>2724</v>
      </c>
      <c r="CA34" s="8">
        <v>2721</v>
      </c>
      <c r="CB34" s="8">
        <v>2601</v>
      </c>
      <c r="CC34" s="8">
        <v>2667</v>
      </c>
      <c r="NA34" s="13"/>
    </row>
    <row r="35" spans="1:365" x14ac:dyDescent="0.25">
      <c r="A35" s="11" t="s">
        <v>185</v>
      </c>
      <c r="B35" s="13" t="s">
        <v>331</v>
      </c>
      <c r="C35" s="13" t="s">
        <v>331</v>
      </c>
      <c r="D35" s="13" t="s">
        <v>331</v>
      </c>
      <c r="E35" s="13" t="s">
        <v>331</v>
      </c>
      <c r="F35" s="13" t="s">
        <v>331</v>
      </c>
      <c r="G35" s="13">
        <v>2842</v>
      </c>
      <c r="H35" s="13">
        <v>2751</v>
      </c>
      <c r="I35" s="13">
        <v>2422</v>
      </c>
      <c r="J35" s="13">
        <v>2204</v>
      </c>
      <c r="K35" s="13">
        <v>2080</v>
      </c>
      <c r="L35" s="13">
        <v>1982</v>
      </c>
      <c r="M35" s="13">
        <v>2616</v>
      </c>
      <c r="N35" s="13">
        <v>2559</v>
      </c>
      <c r="O35" s="13">
        <v>2475</v>
      </c>
      <c r="P35" s="13">
        <v>2297</v>
      </c>
      <c r="Q35" s="13">
        <v>2328</v>
      </c>
      <c r="R35" s="13">
        <v>2249</v>
      </c>
      <c r="S35" s="13">
        <v>2335</v>
      </c>
      <c r="T35" s="13">
        <v>2205</v>
      </c>
      <c r="U35" s="13">
        <v>2166</v>
      </c>
      <c r="V35" s="13">
        <v>2107</v>
      </c>
      <c r="W35" s="13">
        <v>2046</v>
      </c>
      <c r="X35" s="13">
        <v>1905</v>
      </c>
      <c r="Y35" s="13">
        <v>1794</v>
      </c>
      <c r="Z35" s="13">
        <v>1540</v>
      </c>
      <c r="AA35" s="8">
        <v>1400</v>
      </c>
      <c r="AB35" s="8">
        <v>1306</v>
      </c>
      <c r="AC35" s="8">
        <v>1113</v>
      </c>
      <c r="AD35" s="8">
        <v>984</v>
      </c>
      <c r="AE35" s="8">
        <v>788</v>
      </c>
      <c r="AF35" s="8">
        <v>732</v>
      </c>
      <c r="AG35" s="8">
        <v>726</v>
      </c>
      <c r="AH35" s="8">
        <v>601</v>
      </c>
      <c r="AI35" s="8">
        <v>640</v>
      </c>
      <c r="AJ35" s="8">
        <v>817</v>
      </c>
      <c r="AK35" s="8">
        <v>770</v>
      </c>
      <c r="AL35" s="8">
        <v>801</v>
      </c>
      <c r="AM35" s="8">
        <v>809</v>
      </c>
      <c r="AN35" s="8">
        <v>979</v>
      </c>
      <c r="AO35" s="8">
        <v>925</v>
      </c>
      <c r="AP35" s="8">
        <v>941</v>
      </c>
      <c r="AQ35" s="8">
        <v>883</v>
      </c>
      <c r="AR35" s="8">
        <v>887</v>
      </c>
      <c r="AS35" s="8">
        <v>996</v>
      </c>
      <c r="AT35" s="8">
        <v>948</v>
      </c>
      <c r="AU35" s="8">
        <v>1037</v>
      </c>
      <c r="AV35" s="8">
        <v>1148</v>
      </c>
      <c r="AW35" s="8">
        <v>1213</v>
      </c>
      <c r="AX35" s="8">
        <v>1237</v>
      </c>
      <c r="AY35" s="8">
        <v>1351</v>
      </c>
      <c r="AZ35" s="8">
        <v>1469</v>
      </c>
      <c r="BA35" s="8">
        <v>1524</v>
      </c>
      <c r="BB35" s="8">
        <v>1768</v>
      </c>
      <c r="BC35" s="8">
        <v>1730</v>
      </c>
      <c r="BD35" s="8">
        <v>1848</v>
      </c>
      <c r="BE35" s="8">
        <v>1845</v>
      </c>
      <c r="BF35" s="8">
        <v>1946</v>
      </c>
      <c r="BG35" s="8">
        <v>1907</v>
      </c>
      <c r="BH35" s="8">
        <v>2000</v>
      </c>
      <c r="BI35" s="8">
        <v>2136</v>
      </c>
      <c r="BJ35" s="8">
        <v>2281</v>
      </c>
      <c r="BK35" s="8">
        <v>2349</v>
      </c>
      <c r="BL35" s="8">
        <v>2475</v>
      </c>
      <c r="BM35" s="8">
        <v>2477</v>
      </c>
      <c r="BN35" s="8">
        <v>2320</v>
      </c>
      <c r="BO35" s="8">
        <v>2273</v>
      </c>
      <c r="BP35" s="8">
        <v>2272</v>
      </c>
      <c r="BQ35" s="8">
        <v>2172</v>
      </c>
      <c r="BR35" s="8">
        <v>2091</v>
      </c>
      <c r="BS35" s="8">
        <v>2243</v>
      </c>
      <c r="BT35" s="8">
        <v>2356</v>
      </c>
      <c r="BU35" s="8">
        <v>2448</v>
      </c>
      <c r="BV35" s="8">
        <v>2437</v>
      </c>
      <c r="BW35" s="8">
        <v>2351</v>
      </c>
      <c r="BX35" s="8">
        <v>2312</v>
      </c>
      <c r="BY35" s="8">
        <v>2130</v>
      </c>
      <c r="BZ35" s="8">
        <v>2359</v>
      </c>
      <c r="CA35" s="8">
        <v>2256</v>
      </c>
      <c r="CB35" s="8">
        <v>2259</v>
      </c>
      <c r="CC35" s="8">
        <v>2273</v>
      </c>
      <c r="NA35" s="13"/>
    </row>
    <row r="36" spans="1:365" x14ac:dyDescent="0.25">
      <c r="A36" s="11" t="s">
        <v>186</v>
      </c>
      <c r="B36" s="13" t="s">
        <v>331</v>
      </c>
      <c r="C36" s="13" t="s">
        <v>331</v>
      </c>
      <c r="D36" s="13" t="s">
        <v>331</v>
      </c>
      <c r="E36" s="13" t="s">
        <v>331</v>
      </c>
      <c r="F36" s="13" t="s">
        <v>331</v>
      </c>
      <c r="G36" s="13">
        <v>2245</v>
      </c>
      <c r="H36" s="13">
        <v>2251</v>
      </c>
      <c r="I36" s="13">
        <v>2148</v>
      </c>
      <c r="J36" s="13">
        <v>1965</v>
      </c>
      <c r="K36" s="13">
        <v>1831</v>
      </c>
      <c r="L36" s="13">
        <v>1587</v>
      </c>
      <c r="M36" s="13">
        <v>1704</v>
      </c>
      <c r="N36" s="13">
        <v>2257</v>
      </c>
      <c r="O36" s="13">
        <v>2195</v>
      </c>
      <c r="P36" s="13">
        <v>2004</v>
      </c>
      <c r="Q36" s="13">
        <v>1891</v>
      </c>
      <c r="R36" s="13">
        <v>1895</v>
      </c>
      <c r="S36" s="13">
        <v>1803</v>
      </c>
      <c r="T36" s="13">
        <v>1864</v>
      </c>
      <c r="U36" s="13">
        <v>1781</v>
      </c>
      <c r="V36" s="13">
        <v>1691</v>
      </c>
      <c r="W36" s="13">
        <v>1575</v>
      </c>
      <c r="X36" s="13">
        <v>1587</v>
      </c>
      <c r="Y36" s="13">
        <v>1447</v>
      </c>
      <c r="Z36" s="13">
        <v>1240</v>
      </c>
      <c r="AA36" s="8">
        <v>1100</v>
      </c>
      <c r="AB36" s="8">
        <v>1040</v>
      </c>
      <c r="AC36" s="8">
        <v>880</v>
      </c>
      <c r="AD36" s="8">
        <v>815</v>
      </c>
      <c r="AE36" s="8">
        <v>686</v>
      </c>
      <c r="AF36" s="8">
        <v>654</v>
      </c>
      <c r="AG36" s="8">
        <v>574</v>
      </c>
      <c r="AH36" s="8">
        <v>520</v>
      </c>
      <c r="AI36" s="8">
        <v>502</v>
      </c>
      <c r="AJ36" s="8">
        <v>566</v>
      </c>
      <c r="AK36" s="8">
        <v>612</v>
      </c>
      <c r="AL36" s="8">
        <v>636</v>
      </c>
      <c r="AM36" s="8">
        <v>551</v>
      </c>
      <c r="AN36" s="8">
        <v>568</v>
      </c>
      <c r="AO36" s="8">
        <v>728</v>
      </c>
      <c r="AP36" s="8">
        <v>745</v>
      </c>
      <c r="AQ36" s="8">
        <v>675</v>
      </c>
      <c r="AR36" s="8">
        <v>657</v>
      </c>
      <c r="AS36" s="8">
        <v>698</v>
      </c>
      <c r="AT36" s="8">
        <v>685</v>
      </c>
      <c r="AU36" s="8">
        <v>787</v>
      </c>
      <c r="AV36" s="8">
        <v>836</v>
      </c>
      <c r="AW36" s="8">
        <v>923</v>
      </c>
      <c r="AX36" s="8">
        <v>958</v>
      </c>
      <c r="AY36" s="8">
        <v>997</v>
      </c>
      <c r="AZ36" s="8">
        <v>1175</v>
      </c>
      <c r="BA36" s="8">
        <v>1179</v>
      </c>
      <c r="BB36" s="8">
        <v>1223</v>
      </c>
      <c r="BC36" s="8">
        <v>1327</v>
      </c>
      <c r="BD36" s="8">
        <v>1281</v>
      </c>
      <c r="BE36" s="8">
        <v>1415</v>
      </c>
      <c r="BF36" s="8">
        <v>1497</v>
      </c>
      <c r="BG36" s="8">
        <v>1481</v>
      </c>
      <c r="BH36" s="8">
        <v>1669</v>
      </c>
      <c r="BI36" s="8">
        <v>1808</v>
      </c>
      <c r="BJ36" s="8">
        <v>1821</v>
      </c>
      <c r="BK36" s="8">
        <v>1808</v>
      </c>
      <c r="BL36" s="8">
        <v>1991</v>
      </c>
      <c r="BM36" s="8">
        <v>2120</v>
      </c>
      <c r="BN36" s="8">
        <v>1976</v>
      </c>
      <c r="BO36" s="8">
        <v>1906</v>
      </c>
      <c r="BP36" s="8">
        <v>1822</v>
      </c>
      <c r="BQ36" s="8">
        <v>1808</v>
      </c>
      <c r="BR36" s="8">
        <v>1750</v>
      </c>
      <c r="BS36" s="8">
        <v>1797</v>
      </c>
      <c r="BT36" s="8">
        <v>1789</v>
      </c>
      <c r="BU36" s="8">
        <v>1829</v>
      </c>
      <c r="BV36" s="8">
        <v>2058</v>
      </c>
      <c r="BW36" s="8">
        <v>1890</v>
      </c>
      <c r="BX36" s="8">
        <v>1852</v>
      </c>
      <c r="BY36" s="8">
        <v>1742</v>
      </c>
      <c r="BZ36" s="8">
        <v>1903</v>
      </c>
      <c r="CA36" s="8">
        <v>1842</v>
      </c>
      <c r="CB36" s="8">
        <v>1825</v>
      </c>
      <c r="CC36" s="8">
        <v>1808</v>
      </c>
      <c r="NA36" s="13"/>
    </row>
    <row r="37" spans="1:365" x14ac:dyDescent="0.25">
      <c r="A37" s="11" t="s">
        <v>187</v>
      </c>
      <c r="B37" s="13" t="s">
        <v>331</v>
      </c>
      <c r="C37" s="13" t="s">
        <v>331</v>
      </c>
      <c r="D37" s="13" t="s">
        <v>331</v>
      </c>
      <c r="E37" s="13" t="s">
        <v>331</v>
      </c>
      <c r="F37" s="13" t="s">
        <v>331</v>
      </c>
      <c r="G37" s="13">
        <v>2063</v>
      </c>
      <c r="H37" s="13">
        <v>1839</v>
      </c>
      <c r="I37" s="13">
        <v>2056</v>
      </c>
      <c r="J37" s="13">
        <v>1890</v>
      </c>
      <c r="K37" s="13">
        <v>1695</v>
      </c>
      <c r="L37" s="13">
        <v>1494</v>
      </c>
      <c r="M37" s="13">
        <v>1417</v>
      </c>
      <c r="N37" s="13">
        <v>1547</v>
      </c>
      <c r="O37" s="13">
        <v>1934</v>
      </c>
      <c r="P37" s="13">
        <v>1851</v>
      </c>
      <c r="Q37" s="13">
        <v>1775</v>
      </c>
      <c r="R37" s="13">
        <v>1654</v>
      </c>
      <c r="S37" s="13">
        <v>1672</v>
      </c>
      <c r="T37" s="13">
        <v>1582</v>
      </c>
      <c r="U37" s="13">
        <v>1736</v>
      </c>
      <c r="V37" s="13">
        <v>1572</v>
      </c>
      <c r="W37" s="13">
        <v>1353</v>
      </c>
      <c r="X37" s="13">
        <v>1306</v>
      </c>
      <c r="Y37" s="13">
        <v>1223</v>
      </c>
      <c r="Z37" s="13">
        <v>1147</v>
      </c>
      <c r="AA37" s="8">
        <v>980</v>
      </c>
      <c r="AB37" s="8">
        <v>868</v>
      </c>
      <c r="AC37" s="8">
        <v>772</v>
      </c>
      <c r="AD37" s="8">
        <v>667</v>
      </c>
      <c r="AE37" s="8">
        <v>529</v>
      </c>
      <c r="AF37" s="8">
        <v>517</v>
      </c>
      <c r="AG37" s="8">
        <v>425</v>
      </c>
      <c r="AH37" s="8">
        <v>423</v>
      </c>
      <c r="AI37" s="8">
        <v>388</v>
      </c>
      <c r="AJ37" s="8">
        <v>419</v>
      </c>
      <c r="AK37" s="8">
        <v>405</v>
      </c>
      <c r="AL37" s="8">
        <v>425</v>
      </c>
      <c r="AM37" s="8">
        <v>470</v>
      </c>
      <c r="AN37" s="8">
        <v>447</v>
      </c>
      <c r="AO37" s="8">
        <v>431</v>
      </c>
      <c r="AP37" s="8">
        <v>522</v>
      </c>
      <c r="AQ37" s="8">
        <v>554</v>
      </c>
      <c r="AR37" s="8">
        <v>531</v>
      </c>
      <c r="AS37" s="8">
        <v>506</v>
      </c>
      <c r="AT37" s="8">
        <v>538</v>
      </c>
      <c r="AU37" s="8">
        <v>568</v>
      </c>
      <c r="AV37" s="8">
        <v>615</v>
      </c>
      <c r="AW37" s="8">
        <v>626</v>
      </c>
      <c r="AX37" s="8">
        <v>663</v>
      </c>
      <c r="AY37" s="8">
        <v>723</v>
      </c>
      <c r="AZ37" s="8">
        <v>719</v>
      </c>
      <c r="BA37" s="8">
        <v>853</v>
      </c>
      <c r="BB37" s="8">
        <v>942</v>
      </c>
      <c r="BC37" s="8">
        <v>913</v>
      </c>
      <c r="BD37" s="8">
        <v>961</v>
      </c>
      <c r="BE37" s="8">
        <v>1089</v>
      </c>
      <c r="BF37" s="8">
        <v>1134</v>
      </c>
      <c r="BG37" s="8">
        <v>1175</v>
      </c>
      <c r="BH37" s="8">
        <v>1226</v>
      </c>
      <c r="BI37" s="8">
        <v>1333</v>
      </c>
      <c r="BJ37" s="8">
        <v>1399</v>
      </c>
      <c r="BK37" s="8">
        <v>1484</v>
      </c>
      <c r="BL37" s="8">
        <v>1595</v>
      </c>
      <c r="BM37" s="8">
        <v>1517</v>
      </c>
      <c r="BN37" s="8">
        <v>1672</v>
      </c>
      <c r="BO37" s="8">
        <v>1635</v>
      </c>
      <c r="BP37" s="8">
        <v>1551</v>
      </c>
      <c r="BQ37" s="8">
        <v>1414</v>
      </c>
      <c r="BR37" s="8">
        <v>1425</v>
      </c>
      <c r="BS37" s="8">
        <v>1469</v>
      </c>
      <c r="BT37" s="8">
        <v>1391</v>
      </c>
      <c r="BU37" s="8">
        <v>1367</v>
      </c>
      <c r="BV37" s="8">
        <v>1456</v>
      </c>
      <c r="BW37" s="8">
        <v>1534</v>
      </c>
      <c r="BX37" s="8">
        <v>1552</v>
      </c>
      <c r="BY37" s="8">
        <v>1477</v>
      </c>
      <c r="BZ37" s="8">
        <v>1530</v>
      </c>
      <c r="CA37" s="8">
        <v>1523</v>
      </c>
      <c r="CB37" s="8">
        <v>1515</v>
      </c>
      <c r="CC37" s="8">
        <v>1447</v>
      </c>
      <c r="NA37" s="13"/>
    </row>
    <row r="38" spans="1:365" x14ac:dyDescent="0.25">
      <c r="A38" s="11" t="s">
        <v>188</v>
      </c>
      <c r="B38" s="13" t="s">
        <v>331</v>
      </c>
      <c r="C38" s="13" t="s">
        <v>331</v>
      </c>
      <c r="D38" s="13" t="s">
        <v>331</v>
      </c>
      <c r="E38" s="13" t="s">
        <v>331</v>
      </c>
      <c r="F38" s="13" t="s">
        <v>331</v>
      </c>
      <c r="G38" s="13">
        <v>1695</v>
      </c>
      <c r="H38" s="13">
        <v>1585</v>
      </c>
      <c r="I38" s="13">
        <v>1595</v>
      </c>
      <c r="J38" s="13">
        <v>1561</v>
      </c>
      <c r="K38" s="13">
        <v>1472</v>
      </c>
      <c r="L38" s="13">
        <v>1385</v>
      </c>
      <c r="M38" s="13">
        <v>1205</v>
      </c>
      <c r="N38" s="13">
        <v>1165</v>
      </c>
      <c r="O38" s="13">
        <v>1178</v>
      </c>
      <c r="P38" s="13">
        <v>1520</v>
      </c>
      <c r="Q38" s="13">
        <v>1424</v>
      </c>
      <c r="R38" s="13">
        <v>1459</v>
      </c>
      <c r="S38" s="13">
        <v>1329</v>
      </c>
      <c r="T38" s="13">
        <v>1187</v>
      </c>
      <c r="U38" s="13">
        <v>1324</v>
      </c>
      <c r="V38" s="13">
        <v>1252</v>
      </c>
      <c r="W38" s="13">
        <v>1078</v>
      </c>
      <c r="X38" s="13">
        <v>1025</v>
      </c>
      <c r="Y38" s="13">
        <v>938</v>
      </c>
      <c r="Z38" s="13">
        <v>931</v>
      </c>
      <c r="AA38" s="8">
        <v>732</v>
      </c>
      <c r="AB38" s="8">
        <v>680</v>
      </c>
      <c r="AC38" s="8">
        <v>572</v>
      </c>
      <c r="AD38" s="8">
        <v>494</v>
      </c>
      <c r="AE38" s="8">
        <v>440</v>
      </c>
      <c r="AF38" s="8">
        <v>384</v>
      </c>
      <c r="AG38" s="8">
        <v>353</v>
      </c>
      <c r="AH38" s="8">
        <v>284</v>
      </c>
      <c r="AI38" s="8">
        <v>312</v>
      </c>
      <c r="AJ38" s="8">
        <v>324</v>
      </c>
      <c r="AK38" s="8">
        <v>315</v>
      </c>
      <c r="AL38" s="8">
        <v>302</v>
      </c>
      <c r="AM38" s="8">
        <v>306</v>
      </c>
      <c r="AN38" s="8">
        <v>322</v>
      </c>
      <c r="AO38" s="8">
        <v>302</v>
      </c>
      <c r="AP38" s="8">
        <v>334</v>
      </c>
      <c r="AQ38" s="8">
        <v>376</v>
      </c>
      <c r="AR38" s="8">
        <v>367</v>
      </c>
      <c r="AS38" s="8">
        <v>355</v>
      </c>
      <c r="AT38" s="8">
        <v>354</v>
      </c>
      <c r="AU38" s="8">
        <v>384</v>
      </c>
      <c r="AV38" s="8">
        <v>445</v>
      </c>
      <c r="AW38" s="8">
        <v>444</v>
      </c>
      <c r="AX38" s="8">
        <v>502</v>
      </c>
      <c r="AY38" s="8">
        <v>527</v>
      </c>
      <c r="AZ38" s="8">
        <v>542</v>
      </c>
      <c r="BA38" s="8">
        <v>583</v>
      </c>
      <c r="BB38" s="8">
        <v>647</v>
      </c>
      <c r="BC38" s="8">
        <v>683</v>
      </c>
      <c r="BD38" s="8">
        <v>710</v>
      </c>
      <c r="BE38" s="8">
        <v>760</v>
      </c>
      <c r="BF38" s="8">
        <v>777</v>
      </c>
      <c r="BG38" s="8">
        <v>837</v>
      </c>
      <c r="BH38" s="8">
        <v>939</v>
      </c>
      <c r="BI38" s="8">
        <v>989</v>
      </c>
      <c r="BJ38" s="8">
        <v>1041</v>
      </c>
      <c r="BK38" s="8">
        <v>1075</v>
      </c>
      <c r="BL38" s="8">
        <v>1179</v>
      </c>
      <c r="BM38" s="8">
        <v>1209</v>
      </c>
      <c r="BN38" s="8">
        <v>1220</v>
      </c>
      <c r="BO38" s="8">
        <v>1255</v>
      </c>
      <c r="BP38" s="8">
        <v>1257</v>
      </c>
      <c r="BQ38" s="8">
        <v>1183</v>
      </c>
      <c r="BR38" s="8">
        <v>1100</v>
      </c>
      <c r="BS38" s="8">
        <v>1145</v>
      </c>
      <c r="BT38" s="8">
        <v>1106</v>
      </c>
      <c r="BU38" s="8">
        <v>1062</v>
      </c>
      <c r="BV38" s="8">
        <v>1091</v>
      </c>
      <c r="BW38" s="8">
        <v>1132</v>
      </c>
      <c r="BX38" s="8">
        <v>1128</v>
      </c>
      <c r="BY38" s="8">
        <v>1140</v>
      </c>
      <c r="BZ38" s="8">
        <v>1155</v>
      </c>
      <c r="CA38" s="8">
        <v>1195</v>
      </c>
      <c r="CB38" s="8">
        <v>1130</v>
      </c>
      <c r="CC38" s="8">
        <v>1184</v>
      </c>
      <c r="NA38" s="13"/>
    </row>
    <row r="39" spans="1:365" x14ac:dyDescent="0.25">
      <c r="A39" s="11" t="s">
        <v>189</v>
      </c>
      <c r="B39" s="13">
        <v>13257</v>
      </c>
      <c r="C39" s="13">
        <v>15298</v>
      </c>
      <c r="D39" s="13">
        <v>15528</v>
      </c>
      <c r="E39" s="13">
        <v>13492</v>
      </c>
      <c r="F39" s="13">
        <v>12565</v>
      </c>
      <c r="G39" s="13">
        <v>11937</v>
      </c>
      <c r="H39" s="13">
        <v>11241</v>
      </c>
      <c r="I39" s="13">
        <v>10732</v>
      </c>
      <c r="J39" s="13">
        <v>9967</v>
      </c>
      <c r="K39" s="13">
        <v>9578</v>
      </c>
      <c r="L39" s="13">
        <v>9471</v>
      </c>
      <c r="M39" s="13">
        <v>10016</v>
      </c>
      <c r="N39" s="13">
        <v>10384</v>
      </c>
      <c r="O39" s="13">
        <v>10373</v>
      </c>
      <c r="P39" s="13">
        <v>10282</v>
      </c>
      <c r="Q39" s="13">
        <v>10074</v>
      </c>
      <c r="R39" s="13">
        <v>9972</v>
      </c>
      <c r="S39" s="13">
        <v>9828</v>
      </c>
      <c r="T39" s="13">
        <v>9282</v>
      </c>
      <c r="U39" s="13">
        <v>9543</v>
      </c>
      <c r="V39" s="13">
        <v>9144</v>
      </c>
      <c r="W39" s="13">
        <v>8322</v>
      </c>
      <c r="X39" s="13">
        <v>8013</v>
      </c>
      <c r="Y39" s="13">
        <v>7478</v>
      </c>
      <c r="Z39" s="13">
        <v>6732</v>
      </c>
      <c r="AA39" s="8">
        <v>5873</v>
      </c>
      <c r="AB39" s="8">
        <v>5583</v>
      </c>
      <c r="AC39" s="8">
        <v>4682</v>
      </c>
      <c r="AD39" s="8">
        <v>4109</v>
      </c>
      <c r="AE39" s="8">
        <v>3423</v>
      </c>
      <c r="AF39" s="8">
        <v>3237</v>
      </c>
      <c r="AG39" s="8">
        <v>2897</v>
      </c>
      <c r="AH39" s="8">
        <v>2703</v>
      </c>
      <c r="AI39" s="8">
        <v>2758</v>
      </c>
      <c r="AJ39" s="8">
        <v>3139</v>
      </c>
      <c r="AK39" s="8">
        <v>3104</v>
      </c>
      <c r="AL39" s="8">
        <v>3234</v>
      </c>
      <c r="AM39" s="8">
        <v>3405</v>
      </c>
      <c r="AN39" s="8">
        <v>3529</v>
      </c>
      <c r="AO39" s="8">
        <v>3512</v>
      </c>
      <c r="AP39" s="8">
        <v>3687</v>
      </c>
      <c r="AQ39" s="8">
        <v>3649</v>
      </c>
      <c r="AR39" s="8">
        <v>3638</v>
      </c>
      <c r="AS39" s="8">
        <v>3858</v>
      </c>
      <c r="AT39" s="8">
        <v>3846</v>
      </c>
      <c r="AU39" s="8">
        <v>4143</v>
      </c>
      <c r="AV39" s="8">
        <v>4589</v>
      </c>
      <c r="AW39" s="8">
        <v>4877</v>
      </c>
      <c r="AX39" s="8">
        <v>5049</v>
      </c>
      <c r="AY39" s="8">
        <v>5346</v>
      </c>
      <c r="AZ39" s="8">
        <v>5799</v>
      </c>
      <c r="BA39" s="8">
        <v>6126</v>
      </c>
      <c r="BB39" s="8">
        <v>6740</v>
      </c>
      <c r="BC39" s="8">
        <v>6893</v>
      </c>
      <c r="BD39" s="8">
        <v>7034</v>
      </c>
      <c r="BE39" s="8">
        <v>7395</v>
      </c>
      <c r="BF39" s="8">
        <v>7701</v>
      </c>
      <c r="BG39" s="8">
        <v>7727</v>
      </c>
      <c r="BH39" s="8">
        <v>8310</v>
      </c>
      <c r="BI39" s="8">
        <v>8912</v>
      </c>
      <c r="BJ39" s="8">
        <v>9179</v>
      </c>
      <c r="BK39" s="8">
        <v>9535</v>
      </c>
      <c r="BL39" s="8">
        <v>10035</v>
      </c>
      <c r="BM39" s="8">
        <v>10025</v>
      </c>
      <c r="BN39" s="8">
        <v>9695</v>
      </c>
      <c r="BO39" s="8">
        <v>9599</v>
      </c>
      <c r="BP39" s="8">
        <v>9513</v>
      </c>
      <c r="BQ39" s="8">
        <v>9147</v>
      </c>
      <c r="BR39" s="8">
        <v>8973</v>
      </c>
      <c r="BS39" s="8">
        <v>9345</v>
      </c>
      <c r="BT39" s="8">
        <v>9454</v>
      </c>
      <c r="BU39" s="8">
        <v>9556</v>
      </c>
      <c r="BV39" s="8">
        <v>9745</v>
      </c>
      <c r="BW39" s="8">
        <v>9614</v>
      </c>
      <c r="BX39" s="8">
        <v>9479</v>
      </c>
      <c r="BY39" s="8">
        <v>8979</v>
      </c>
      <c r="BZ39" s="8">
        <v>9671</v>
      </c>
      <c r="CA39" s="8">
        <v>9537</v>
      </c>
      <c r="CB39" s="8">
        <v>9330</v>
      </c>
      <c r="CC39" s="8">
        <v>9379</v>
      </c>
      <c r="NA39" s="13"/>
    </row>
    <row r="40" spans="1:365" x14ac:dyDescent="0.25">
      <c r="A40" s="11" t="s">
        <v>190</v>
      </c>
      <c r="B40" s="13" t="s">
        <v>331</v>
      </c>
      <c r="C40" s="13" t="s">
        <v>331</v>
      </c>
      <c r="D40" s="13" t="s">
        <v>331</v>
      </c>
      <c r="E40" s="13" t="s">
        <v>331</v>
      </c>
      <c r="F40" s="13" t="s">
        <v>331</v>
      </c>
      <c r="G40" s="13">
        <v>1213</v>
      </c>
      <c r="H40" s="13">
        <v>1216</v>
      </c>
      <c r="I40" s="13">
        <v>1157</v>
      </c>
      <c r="J40" s="13">
        <v>1039</v>
      </c>
      <c r="K40" s="13">
        <v>1094</v>
      </c>
      <c r="L40" s="13">
        <v>1041</v>
      </c>
      <c r="M40" s="13">
        <v>968</v>
      </c>
      <c r="N40" s="13">
        <v>914</v>
      </c>
      <c r="O40" s="13">
        <v>930</v>
      </c>
      <c r="P40" s="13">
        <v>886</v>
      </c>
      <c r="Q40" s="13">
        <v>1070</v>
      </c>
      <c r="R40" s="13">
        <v>1075</v>
      </c>
      <c r="S40" s="13">
        <v>1052</v>
      </c>
      <c r="T40" s="13">
        <v>937</v>
      </c>
      <c r="U40" s="13">
        <v>964</v>
      </c>
      <c r="V40" s="13">
        <v>892</v>
      </c>
      <c r="W40" s="13">
        <v>839</v>
      </c>
      <c r="X40" s="13">
        <v>837</v>
      </c>
      <c r="Y40" s="13">
        <v>727</v>
      </c>
      <c r="Z40" s="13">
        <v>671</v>
      </c>
      <c r="AA40" s="8">
        <v>598</v>
      </c>
      <c r="AB40" s="8">
        <v>526</v>
      </c>
      <c r="AC40" s="8">
        <v>480</v>
      </c>
      <c r="AD40" s="8">
        <v>360</v>
      </c>
      <c r="AE40" s="8">
        <v>342</v>
      </c>
      <c r="AF40" s="8">
        <v>272</v>
      </c>
      <c r="AG40" s="8">
        <v>266</v>
      </c>
      <c r="AH40" s="8">
        <v>254</v>
      </c>
      <c r="AI40" s="8">
        <v>210</v>
      </c>
      <c r="AJ40" s="8">
        <v>218</v>
      </c>
      <c r="AK40" s="8">
        <v>219</v>
      </c>
      <c r="AL40" s="8">
        <v>205</v>
      </c>
      <c r="AM40" s="8">
        <v>228</v>
      </c>
      <c r="AN40" s="8">
        <v>250</v>
      </c>
      <c r="AO40" s="8">
        <v>225</v>
      </c>
      <c r="AP40" s="8">
        <v>208</v>
      </c>
      <c r="AQ40" s="8">
        <v>235</v>
      </c>
      <c r="AR40" s="8">
        <v>256</v>
      </c>
      <c r="AS40" s="8">
        <v>241</v>
      </c>
      <c r="AT40" s="8">
        <v>255</v>
      </c>
      <c r="AU40" s="8">
        <v>240</v>
      </c>
      <c r="AV40" s="8">
        <v>305</v>
      </c>
      <c r="AW40" s="8">
        <v>272</v>
      </c>
      <c r="AX40" s="8">
        <v>292</v>
      </c>
      <c r="AY40" s="8">
        <v>322</v>
      </c>
      <c r="AZ40" s="8">
        <v>376</v>
      </c>
      <c r="BA40" s="8">
        <v>401</v>
      </c>
      <c r="BB40" s="8">
        <v>446</v>
      </c>
      <c r="BC40" s="8">
        <v>469</v>
      </c>
      <c r="BD40" s="8">
        <v>475</v>
      </c>
      <c r="BE40" s="8">
        <v>483</v>
      </c>
      <c r="BF40" s="8">
        <v>530</v>
      </c>
      <c r="BG40" s="8">
        <v>570</v>
      </c>
      <c r="BH40" s="8">
        <v>648</v>
      </c>
      <c r="BI40" s="8">
        <v>692</v>
      </c>
      <c r="BJ40" s="8">
        <v>747</v>
      </c>
      <c r="BK40" s="8">
        <v>717</v>
      </c>
      <c r="BL40" s="8">
        <v>798</v>
      </c>
      <c r="BM40" s="8">
        <v>860</v>
      </c>
      <c r="BN40" s="8">
        <v>846</v>
      </c>
      <c r="BO40" s="8">
        <v>887</v>
      </c>
      <c r="BP40" s="8">
        <v>888</v>
      </c>
      <c r="BQ40" s="8">
        <v>861</v>
      </c>
      <c r="BR40" s="8">
        <v>846</v>
      </c>
      <c r="BS40" s="8">
        <v>834</v>
      </c>
      <c r="BT40" s="8">
        <v>767</v>
      </c>
      <c r="BU40" s="8">
        <v>828</v>
      </c>
      <c r="BV40" s="8">
        <v>771</v>
      </c>
      <c r="BW40" s="8">
        <v>861</v>
      </c>
      <c r="BX40" s="8">
        <v>792</v>
      </c>
      <c r="BY40" s="8">
        <v>798</v>
      </c>
      <c r="BZ40" s="8">
        <v>842</v>
      </c>
      <c r="CA40" s="8">
        <v>868</v>
      </c>
      <c r="CB40" s="8">
        <v>793</v>
      </c>
      <c r="CC40" s="8">
        <v>793</v>
      </c>
      <c r="NA40" s="13"/>
    </row>
    <row r="41" spans="1:365" x14ac:dyDescent="0.25">
      <c r="A41" s="11" t="s">
        <v>191</v>
      </c>
      <c r="B41" s="13" t="s">
        <v>331</v>
      </c>
      <c r="C41" s="13" t="s">
        <v>331</v>
      </c>
      <c r="D41" s="13" t="s">
        <v>331</v>
      </c>
      <c r="E41" s="13" t="s">
        <v>331</v>
      </c>
      <c r="F41" s="13" t="s">
        <v>331</v>
      </c>
      <c r="G41" s="13">
        <v>891</v>
      </c>
      <c r="H41" s="13">
        <v>821</v>
      </c>
      <c r="I41" s="13">
        <v>775</v>
      </c>
      <c r="J41" s="13">
        <v>781</v>
      </c>
      <c r="K41" s="13">
        <v>778</v>
      </c>
      <c r="L41" s="13">
        <v>769</v>
      </c>
      <c r="M41" s="13">
        <v>708</v>
      </c>
      <c r="N41" s="13">
        <v>638</v>
      </c>
      <c r="O41" s="13">
        <v>617</v>
      </c>
      <c r="P41" s="13">
        <v>544</v>
      </c>
      <c r="Q41" s="13">
        <v>600</v>
      </c>
      <c r="R41" s="13">
        <v>797</v>
      </c>
      <c r="S41" s="13">
        <v>774</v>
      </c>
      <c r="T41" s="13">
        <v>666</v>
      </c>
      <c r="U41" s="13">
        <v>702</v>
      </c>
      <c r="V41" s="13">
        <v>570</v>
      </c>
      <c r="W41" s="13">
        <v>610</v>
      </c>
      <c r="X41" s="13">
        <v>619</v>
      </c>
      <c r="Y41" s="13">
        <v>490</v>
      </c>
      <c r="Z41" s="13">
        <v>431</v>
      </c>
      <c r="AA41" s="8">
        <v>406</v>
      </c>
      <c r="AB41" s="8">
        <v>404</v>
      </c>
      <c r="AC41" s="8">
        <v>334</v>
      </c>
      <c r="AD41" s="8">
        <v>254</v>
      </c>
      <c r="AE41" s="8">
        <v>229</v>
      </c>
      <c r="AF41" s="8">
        <v>192</v>
      </c>
      <c r="AG41" s="8">
        <v>166</v>
      </c>
      <c r="AH41" s="8">
        <v>163</v>
      </c>
      <c r="AI41" s="8">
        <v>129</v>
      </c>
      <c r="AJ41" s="8">
        <v>166</v>
      </c>
      <c r="AK41" s="8">
        <v>144</v>
      </c>
      <c r="AL41" s="8">
        <v>160</v>
      </c>
      <c r="AM41" s="8">
        <v>149</v>
      </c>
      <c r="AN41" s="8">
        <v>119</v>
      </c>
      <c r="AO41" s="8">
        <v>139</v>
      </c>
      <c r="AP41" s="8">
        <v>128</v>
      </c>
      <c r="AQ41" s="8">
        <v>118</v>
      </c>
      <c r="AR41" s="8">
        <v>140</v>
      </c>
      <c r="AS41" s="8">
        <v>156</v>
      </c>
      <c r="AT41" s="8">
        <v>166</v>
      </c>
      <c r="AU41" s="8">
        <v>186</v>
      </c>
      <c r="AV41" s="8">
        <v>179</v>
      </c>
      <c r="AW41" s="8">
        <v>181</v>
      </c>
      <c r="AX41" s="8">
        <v>202</v>
      </c>
      <c r="AY41" s="8">
        <v>195</v>
      </c>
      <c r="AZ41" s="8">
        <v>203</v>
      </c>
      <c r="BA41" s="8">
        <v>248</v>
      </c>
      <c r="BB41" s="8">
        <v>224</v>
      </c>
      <c r="BC41" s="8">
        <v>273</v>
      </c>
      <c r="BD41" s="8">
        <v>313</v>
      </c>
      <c r="BE41" s="8">
        <v>336</v>
      </c>
      <c r="BF41" s="8">
        <v>322</v>
      </c>
      <c r="BG41" s="8">
        <v>317</v>
      </c>
      <c r="BH41" s="8">
        <v>386</v>
      </c>
      <c r="BI41" s="8">
        <v>468</v>
      </c>
      <c r="BJ41" s="8">
        <v>457</v>
      </c>
      <c r="BK41" s="8">
        <v>513</v>
      </c>
      <c r="BL41" s="8">
        <v>512</v>
      </c>
      <c r="BM41" s="8">
        <v>590</v>
      </c>
      <c r="BN41" s="8">
        <v>527</v>
      </c>
      <c r="BO41" s="8">
        <v>567</v>
      </c>
      <c r="BP41" s="8">
        <v>589</v>
      </c>
      <c r="BQ41" s="8">
        <v>583</v>
      </c>
      <c r="BR41" s="8">
        <v>574</v>
      </c>
      <c r="BS41" s="8">
        <v>588</v>
      </c>
      <c r="BT41" s="8">
        <v>536</v>
      </c>
      <c r="BU41" s="8">
        <v>570</v>
      </c>
      <c r="BV41" s="8">
        <v>506</v>
      </c>
      <c r="BW41" s="8">
        <v>503</v>
      </c>
      <c r="BX41" s="8">
        <v>517</v>
      </c>
      <c r="BY41" s="8">
        <v>514</v>
      </c>
      <c r="BZ41" s="8">
        <v>552</v>
      </c>
      <c r="CA41" s="8">
        <v>578</v>
      </c>
      <c r="CB41" s="8">
        <v>556</v>
      </c>
      <c r="CC41" s="8">
        <v>612</v>
      </c>
      <c r="NA41" s="13"/>
    </row>
    <row r="42" spans="1:365" x14ac:dyDescent="0.25">
      <c r="A42" s="11" t="s">
        <v>192</v>
      </c>
      <c r="B42" s="13" t="s">
        <v>331</v>
      </c>
      <c r="C42" s="13" t="s">
        <v>331</v>
      </c>
      <c r="D42" s="13" t="s">
        <v>331</v>
      </c>
      <c r="E42" s="13" t="s">
        <v>331</v>
      </c>
      <c r="F42" s="13" t="s">
        <v>331</v>
      </c>
      <c r="G42" s="13">
        <v>728</v>
      </c>
      <c r="H42" s="13">
        <v>612</v>
      </c>
      <c r="I42" s="13">
        <v>636</v>
      </c>
      <c r="J42" s="13">
        <v>613</v>
      </c>
      <c r="K42" s="13">
        <v>628</v>
      </c>
      <c r="L42" s="13">
        <v>577</v>
      </c>
      <c r="M42" s="13">
        <v>577</v>
      </c>
      <c r="N42" s="13">
        <v>554</v>
      </c>
      <c r="O42" s="13">
        <v>510</v>
      </c>
      <c r="P42" s="13">
        <v>475</v>
      </c>
      <c r="Q42" s="13">
        <v>424</v>
      </c>
      <c r="R42" s="13">
        <v>442</v>
      </c>
      <c r="S42" s="13">
        <v>574</v>
      </c>
      <c r="T42" s="13">
        <v>595</v>
      </c>
      <c r="U42" s="13">
        <v>530</v>
      </c>
      <c r="V42" s="13">
        <v>497</v>
      </c>
      <c r="W42" s="13">
        <v>440</v>
      </c>
      <c r="X42" s="13">
        <v>390</v>
      </c>
      <c r="Y42" s="13">
        <v>378</v>
      </c>
      <c r="Z42" s="13">
        <v>350</v>
      </c>
      <c r="AA42" s="8">
        <v>281</v>
      </c>
      <c r="AB42" s="8">
        <v>291</v>
      </c>
      <c r="AC42" s="8">
        <v>225</v>
      </c>
      <c r="AD42" s="8">
        <v>168</v>
      </c>
      <c r="AE42" s="8">
        <v>141</v>
      </c>
      <c r="AF42" s="8">
        <v>165</v>
      </c>
      <c r="AG42" s="8">
        <v>100</v>
      </c>
      <c r="AH42" s="8">
        <v>107</v>
      </c>
      <c r="AI42" s="8">
        <v>93</v>
      </c>
      <c r="AJ42" s="8">
        <v>105</v>
      </c>
      <c r="AK42" s="8">
        <v>101</v>
      </c>
      <c r="AL42" s="8">
        <v>105</v>
      </c>
      <c r="AM42" s="8">
        <v>99</v>
      </c>
      <c r="AN42" s="8">
        <v>79</v>
      </c>
      <c r="AO42" s="8">
        <v>86</v>
      </c>
      <c r="AP42" s="8">
        <v>99</v>
      </c>
      <c r="AQ42" s="8">
        <v>81</v>
      </c>
      <c r="AR42" s="8">
        <v>64</v>
      </c>
      <c r="AS42" s="8">
        <v>73</v>
      </c>
      <c r="AT42" s="8">
        <v>115</v>
      </c>
      <c r="AU42" s="8">
        <v>100</v>
      </c>
      <c r="AV42" s="8">
        <v>103</v>
      </c>
      <c r="AW42" s="8">
        <v>123</v>
      </c>
      <c r="AX42" s="8">
        <v>100</v>
      </c>
      <c r="AY42" s="8">
        <v>115</v>
      </c>
      <c r="AZ42" s="8">
        <v>138</v>
      </c>
      <c r="BA42" s="8">
        <v>129</v>
      </c>
      <c r="BB42" s="8">
        <v>145</v>
      </c>
      <c r="BC42" s="8">
        <v>157</v>
      </c>
      <c r="BD42" s="8">
        <v>155</v>
      </c>
      <c r="BE42" s="8">
        <v>176</v>
      </c>
      <c r="BF42" s="8">
        <v>207</v>
      </c>
      <c r="BG42" s="8">
        <v>197</v>
      </c>
      <c r="BH42" s="8">
        <v>233</v>
      </c>
      <c r="BI42" s="8">
        <v>261</v>
      </c>
      <c r="BJ42" s="8">
        <v>268</v>
      </c>
      <c r="BK42" s="8">
        <v>302</v>
      </c>
      <c r="BL42" s="8">
        <v>294</v>
      </c>
      <c r="BM42" s="8">
        <v>316</v>
      </c>
      <c r="BN42" s="8">
        <v>365</v>
      </c>
      <c r="BO42" s="8">
        <v>338</v>
      </c>
      <c r="BP42" s="8">
        <v>358</v>
      </c>
      <c r="BQ42" s="8">
        <v>350</v>
      </c>
      <c r="BR42" s="8">
        <v>363</v>
      </c>
      <c r="BS42" s="8">
        <v>330</v>
      </c>
      <c r="BT42" s="8">
        <v>339</v>
      </c>
      <c r="BU42" s="8">
        <v>336</v>
      </c>
      <c r="BV42" s="8">
        <v>326</v>
      </c>
      <c r="BW42" s="8">
        <v>365</v>
      </c>
      <c r="BX42" s="8">
        <v>320</v>
      </c>
      <c r="BY42" s="8">
        <v>367</v>
      </c>
      <c r="BZ42" s="8">
        <v>343</v>
      </c>
      <c r="CA42" s="8">
        <v>352</v>
      </c>
      <c r="CB42" s="8">
        <v>355</v>
      </c>
      <c r="CC42" s="8">
        <v>392</v>
      </c>
      <c r="NA42" s="13"/>
    </row>
    <row r="43" spans="1:365" x14ac:dyDescent="0.25">
      <c r="A43" s="11" t="s">
        <v>193</v>
      </c>
      <c r="B43" s="13" t="s">
        <v>331</v>
      </c>
      <c r="C43" s="13" t="s">
        <v>331</v>
      </c>
      <c r="D43" s="13" t="s">
        <v>331</v>
      </c>
      <c r="E43" s="13" t="s">
        <v>331</v>
      </c>
      <c r="F43" s="13" t="s">
        <v>331</v>
      </c>
      <c r="G43" s="13">
        <v>385</v>
      </c>
      <c r="H43" s="13">
        <v>366</v>
      </c>
      <c r="I43" s="13">
        <v>356</v>
      </c>
      <c r="J43" s="13">
        <v>371</v>
      </c>
      <c r="K43" s="13">
        <v>365</v>
      </c>
      <c r="L43" s="13">
        <v>329</v>
      </c>
      <c r="M43" s="13">
        <v>333</v>
      </c>
      <c r="N43" s="13">
        <v>387</v>
      </c>
      <c r="O43" s="13">
        <v>309</v>
      </c>
      <c r="P43" s="13">
        <v>259</v>
      </c>
      <c r="Q43" s="13">
        <v>261</v>
      </c>
      <c r="R43" s="13">
        <v>249</v>
      </c>
      <c r="S43" s="13">
        <v>259</v>
      </c>
      <c r="T43" s="13">
        <v>326</v>
      </c>
      <c r="U43" s="13">
        <v>336</v>
      </c>
      <c r="V43" s="13">
        <v>283</v>
      </c>
      <c r="W43" s="13">
        <v>313</v>
      </c>
      <c r="X43" s="13">
        <v>246</v>
      </c>
      <c r="Y43" s="13">
        <v>209</v>
      </c>
      <c r="Z43" s="13">
        <v>191</v>
      </c>
      <c r="AA43" s="8">
        <v>165</v>
      </c>
      <c r="AB43" s="8">
        <v>160</v>
      </c>
      <c r="AC43" s="8">
        <v>133</v>
      </c>
      <c r="AD43" s="8">
        <v>121</v>
      </c>
      <c r="AE43" s="8">
        <v>117</v>
      </c>
      <c r="AF43" s="8">
        <v>81</v>
      </c>
      <c r="AG43" s="8">
        <v>85</v>
      </c>
      <c r="AH43" s="8">
        <v>75</v>
      </c>
      <c r="AI43" s="8">
        <v>58</v>
      </c>
      <c r="AJ43" s="8">
        <v>67</v>
      </c>
      <c r="AK43" s="8">
        <v>65</v>
      </c>
      <c r="AL43" s="8">
        <v>46</v>
      </c>
      <c r="AM43" s="8">
        <v>53</v>
      </c>
      <c r="AN43" s="8">
        <v>51</v>
      </c>
      <c r="AO43" s="8">
        <v>56</v>
      </c>
      <c r="AP43" s="8">
        <v>48</v>
      </c>
      <c r="AQ43" s="8">
        <v>50</v>
      </c>
      <c r="AR43" s="8">
        <v>59</v>
      </c>
      <c r="AS43" s="8">
        <v>41</v>
      </c>
      <c r="AT43" s="8">
        <v>55</v>
      </c>
      <c r="AU43" s="8">
        <v>59</v>
      </c>
      <c r="AV43" s="8">
        <v>68</v>
      </c>
      <c r="AW43" s="8">
        <v>61</v>
      </c>
      <c r="AX43" s="8">
        <v>65</v>
      </c>
      <c r="AY43" s="8">
        <v>73</v>
      </c>
      <c r="AZ43" s="8">
        <v>64</v>
      </c>
      <c r="BA43" s="8">
        <v>88</v>
      </c>
      <c r="BB43" s="8">
        <v>82</v>
      </c>
      <c r="BC43" s="8">
        <v>78</v>
      </c>
      <c r="BD43" s="8">
        <v>100</v>
      </c>
      <c r="BE43" s="8">
        <v>102</v>
      </c>
      <c r="BF43" s="8">
        <v>110</v>
      </c>
      <c r="BG43" s="8">
        <v>122</v>
      </c>
      <c r="BH43" s="8">
        <v>114</v>
      </c>
      <c r="BI43" s="8">
        <v>140</v>
      </c>
      <c r="BJ43" s="8">
        <v>150</v>
      </c>
      <c r="BK43" s="8">
        <v>162</v>
      </c>
      <c r="BL43" s="8">
        <v>155</v>
      </c>
      <c r="BM43" s="8">
        <v>197</v>
      </c>
      <c r="BN43" s="8">
        <v>199</v>
      </c>
      <c r="BO43" s="8">
        <v>197</v>
      </c>
      <c r="BP43" s="8">
        <v>228</v>
      </c>
      <c r="BQ43" s="8">
        <v>198</v>
      </c>
      <c r="BR43" s="8">
        <v>219</v>
      </c>
      <c r="BS43" s="8">
        <v>218</v>
      </c>
      <c r="BT43" s="8">
        <v>223</v>
      </c>
      <c r="BU43" s="8">
        <v>224</v>
      </c>
      <c r="BV43" s="8">
        <v>190</v>
      </c>
      <c r="BW43" s="8">
        <v>176</v>
      </c>
      <c r="BX43" s="8">
        <v>178</v>
      </c>
      <c r="BY43" s="8">
        <v>172</v>
      </c>
      <c r="BZ43" s="8">
        <v>150</v>
      </c>
      <c r="CA43" s="8">
        <v>181</v>
      </c>
      <c r="CB43" s="8">
        <v>209</v>
      </c>
      <c r="CC43" s="8">
        <v>202</v>
      </c>
      <c r="NA43" s="13"/>
    </row>
    <row r="44" spans="1:365" x14ac:dyDescent="0.25">
      <c r="A44" s="11" t="s">
        <v>194</v>
      </c>
      <c r="B44" s="13" t="s">
        <v>331</v>
      </c>
      <c r="C44" s="13" t="s">
        <v>331</v>
      </c>
      <c r="D44" s="13" t="s">
        <v>331</v>
      </c>
      <c r="E44" s="13" t="s">
        <v>331</v>
      </c>
      <c r="F44" s="13" t="s">
        <v>331</v>
      </c>
      <c r="G44" s="13">
        <v>235</v>
      </c>
      <c r="H44" s="13">
        <v>214</v>
      </c>
      <c r="I44" s="13">
        <v>216</v>
      </c>
      <c r="J44" s="13">
        <v>223</v>
      </c>
      <c r="K44" s="13">
        <v>200</v>
      </c>
      <c r="L44" s="13">
        <v>210</v>
      </c>
      <c r="M44" s="13">
        <v>191</v>
      </c>
      <c r="N44" s="13">
        <v>191</v>
      </c>
      <c r="O44" s="13">
        <v>177</v>
      </c>
      <c r="P44" s="13">
        <v>171</v>
      </c>
      <c r="Q44" s="13">
        <v>151</v>
      </c>
      <c r="R44" s="13">
        <v>143</v>
      </c>
      <c r="S44" s="13">
        <v>147</v>
      </c>
      <c r="T44" s="13">
        <v>121</v>
      </c>
      <c r="U44" s="13">
        <v>198</v>
      </c>
      <c r="V44" s="13">
        <v>179</v>
      </c>
      <c r="W44" s="13">
        <v>143</v>
      </c>
      <c r="X44" s="13">
        <v>131</v>
      </c>
      <c r="Y44" s="13">
        <v>137</v>
      </c>
      <c r="Z44" s="13">
        <v>109</v>
      </c>
      <c r="AA44" s="8">
        <v>87</v>
      </c>
      <c r="AB44" s="8">
        <v>87</v>
      </c>
      <c r="AC44" s="8">
        <v>62</v>
      </c>
      <c r="AD44" s="8">
        <v>65</v>
      </c>
      <c r="AE44" s="8">
        <v>61</v>
      </c>
      <c r="AF44" s="8">
        <v>52</v>
      </c>
      <c r="AG44" s="8">
        <v>39</v>
      </c>
      <c r="AH44" s="8">
        <v>30</v>
      </c>
      <c r="AI44" s="8">
        <v>42</v>
      </c>
      <c r="AJ44" s="8">
        <v>28</v>
      </c>
      <c r="AK44" s="8">
        <v>27</v>
      </c>
      <c r="AL44" s="8">
        <v>38</v>
      </c>
      <c r="AM44" s="8">
        <v>21</v>
      </c>
      <c r="AN44" s="8">
        <v>30</v>
      </c>
      <c r="AO44" s="8">
        <v>37</v>
      </c>
      <c r="AP44" s="8">
        <v>28</v>
      </c>
      <c r="AQ44" s="8">
        <v>35</v>
      </c>
      <c r="AR44" s="8">
        <v>22</v>
      </c>
      <c r="AS44" s="8">
        <v>22</v>
      </c>
      <c r="AT44" s="8">
        <v>27</v>
      </c>
      <c r="AU44" s="8">
        <v>18</v>
      </c>
      <c r="AV44" s="8">
        <v>31</v>
      </c>
      <c r="AW44" s="8">
        <v>37</v>
      </c>
      <c r="AX44" s="8">
        <v>38</v>
      </c>
      <c r="AY44" s="8">
        <v>31</v>
      </c>
      <c r="AZ44" s="8">
        <v>30</v>
      </c>
      <c r="BA44" s="8">
        <v>25</v>
      </c>
      <c r="BB44" s="8">
        <v>39</v>
      </c>
      <c r="BC44" s="8">
        <v>50</v>
      </c>
      <c r="BD44" s="8">
        <v>53</v>
      </c>
      <c r="BE44" s="8">
        <v>36</v>
      </c>
      <c r="BF44" s="8">
        <v>55</v>
      </c>
      <c r="BG44" s="8">
        <v>61</v>
      </c>
      <c r="BH44" s="8">
        <v>51</v>
      </c>
      <c r="BI44" s="8">
        <v>70</v>
      </c>
      <c r="BJ44" s="8">
        <v>72</v>
      </c>
      <c r="BK44" s="8">
        <v>81</v>
      </c>
      <c r="BL44" s="8">
        <v>90</v>
      </c>
      <c r="BM44" s="8">
        <v>81</v>
      </c>
      <c r="BN44" s="8">
        <v>108</v>
      </c>
      <c r="BO44" s="8">
        <v>91</v>
      </c>
      <c r="BP44" s="8">
        <v>92</v>
      </c>
      <c r="BQ44" s="8">
        <v>101</v>
      </c>
      <c r="BR44" s="8">
        <v>96</v>
      </c>
      <c r="BS44" s="8">
        <v>105</v>
      </c>
      <c r="BT44" s="8">
        <v>91</v>
      </c>
      <c r="BU44" s="8">
        <v>98</v>
      </c>
      <c r="BV44" s="8">
        <v>114</v>
      </c>
      <c r="BW44" s="8">
        <v>123</v>
      </c>
      <c r="BX44" s="8">
        <v>121</v>
      </c>
      <c r="BY44" s="8">
        <v>84</v>
      </c>
      <c r="BZ44" s="8">
        <v>89</v>
      </c>
      <c r="CA44" s="8">
        <v>111</v>
      </c>
      <c r="CB44" s="8">
        <v>109</v>
      </c>
      <c r="CC44" s="8">
        <v>119</v>
      </c>
      <c r="NA44" s="13"/>
    </row>
    <row r="45" spans="1:365" x14ac:dyDescent="0.25">
      <c r="A45" s="11" t="s">
        <v>195</v>
      </c>
      <c r="B45" s="13">
        <v>4020</v>
      </c>
      <c r="C45" s="13">
        <v>4129</v>
      </c>
      <c r="D45" s="13">
        <v>4345</v>
      </c>
      <c r="E45" s="13">
        <v>4004</v>
      </c>
      <c r="F45" s="13">
        <v>3588</v>
      </c>
      <c r="G45" s="13">
        <v>3452</v>
      </c>
      <c r="H45" s="13">
        <v>3229</v>
      </c>
      <c r="I45" s="13">
        <v>3140</v>
      </c>
      <c r="J45" s="13">
        <v>3027</v>
      </c>
      <c r="K45" s="13">
        <v>3065</v>
      </c>
      <c r="L45" s="13">
        <v>2926</v>
      </c>
      <c r="M45" s="13">
        <v>2777</v>
      </c>
      <c r="N45" s="13">
        <v>2684</v>
      </c>
      <c r="O45" s="13">
        <v>2543</v>
      </c>
      <c r="P45" s="13">
        <v>2335</v>
      </c>
      <c r="Q45" s="13">
        <v>2506</v>
      </c>
      <c r="R45" s="13">
        <v>2706</v>
      </c>
      <c r="S45" s="13">
        <v>2806</v>
      </c>
      <c r="T45" s="13">
        <v>2645</v>
      </c>
      <c r="U45" s="13">
        <v>2730</v>
      </c>
      <c r="V45" s="13">
        <v>2421</v>
      </c>
      <c r="W45" s="13">
        <v>2345</v>
      </c>
      <c r="X45" s="13">
        <v>2223</v>
      </c>
      <c r="Y45" s="13">
        <v>1941</v>
      </c>
      <c r="Z45" s="13">
        <v>1752</v>
      </c>
      <c r="AA45" s="8">
        <v>1537</v>
      </c>
      <c r="AB45" s="8">
        <v>1468</v>
      </c>
      <c r="AC45" s="8">
        <v>1234</v>
      </c>
      <c r="AD45" s="8">
        <v>968</v>
      </c>
      <c r="AE45" s="8">
        <v>890</v>
      </c>
      <c r="AF45" s="8">
        <v>762</v>
      </c>
      <c r="AG45" s="8">
        <v>656</v>
      </c>
      <c r="AH45" s="8">
        <v>629</v>
      </c>
      <c r="AI45" s="8">
        <v>532</v>
      </c>
      <c r="AJ45" s="8">
        <v>584</v>
      </c>
      <c r="AK45" s="8">
        <v>556</v>
      </c>
      <c r="AL45" s="8">
        <v>554</v>
      </c>
      <c r="AM45" s="8">
        <v>550</v>
      </c>
      <c r="AN45" s="8">
        <v>529</v>
      </c>
      <c r="AO45" s="8">
        <v>543</v>
      </c>
      <c r="AP45" s="8">
        <v>511</v>
      </c>
      <c r="AQ45" s="8">
        <v>519</v>
      </c>
      <c r="AR45" s="8">
        <v>541</v>
      </c>
      <c r="AS45" s="8">
        <v>533</v>
      </c>
      <c r="AT45" s="8">
        <v>618</v>
      </c>
      <c r="AU45" s="8">
        <v>603</v>
      </c>
      <c r="AV45" s="8">
        <v>686</v>
      </c>
      <c r="AW45" s="8">
        <v>674</v>
      </c>
      <c r="AX45" s="8">
        <v>697</v>
      </c>
      <c r="AY45" s="8">
        <v>736</v>
      </c>
      <c r="AZ45" s="8">
        <v>811</v>
      </c>
      <c r="BA45" s="8">
        <v>891</v>
      </c>
      <c r="BB45" s="8">
        <v>936</v>
      </c>
      <c r="BC45" s="8">
        <v>1027</v>
      </c>
      <c r="BD45" s="8">
        <v>1096</v>
      </c>
      <c r="BE45" s="8">
        <v>1133</v>
      </c>
      <c r="BF45" s="8">
        <v>1224</v>
      </c>
      <c r="BG45" s="8">
        <v>1267</v>
      </c>
      <c r="BH45" s="8">
        <v>1432</v>
      </c>
      <c r="BI45" s="8">
        <v>1631</v>
      </c>
      <c r="BJ45" s="8">
        <v>1694</v>
      </c>
      <c r="BK45" s="8">
        <v>1775</v>
      </c>
      <c r="BL45" s="8">
        <v>1849</v>
      </c>
      <c r="BM45" s="8">
        <v>2044</v>
      </c>
      <c r="BN45" s="8">
        <v>2045</v>
      </c>
      <c r="BO45" s="8">
        <v>2080</v>
      </c>
      <c r="BP45" s="8">
        <v>2155</v>
      </c>
      <c r="BQ45" s="8">
        <v>2093</v>
      </c>
      <c r="BR45" s="8">
        <v>2098</v>
      </c>
      <c r="BS45" s="8">
        <v>2075</v>
      </c>
      <c r="BT45" s="8">
        <v>1956</v>
      </c>
      <c r="BU45" s="8">
        <v>2056</v>
      </c>
      <c r="BV45" s="8">
        <v>1907</v>
      </c>
      <c r="BW45" s="8">
        <v>2028</v>
      </c>
      <c r="BX45" s="8">
        <v>1928</v>
      </c>
      <c r="BY45" s="8">
        <v>1935</v>
      </c>
      <c r="BZ45" s="8">
        <v>1976</v>
      </c>
      <c r="CA45" s="8">
        <v>2090</v>
      </c>
      <c r="CB45" s="8">
        <v>2022</v>
      </c>
      <c r="CC45" s="8">
        <v>2118</v>
      </c>
      <c r="NA45" s="13"/>
    </row>
    <row r="46" spans="1:365" x14ac:dyDescent="0.25">
      <c r="A46" s="11" t="s">
        <v>196</v>
      </c>
      <c r="B46" s="13" t="s">
        <v>331</v>
      </c>
      <c r="C46" s="13" t="s">
        <v>331</v>
      </c>
      <c r="D46" s="13" t="s">
        <v>331</v>
      </c>
      <c r="E46" s="13" t="s">
        <v>331</v>
      </c>
      <c r="F46" s="13" t="s">
        <v>331</v>
      </c>
      <c r="G46" s="13">
        <v>117</v>
      </c>
      <c r="H46" s="13">
        <v>117</v>
      </c>
      <c r="I46" s="13">
        <v>91</v>
      </c>
      <c r="J46" s="13">
        <v>103</v>
      </c>
      <c r="K46" s="13">
        <v>107</v>
      </c>
      <c r="L46" s="13">
        <v>96</v>
      </c>
      <c r="M46" s="13">
        <v>87</v>
      </c>
      <c r="N46" s="13">
        <v>91</v>
      </c>
      <c r="O46" s="13">
        <v>87</v>
      </c>
      <c r="P46" s="13">
        <v>89</v>
      </c>
      <c r="Q46" s="13">
        <v>94</v>
      </c>
      <c r="R46" s="13">
        <v>73</v>
      </c>
      <c r="S46" s="13">
        <v>87</v>
      </c>
      <c r="T46" s="13">
        <v>81</v>
      </c>
      <c r="U46" s="13">
        <v>72</v>
      </c>
      <c r="V46" s="13">
        <v>100</v>
      </c>
      <c r="W46" s="13">
        <v>78</v>
      </c>
      <c r="X46" s="13">
        <v>81</v>
      </c>
      <c r="Y46" s="13">
        <v>74</v>
      </c>
      <c r="Z46" s="13">
        <v>74</v>
      </c>
      <c r="AA46" s="8">
        <v>58</v>
      </c>
      <c r="AB46" s="8">
        <v>44</v>
      </c>
      <c r="AC46" s="8">
        <v>33</v>
      </c>
      <c r="AD46" s="8">
        <v>23</v>
      </c>
      <c r="AE46" s="8">
        <v>42</v>
      </c>
      <c r="AF46" s="8">
        <v>36</v>
      </c>
      <c r="AG46" s="8">
        <v>20</v>
      </c>
      <c r="AH46" s="8">
        <v>24</v>
      </c>
      <c r="AI46" s="8">
        <v>15</v>
      </c>
      <c r="AJ46" s="8">
        <v>17</v>
      </c>
      <c r="AK46" s="8">
        <v>15</v>
      </c>
      <c r="AL46" s="8">
        <v>13</v>
      </c>
      <c r="AM46" s="8">
        <v>13</v>
      </c>
      <c r="AN46" s="8">
        <v>17</v>
      </c>
      <c r="AO46" s="8">
        <v>14</v>
      </c>
      <c r="AP46" s="8">
        <v>13</v>
      </c>
      <c r="AQ46" s="8">
        <v>13</v>
      </c>
      <c r="AR46" s="8">
        <v>10</v>
      </c>
      <c r="AS46" s="8">
        <v>12</v>
      </c>
      <c r="AT46" s="8">
        <v>14</v>
      </c>
      <c r="AU46" s="8">
        <v>13</v>
      </c>
      <c r="AV46" s="8">
        <v>21</v>
      </c>
      <c r="AW46" s="8">
        <v>13</v>
      </c>
      <c r="AX46" s="8">
        <v>10</v>
      </c>
      <c r="AY46" s="8">
        <v>12</v>
      </c>
      <c r="AZ46" s="8">
        <v>14</v>
      </c>
      <c r="BA46" s="8">
        <v>16</v>
      </c>
      <c r="BB46" s="8">
        <v>13</v>
      </c>
      <c r="BC46" s="8">
        <v>21</v>
      </c>
      <c r="BD46" s="8">
        <v>24</v>
      </c>
      <c r="BE46" s="8">
        <v>22</v>
      </c>
      <c r="BF46" s="8">
        <v>21</v>
      </c>
      <c r="BG46" s="8">
        <v>26</v>
      </c>
      <c r="BH46" s="8">
        <v>20</v>
      </c>
      <c r="BI46" s="8">
        <v>30</v>
      </c>
      <c r="BJ46" s="8">
        <v>29</v>
      </c>
      <c r="BK46" s="8">
        <v>25</v>
      </c>
      <c r="BL46" s="8">
        <v>48</v>
      </c>
      <c r="BM46" s="8">
        <v>50</v>
      </c>
      <c r="BN46" s="8">
        <v>47</v>
      </c>
      <c r="BO46" s="8">
        <v>52</v>
      </c>
      <c r="BP46" s="8">
        <v>70</v>
      </c>
      <c r="BQ46" s="8">
        <v>55</v>
      </c>
      <c r="BR46" s="8">
        <v>62</v>
      </c>
      <c r="BS46" s="8">
        <v>73</v>
      </c>
      <c r="BT46" s="8">
        <v>65</v>
      </c>
      <c r="BU46" s="8">
        <v>69</v>
      </c>
      <c r="BV46" s="8">
        <v>66</v>
      </c>
      <c r="BW46" s="8">
        <v>48</v>
      </c>
      <c r="BX46" s="8">
        <v>75</v>
      </c>
      <c r="BY46" s="8">
        <v>55</v>
      </c>
      <c r="BZ46" s="8">
        <v>51</v>
      </c>
      <c r="CA46" s="8">
        <v>60</v>
      </c>
      <c r="CB46" s="8">
        <v>63</v>
      </c>
      <c r="CC46" s="8">
        <v>57</v>
      </c>
      <c r="NA46" s="13"/>
    </row>
    <row r="47" spans="1:365" x14ac:dyDescent="0.25">
      <c r="A47" s="11" t="s">
        <v>197</v>
      </c>
      <c r="B47" s="13" t="s">
        <v>331</v>
      </c>
      <c r="C47" s="13" t="s">
        <v>331</v>
      </c>
      <c r="D47" s="13" t="s">
        <v>331</v>
      </c>
      <c r="E47" s="13" t="s">
        <v>331</v>
      </c>
      <c r="F47" s="13" t="s">
        <v>331</v>
      </c>
      <c r="G47" s="13">
        <v>71</v>
      </c>
      <c r="H47" s="13">
        <v>57</v>
      </c>
      <c r="I47" s="13">
        <v>47</v>
      </c>
      <c r="J47" s="13">
        <v>69</v>
      </c>
      <c r="K47" s="13">
        <v>50</v>
      </c>
      <c r="L47" s="13">
        <v>43</v>
      </c>
      <c r="M47" s="13">
        <v>46</v>
      </c>
      <c r="N47" s="13">
        <v>40</v>
      </c>
      <c r="O47" s="13">
        <v>51</v>
      </c>
      <c r="P47" s="13">
        <v>34</v>
      </c>
      <c r="Q47" s="13">
        <v>42</v>
      </c>
      <c r="R47" s="13">
        <v>45</v>
      </c>
      <c r="S47" s="13">
        <v>51</v>
      </c>
      <c r="T47" s="13">
        <v>35</v>
      </c>
      <c r="U47" s="13">
        <v>44</v>
      </c>
      <c r="V47" s="13">
        <v>40</v>
      </c>
      <c r="W47" s="13">
        <v>38</v>
      </c>
      <c r="X47" s="13">
        <v>41</v>
      </c>
      <c r="Y47" s="13">
        <v>22</v>
      </c>
      <c r="Z47" s="13">
        <v>31</v>
      </c>
      <c r="AA47" s="8">
        <v>31</v>
      </c>
      <c r="AB47" s="8">
        <v>14</v>
      </c>
      <c r="AC47" s="8">
        <v>15</v>
      </c>
      <c r="AD47" s="8">
        <v>10</v>
      </c>
      <c r="AE47" s="8">
        <v>11</v>
      </c>
      <c r="AF47" s="8">
        <v>15</v>
      </c>
      <c r="AG47" s="8">
        <v>10</v>
      </c>
      <c r="AH47" s="8">
        <v>12</v>
      </c>
      <c r="AI47" s="8">
        <v>7</v>
      </c>
      <c r="AJ47" s="8">
        <v>5</v>
      </c>
      <c r="AK47" s="8">
        <v>6</v>
      </c>
      <c r="AL47" s="8">
        <v>10</v>
      </c>
      <c r="AM47" s="8">
        <v>5</v>
      </c>
      <c r="AN47" s="8">
        <v>3</v>
      </c>
      <c r="AO47" s="8">
        <v>6</v>
      </c>
      <c r="AP47" s="8">
        <v>4</v>
      </c>
      <c r="AQ47" s="8">
        <v>8</v>
      </c>
      <c r="AR47" s="8">
        <v>8</v>
      </c>
      <c r="AS47" s="8">
        <v>5</v>
      </c>
      <c r="AT47" s="8">
        <v>5</v>
      </c>
      <c r="AU47" s="8">
        <v>8</v>
      </c>
      <c r="AV47" s="8">
        <v>5</v>
      </c>
      <c r="AW47" s="8">
        <v>5</v>
      </c>
      <c r="AX47" s="8">
        <v>10</v>
      </c>
      <c r="AY47" s="8">
        <v>9</v>
      </c>
      <c r="AZ47" s="8">
        <v>6</v>
      </c>
      <c r="BA47" s="8">
        <v>8</v>
      </c>
      <c r="BB47" s="8">
        <v>2</v>
      </c>
      <c r="BC47" s="8">
        <v>12</v>
      </c>
      <c r="BD47" s="8">
        <v>10</v>
      </c>
      <c r="BE47" s="8">
        <v>3</v>
      </c>
      <c r="BF47" s="8">
        <v>6</v>
      </c>
      <c r="BG47" s="8">
        <v>10</v>
      </c>
      <c r="BH47" s="8">
        <v>13</v>
      </c>
      <c r="BI47" s="8">
        <v>12</v>
      </c>
      <c r="BJ47" s="8">
        <v>14</v>
      </c>
      <c r="BK47" s="8">
        <v>23</v>
      </c>
      <c r="BL47" s="8">
        <v>22</v>
      </c>
      <c r="BM47" s="8">
        <v>28</v>
      </c>
      <c r="BN47" s="8">
        <v>18</v>
      </c>
      <c r="BO47" s="8">
        <v>29</v>
      </c>
      <c r="BP47" s="8">
        <v>22</v>
      </c>
      <c r="BQ47" s="8">
        <v>24</v>
      </c>
      <c r="BR47" s="8">
        <v>33</v>
      </c>
      <c r="BS47" s="8">
        <v>33</v>
      </c>
      <c r="BT47" s="8">
        <v>36</v>
      </c>
      <c r="BU47" s="8">
        <v>24</v>
      </c>
      <c r="BV47" s="8">
        <v>43</v>
      </c>
      <c r="BW47" s="8">
        <v>25</v>
      </c>
      <c r="BX47" s="8">
        <v>34</v>
      </c>
      <c r="BY47" s="8">
        <v>27</v>
      </c>
      <c r="BZ47" s="8">
        <v>21</v>
      </c>
      <c r="CA47" s="8">
        <v>26</v>
      </c>
      <c r="CB47" s="8">
        <v>29</v>
      </c>
      <c r="CC47" s="8">
        <v>34</v>
      </c>
      <c r="NA47" s="13"/>
    </row>
    <row r="48" spans="1:365" x14ac:dyDescent="0.25">
      <c r="A48" s="11" t="s">
        <v>198</v>
      </c>
      <c r="B48" s="13" t="s">
        <v>331</v>
      </c>
      <c r="C48" s="13" t="s">
        <v>331</v>
      </c>
      <c r="D48" s="13" t="s">
        <v>331</v>
      </c>
      <c r="E48" s="13" t="s">
        <v>331</v>
      </c>
      <c r="F48" s="13" t="s">
        <v>331</v>
      </c>
      <c r="G48" s="13">
        <v>27</v>
      </c>
      <c r="H48" s="13">
        <v>28</v>
      </c>
      <c r="I48" s="13">
        <v>22</v>
      </c>
      <c r="J48" s="13">
        <v>22</v>
      </c>
      <c r="K48" s="13">
        <v>19</v>
      </c>
      <c r="L48" s="13">
        <v>25</v>
      </c>
      <c r="M48" s="13">
        <v>13</v>
      </c>
      <c r="N48" s="13">
        <v>25</v>
      </c>
      <c r="O48" s="13">
        <v>16</v>
      </c>
      <c r="P48" s="13">
        <v>18</v>
      </c>
      <c r="Q48" s="13">
        <v>17</v>
      </c>
      <c r="R48" s="13">
        <v>20</v>
      </c>
      <c r="S48" s="13">
        <v>29</v>
      </c>
      <c r="T48" s="13">
        <v>15</v>
      </c>
      <c r="U48" s="13">
        <v>17</v>
      </c>
      <c r="V48" s="13">
        <v>14</v>
      </c>
      <c r="W48" s="13">
        <v>11</v>
      </c>
      <c r="X48" s="13">
        <v>17</v>
      </c>
      <c r="Y48" s="13">
        <v>15</v>
      </c>
      <c r="Z48" s="13">
        <v>9</v>
      </c>
      <c r="AA48" s="8">
        <v>8</v>
      </c>
      <c r="AB48" s="8">
        <v>2</v>
      </c>
      <c r="AC48" s="8">
        <v>9</v>
      </c>
      <c r="AD48" s="8">
        <v>5</v>
      </c>
      <c r="AE48" s="8">
        <v>4</v>
      </c>
      <c r="AF48" s="8">
        <v>2</v>
      </c>
      <c r="AG48" s="8">
        <v>1</v>
      </c>
      <c r="AH48" s="8">
        <v>3</v>
      </c>
      <c r="AI48" s="8">
        <v>2</v>
      </c>
      <c r="AJ48" s="8">
        <v>5</v>
      </c>
      <c r="AK48" s="8">
        <v>4</v>
      </c>
      <c r="AL48" s="8">
        <v>2</v>
      </c>
      <c r="AM48" s="8">
        <v>5</v>
      </c>
      <c r="AN48" s="8">
        <v>2</v>
      </c>
      <c r="AO48" s="8">
        <v>3</v>
      </c>
      <c r="AP48" s="8">
        <v>5</v>
      </c>
      <c r="AQ48" s="8">
        <v>3</v>
      </c>
      <c r="AR48" s="8">
        <v>0</v>
      </c>
      <c r="AS48" s="8">
        <v>4</v>
      </c>
      <c r="AT48" s="8">
        <v>3</v>
      </c>
      <c r="AU48" s="8">
        <v>2</v>
      </c>
      <c r="AV48" s="8">
        <v>3</v>
      </c>
      <c r="AW48" s="8">
        <v>1</v>
      </c>
      <c r="AX48" s="8">
        <v>2</v>
      </c>
      <c r="AY48" s="8">
        <v>5</v>
      </c>
      <c r="AZ48" s="8">
        <v>2</v>
      </c>
      <c r="BA48" s="8">
        <v>2</v>
      </c>
      <c r="BB48" s="8">
        <v>1</v>
      </c>
      <c r="BC48" s="8">
        <v>6</v>
      </c>
      <c r="BD48" s="8">
        <v>4</v>
      </c>
      <c r="BE48" s="8">
        <v>2</v>
      </c>
      <c r="BF48" s="8">
        <v>0</v>
      </c>
      <c r="BG48" s="8">
        <v>2</v>
      </c>
      <c r="BH48" s="8">
        <v>2</v>
      </c>
      <c r="BI48" s="8">
        <v>3</v>
      </c>
      <c r="BJ48" s="8">
        <v>12</v>
      </c>
      <c r="BK48" s="8">
        <v>5</v>
      </c>
      <c r="BL48" s="8">
        <v>4</v>
      </c>
      <c r="BM48" s="8">
        <v>6</v>
      </c>
      <c r="BN48" s="8">
        <v>10</v>
      </c>
      <c r="BO48" s="8">
        <v>8</v>
      </c>
      <c r="BP48" s="8">
        <v>14</v>
      </c>
      <c r="BQ48" s="8">
        <v>11</v>
      </c>
      <c r="BR48" s="8">
        <v>15</v>
      </c>
      <c r="BS48" s="8">
        <v>19</v>
      </c>
      <c r="BT48" s="8">
        <v>15</v>
      </c>
      <c r="BU48" s="8">
        <v>19</v>
      </c>
      <c r="BV48" s="8">
        <v>29</v>
      </c>
      <c r="BW48" s="8">
        <v>21</v>
      </c>
      <c r="BX48" s="8">
        <v>18</v>
      </c>
      <c r="BY48" s="8">
        <v>21</v>
      </c>
      <c r="BZ48" s="8">
        <v>6</v>
      </c>
      <c r="CA48" s="8">
        <v>18</v>
      </c>
      <c r="CB48" s="8">
        <v>33</v>
      </c>
      <c r="CC48" s="8">
        <v>17</v>
      </c>
      <c r="NA48" s="13"/>
    </row>
    <row r="49" spans="1:365" x14ac:dyDescent="0.25">
      <c r="A49" s="11" t="s">
        <v>199</v>
      </c>
      <c r="B49" s="13" t="s">
        <v>331</v>
      </c>
      <c r="C49" s="13" t="s">
        <v>331</v>
      </c>
      <c r="D49" s="13" t="s">
        <v>331</v>
      </c>
      <c r="E49" s="13" t="s">
        <v>331</v>
      </c>
      <c r="F49" s="13" t="s">
        <v>331</v>
      </c>
      <c r="G49" s="13">
        <v>10</v>
      </c>
      <c r="H49" s="13">
        <v>8</v>
      </c>
      <c r="I49" s="13">
        <v>10</v>
      </c>
      <c r="J49" s="13">
        <v>15</v>
      </c>
      <c r="K49" s="13">
        <v>6</v>
      </c>
      <c r="L49" s="13">
        <v>6</v>
      </c>
      <c r="M49" s="13">
        <v>7</v>
      </c>
      <c r="N49" s="13">
        <v>6</v>
      </c>
      <c r="O49" s="13">
        <v>4</v>
      </c>
      <c r="P49" s="13">
        <v>11</v>
      </c>
      <c r="Q49" s="13">
        <v>9</v>
      </c>
      <c r="R49" s="13">
        <v>7</v>
      </c>
      <c r="S49" s="13">
        <v>15</v>
      </c>
      <c r="T49" s="13">
        <v>6</v>
      </c>
      <c r="U49" s="13">
        <v>7</v>
      </c>
      <c r="V49" s="13">
        <v>6</v>
      </c>
      <c r="W49" s="13">
        <v>4</v>
      </c>
      <c r="X49" s="13">
        <v>6</v>
      </c>
      <c r="Y49" s="13">
        <v>10</v>
      </c>
      <c r="Z49" s="13">
        <v>4</v>
      </c>
      <c r="AA49" s="8">
        <v>4</v>
      </c>
      <c r="AB49" s="8">
        <v>2</v>
      </c>
      <c r="AC49" s="8">
        <v>3</v>
      </c>
      <c r="AD49" s="8">
        <v>3</v>
      </c>
      <c r="AE49" s="8">
        <v>1</v>
      </c>
      <c r="AF49" s="8">
        <v>0</v>
      </c>
      <c r="AG49" s="8">
        <v>0</v>
      </c>
      <c r="AH49" s="8">
        <v>2</v>
      </c>
      <c r="AI49" s="8">
        <v>0</v>
      </c>
      <c r="AJ49" s="8">
        <v>2</v>
      </c>
      <c r="AK49" s="8">
        <v>1</v>
      </c>
      <c r="AL49" s="8">
        <v>1</v>
      </c>
      <c r="AM49" s="8">
        <v>2</v>
      </c>
      <c r="AN49" s="8">
        <v>0</v>
      </c>
      <c r="AO49" s="8">
        <v>0</v>
      </c>
      <c r="AP49" s="8">
        <v>1</v>
      </c>
      <c r="AQ49" s="8">
        <v>0</v>
      </c>
      <c r="AR49" s="8">
        <v>1</v>
      </c>
      <c r="AS49" s="8">
        <v>1</v>
      </c>
      <c r="AT49" s="8">
        <v>0</v>
      </c>
      <c r="AU49" s="8">
        <v>0</v>
      </c>
      <c r="AV49" s="8">
        <v>1</v>
      </c>
      <c r="AW49" s="8">
        <v>2</v>
      </c>
      <c r="AX49" s="8">
        <v>1</v>
      </c>
      <c r="AY49" s="8">
        <v>0</v>
      </c>
      <c r="AZ49" s="8">
        <v>1</v>
      </c>
      <c r="BA49" s="8">
        <v>3</v>
      </c>
      <c r="BB49" s="8">
        <v>0</v>
      </c>
      <c r="BC49" s="8">
        <v>3</v>
      </c>
      <c r="BD49" s="8">
        <v>1</v>
      </c>
      <c r="BE49" s="8">
        <v>2</v>
      </c>
      <c r="BF49" s="8">
        <v>1</v>
      </c>
      <c r="BG49" s="8">
        <v>6</v>
      </c>
      <c r="BH49" s="8">
        <v>2</v>
      </c>
      <c r="BI49" s="8">
        <v>2</v>
      </c>
      <c r="BJ49" s="8">
        <v>2</v>
      </c>
      <c r="BK49" s="8">
        <v>3</v>
      </c>
      <c r="BL49" s="8">
        <v>5</v>
      </c>
      <c r="BM49" s="8">
        <v>3</v>
      </c>
      <c r="BN49" s="8">
        <v>14</v>
      </c>
      <c r="BO49" s="8">
        <v>4</v>
      </c>
      <c r="BP49" s="8">
        <v>3</v>
      </c>
      <c r="BQ49" s="8">
        <v>10</v>
      </c>
      <c r="BR49" s="8">
        <v>11</v>
      </c>
      <c r="BS49" s="8">
        <v>9</v>
      </c>
      <c r="BT49" s="8">
        <v>15</v>
      </c>
      <c r="BU49" s="8">
        <v>12</v>
      </c>
      <c r="BV49" s="8">
        <v>6</v>
      </c>
      <c r="BW49" s="8">
        <v>7</v>
      </c>
      <c r="BX49" s="8">
        <v>19</v>
      </c>
      <c r="BY49" s="8">
        <v>10</v>
      </c>
      <c r="BZ49" s="8">
        <v>4</v>
      </c>
      <c r="CA49" s="8">
        <v>8</v>
      </c>
      <c r="CB49" s="8">
        <v>13</v>
      </c>
      <c r="CC49" s="8">
        <v>9</v>
      </c>
      <c r="NA49" s="13"/>
    </row>
    <row r="50" spans="1:365" x14ac:dyDescent="0.25">
      <c r="A50" s="11" t="s">
        <v>200</v>
      </c>
      <c r="B50" s="13" t="s">
        <v>331</v>
      </c>
      <c r="C50" s="13" t="s">
        <v>331</v>
      </c>
      <c r="D50" s="13" t="s">
        <v>331</v>
      </c>
      <c r="E50" s="13" t="s">
        <v>331</v>
      </c>
      <c r="F50" s="13" t="s">
        <v>331</v>
      </c>
      <c r="G50" s="13">
        <v>4</v>
      </c>
      <c r="H50" s="13">
        <v>1</v>
      </c>
      <c r="I50" s="13">
        <v>0</v>
      </c>
      <c r="J50" s="13">
        <v>2</v>
      </c>
      <c r="K50" s="13">
        <v>4</v>
      </c>
      <c r="L50" s="13">
        <v>2</v>
      </c>
      <c r="M50" s="13">
        <v>4</v>
      </c>
      <c r="N50" s="13">
        <v>2</v>
      </c>
      <c r="O50" s="13">
        <v>1</v>
      </c>
      <c r="P50" s="13">
        <v>2</v>
      </c>
      <c r="Q50" s="13">
        <v>1</v>
      </c>
      <c r="R50" s="13">
        <v>3</v>
      </c>
      <c r="S50" s="13">
        <v>9</v>
      </c>
      <c r="T50" s="13">
        <v>4</v>
      </c>
      <c r="U50" s="13">
        <v>2</v>
      </c>
      <c r="V50" s="13">
        <v>2</v>
      </c>
      <c r="W50" s="13">
        <v>3</v>
      </c>
      <c r="X50" s="13">
        <v>1</v>
      </c>
      <c r="Y50" s="13">
        <v>3</v>
      </c>
      <c r="Z50" s="13">
        <v>1</v>
      </c>
      <c r="AA50" s="8">
        <v>1</v>
      </c>
      <c r="AB50" s="8">
        <v>2</v>
      </c>
      <c r="AC50" s="8">
        <v>1</v>
      </c>
      <c r="AD50" s="8">
        <v>1</v>
      </c>
      <c r="AE50" s="8">
        <v>1</v>
      </c>
      <c r="AF50" s="8">
        <v>2</v>
      </c>
      <c r="AG50" s="8">
        <v>0</v>
      </c>
      <c r="AH50" s="8">
        <v>0</v>
      </c>
      <c r="AI50" s="8">
        <v>1</v>
      </c>
      <c r="AJ50" s="8">
        <v>1</v>
      </c>
      <c r="AK50" s="8">
        <v>1</v>
      </c>
      <c r="AL50" s="8">
        <v>1</v>
      </c>
      <c r="AM50" s="8">
        <v>1</v>
      </c>
      <c r="AN50" s="8">
        <v>0</v>
      </c>
      <c r="AO50" s="8">
        <v>0</v>
      </c>
      <c r="AP50" s="8">
        <v>0</v>
      </c>
      <c r="AQ50" s="8">
        <v>2</v>
      </c>
      <c r="AR50" s="8">
        <v>1</v>
      </c>
      <c r="AS50" s="8">
        <v>0</v>
      </c>
      <c r="AT50" s="8">
        <v>0</v>
      </c>
      <c r="AU50" s="8">
        <v>0</v>
      </c>
      <c r="AV50" s="8">
        <v>1</v>
      </c>
      <c r="AW50" s="8">
        <v>2</v>
      </c>
      <c r="AX50" s="8">
        <v>0</v>
      </c>
      <c r="AY50" s="8">
        <v>0</v>
      </c>
      <c r="AZ50" s="8">
        <v>1</v>
      </c>
      <c r="BA50" s="8">
        <v>2</v>
      </c>
      <c r="BB50" s="8">
        <v>0</v>
      </c>
      <c r="BC50" s="8">
        <v>0</v>
      </c>
      <c r="BD50" s="8">
        <v>1</v>
      </c>
      <c r="BE50" s="8">
        <v>0</v>
      </c>
      <c r="BF50" s="8">
        <v>5</v>
      </c>
      <c r="BG50" s="8">
        <v>2</v>
      </c>
      <c r="BH50" s="8">
        <v>1</v>
      </c>
      <c r="BI50" s="8">
        <v>0</v>
      </c>
      <c r="BJ50" s="8">
        <v>4</v>
      </c>
      <c r="BK50" s="8">
        <v>1</v>
      </c>
      <c r="BL50" s="8">
        <v>0</v>
      </c>
      <c r="BM50" s="8">
        <v>4</v>
      </c>
      <c r="BN50" s="8">
        <v>2</v>
      </c>
      <c r="BO50" s="8">
        <v>5</v>
      </c>
      <c r="BP50" s="8">
        <v>4</v>
      </c>
      <c r="BQ50" s="8">
        <v>5</v>
      </c>
      <c r="BR50" s="8">
        <v>9</v>
      </c>
      <c r="BS50" s="8">
        <v>7</v>
      </c>
      <c r="BT50" s="8">
        <v>6</v>
      </c>
      <c r="BU50" s="8">
        <v>2</v>
      </c>
      <c r="BV50" s="8">
        <v>3</v>
      </c>
      <c r="BW50" s="8">
        <v>11</v>
      </c>
      <c r="BX50" s="8">
        <v>5</v>
      </c>
      <c r="BY50" s="8">
        <v>8</v>
      </c>
      <c r="BZ50" s="8">
        <v>2</v>
      </c>
      <c r="CA50" s="8">
        <v>10</v>
      </c>
      <c r="CB50" s="8">
        <v>5</v>
      </c>
      <c r="CC50" s="8">
        <v>10</v>
      </c>
      <c r="NA50" s="13"/>
    </row>
    <row r="51" spans="1:365" x14ac:dyDescent="0.25">
      <c r="A51" s="11" t="s">
        <v>201</v>
      </c>
      <c r="B51" s="13">
        <v>278</v>
      </c>
      <c r="C51" s="13">
        <v>268</v>
      </c>
      <c r="D51" s="13">
        <v>287</v>
      </c>
      <c r="E51" s="13">
        <v>248</v>
      </c>
      <c r="F51" s="13">
        <v>240</v>
      </c>
      <c r="G51" s="13">
        <v>229</v>
      </c>
      <c r="H51" s="13">
        <v>211</v>
      </c>
      <c r="I51" s="13">
        <v>170</v>
      </c>
      <c r="J51" s="13">
        <v>211</v>
      </c>
      <c r="K51" s="13">
        <v>186</v>
      </c>
      <c r="L51" s="13">
        <v>172</v>
      </c>
      <c r="M51" s="13">
        <v>157</v>
      </c>
      <c r="N51" s="13">
        <v>164</v>
      </c>
      <c r="O51" s="13">
        <v>159</v>
      </c>
      <c r="P51" s="13">
        <v>154</v>
      </c>
      <c r="Q51" s="13">
        <v>163</v>
      </c>
      <c r="R51" s="13">
        <v>148</v>
      </c>
      <c r="S51" s="13">
        <v>191</v>
      </c>
      <c r="T51" s="13">
        <v>141</v>
      </c>
      <c r="U51" s="13">
        <v>142</v>
      </c>
      <c r="V51" s="13">
        <v>162</v>
      </c>
      <c r="W51" s="13">
        <v>134</v>
      </c>
      <c r="X51" s="13">
        <v>146</v>
      </c>
      <c r="Y51" s="13">
        <v>124</v>
      </c>
      <c r="Z51" s="13">
        <v>119</v>
      </c>
      <c r="AA51" s="8">
        <v>102</v>
      </c>
      <c r="AB51" s="8">
        <v>64</v>
      </c>
      <c r="AC51" s="8">
        <v>61</v>
      </c>
      <c r="AD51" s="8">
        <v>42</v>
      </c>
      <c r="AE51" s="8">
        <v>59</v>
      </c>
      <c r="AF51" s="8">
        <v>55</v>
      </c>
      <c r="AG51" s="8">
        <v>31</v>
      </c>
      <c r="AH51" s="8">
        <v>41</v>
      </c>
      <c r="AI51" s="8">
        <v>25</v>
      </c>
      <c r="AJ51" s="8">
        <v>30</v>
      </c>
      <c r="AK51" s="8">
        <v>27</v>
      </c>
      <c r="AL51" s="8">
        <v>27</v>
      </c>
      <c r="AM51" s="8">
        <v>26</v>
      </c>
      <c r="AN51" s="8">
        <v>22</v>
      </c>
      <c r="AO51" s="8">
        <v>23</v>
      </c>
      <c r="AP51" s="8">
        <v>23</v>
      </c>
      <c r="AQ51" s="8">
        <v>26</v>
      </c>
      <c r="AR51" s="8">
        <v>20</v>
      </c>
      <c r="AS51" s="8">
        <v>22</v>
      </c>
      <c r="AT51" s="8">
        <v>22</v>
      </c>
      <c r="AU51" s="8">
        <v>23</v>
      </c>
      <c r="AV51" s="8">
        <v>31</v>
      </c>
      <c r="AW51" s="8">
        <v>23</v>
      </c>
      <c r="AX51" s="8">
        <v>23</v>
      </c>
      <c r="AY51" s="8">
        <v>26</v>
      </c>
      <c r="AZ51" s="8">
        <v>24</v>
      </c>
      <c r="BA51" s="8">
        <v>31</v>
      </c>
      <c r="BB51" s="8">
        <v>16</v>
      </c>
      <c r="BC51" s="8">
        <v>42</v>
      </c>
      <c r="BD51" s="8">
        <v>40</v>
      </c>
      <c r="BE51" s="8">
        <v>29</v>
      </c>
      <c r="BF51" s="8">
        <v>33</v>
      </c>
      <c r="BG51" s="8">
        <v>46</v>
      </c>
      <c r="BH51" s="8">
        <v>38</v>
      </c>
      <c r="BI51" s="8">
        <v>47</v>
      </c>
      <c r="BJ51" s="8">
        <v>61</v>
      </c>
      <c r="BK51" s="8">
        <v>57</v>
      </c>
      <c r="BL51" s="8">
        <v>79</v>
      </c>
      <c r="BM51" s="8">
        <v>91</v>
      </c>
      <c r="BN51" s="8">
        <v>91</v>
      </c>
      <c r="BO51" s="8">
        <v>98</v>
      </c>
      <c r="BP51" s="8">
        <v>113</v>
      </c>
      <c r="BQ51" s="8">
        <v>105</v>
      </c>
      <c r="BR51" s="8">
        <v>130</v>
      </c>
      <c r="BS51" s="8">
        <v>141</v>
      </c>
      <c r="BT51" s="8">
        <v>137</v>
      </c>
      <c r="BU51" s="8">
        <v>126</v>
      </c>
      <c r="BV51" s="8">
        <v>147</v>
      </c>
      <c r="BW51" s="8">
        <v>112</v>
      </c>
      <c r="BX51" s="8">
        <v>151</v>
      </c>
      <c r="BY51" s="8">
        <v>121</v>
      </c>
      <c r="BZ51" s="8">
        <v>84</v>
      </c>
      <c r="CA51" s="8">
        <v>122</v>
      </c>
      <c r="CB51" s="8">
        <v>143</v>
      </c>
      <c r="CC51" s="8">
        <v>127</v>
      </c>
      <c r="NA51" s="13"/>
    </row>
    <row r="52" spans="1:365" x14ac:dyDescent="0.25">
      <c r="A52" s="11" t="s">
        <v>202</v>
      </c>
      <c r="B52" s="13" t="s">
        <v>331</v>
      </c>
      <c r="C52" s="13" t="s">
        <v>331</v>
      </c>
      <c r="D52" s="13" t="s">
        <v>331</v>
      </c>
      <c r="E52" s="13" t="s">
        <v>331</v>
      </c>
      <c r="F52" s="13" t="s">
        <v>331</v>
      </c>
      <c r="G52" s="13">
        <v>0</v>
      </c>
      <c r="H52" s="13">
        <v>0</v>
      </c>
      <c r="I52" s="13">
        <v>0</v>
      </c>
      <c r="J52" s="13">
        <v>0</v>
      </c>
      <c r="K52" s="13">
        <v>0</v>
      </c>
      <c r="L52" s="13">
        <v>0</v>
      </c>
      <c r="M52" s="13">
        <v>0</v>
      </c>
      <c r="N52" s="13">
        <v>0</v>
      </c>
      <c r="O52" s="13">
        <v>2</v>
      </c>
      <c r="P52" s="13">
        <v>1</v>
      </c>
      <c r="Q52" s="13">
        <v>0</v>
      </c>
      <c r="R52" s="13">
        <v>0</v>
      </c>
      <c r="S52" s="13">
        <v>0</v>
      </c>
      <c r="T52" s="13">
        <v>0</v>
      </c>
      <c r="U52" s="13">
        <v>0</v>
      </c>
      <c r="V52" s="13">
        <v>0</v>
      </c>
      <c r="W52" s="13">
        <v>0</v>
      </c>
      <c r="X52" s="13" t="s">
        <v>331</v>
      </c>
      <c r="Y52" s="13">
        <v>0</v>
      </c>
      <c r="Z52" s="13">
        <v>0</v>
      </c>
      <c r="AA52" s="8">
        <v>0</v>
      </c>
      <c r="AB52" s="8">
        <v>999999999</v>
      </c>
      <c r="AC52" s="8">
        <v>0</v>
      </c>
      <c r="AD52" s="8">
        <v>0</v>
      </c>
      <c r="AE52" s="8">
        <v>0</v>
      </c>
      <c r="AF52" s="8">
        <v>1</v>
      </c>
      <c r="AG52" s="8">
        <v>0</v>
      </c>
      <c r="AH52" s="8">
        <v>0</v>
      </c>
      <c r="AI52" s="8">
        <v>0</v>
      </c>
      <c r="AJ52" s="8">
        <v>0</v>
      </c>
      <c r="AK52" s="8">
        <v>0</v>
      </c>
      <c r="AL52" s="8">
        <v>0</v>
      </c>
      <c r="AM52" s="8">
        <v>0</v>
      </c>
      <c r="AN52" s="8">
        <v>0</v>
      </c>
      <c r="AO52" s="8">
        <v>1</v>
      </c>
      <c r="AP52" s="8">
        <v>1</v>
      </c>
      <c r="AQ52" s="8">
        <v>0</v>
      </c>
      <c r="AR52" s="8">
        <v>0</v>
      </c>
      <c r="AS52" s="8">
        <v>0</v>
      </c>
      <c r="AT52" s="8">
        <v>0</v>
      </c>
      <c r="AU52" s="8">
        <v>1</v>
      </c>
      <c r="AV52" s="8">
        <v>0</v>
      </c>
      <c r="AW52" s="8">
        <v>0</v>
      </c>
      <c r="AX52" s="8">
        <v>0</v>
      </c>
      <c r="AY52" s="8">
        <v>0</v>
      </c>
      <c r="AZ52" s="8">
        <v>2</v>
      </c>
      <c r="BA52" s="8">
        <v>0</v>
      </c>
      <c r="BB52" s="8">
        <v>1</v>
      </c>
      <c r="BC52" s="8">
        <v>0</v>
      </c>
      <c r="BD52" s="8">
        <v>0</v>
      </c>
      <c r="BE52" s="8">
        <v>0</v>
      </c>
      <c r="BF52" s="8">
        <v>7</v>
      </c>
      <c r="BG52" s="8">
        <v>0</v>
      </c>
      <c r="BH52" s="8">
        <v>0</v>
      </c>
      <c r="BI52" s="8">
        <v>2</v>
      </c>
      <c r="BJ52" s="8">
        <v>2</v>
      </c>
      <c r="BK52" s="8">
        <v>1</v>
      </c>
      <c r="BL52" s="8">
        <v>3</v>
      </c>
      <c r="BM52" s="8">
        <v>4</v>
      </c>
      <c r="BN52" s="8">
        <v>0</v>
      </c>
      <c r="BO52" s="8">
        <v>0</v>
      </c>
      <c r="BP52" s="8">
        <v>5</v>
      </c>
      <c r="BQ52" s="8">
        <v>0</v>
      </c>
      <c r="BR52" s="8">
        <v>5</v>
      </c>
      <c r="BS52" s="8">
        <v>3</v>
      </c>
      <c r="BT52" s="8">
        <v>3</v>
      </c>
      <c r="BU52" s="8">
        <v>3</v>
      </c>
      <c r="BV52" s="8">
        <v>4</v>
      </c>
      <c r="BW52" s="8">
        <v>7</v>
      </c>
      <c r="BX52" s="8">
        <v>4</v>
      </c>
      <c r="BY52" s="8">
        <v>2</v>
      </c>
      <c r="BZ52" s="8">
        <v>0</v>
      </c>
      <c r="CA52" s="8">
        <v>5</v>
      </c>
      <c r="CB52" s="8">
        <v>3</v>
      </c>
      <c r="CC52" s="8">
        <v>10</v>
      </c>
      <c r="NA52" s="13" t="s">
        <v>331</v>
      </c>
    </row>
    <row r="53" spans="1:365" x14ac:dyDescent="0.25">
      <c r="A53" s="11" t="s">
        <v>203</v>
      </c>
      <c r="B53" s="13" t="s">
        <v>331</v>
      </c>
      <c r="C53" s="13" t="s">
        <v>331</v>
      </c>
      <c r="D53" s="13" t="s">
        <v>331</v>
      </c>
      <c r="E53" s="13" t="s">
        <v>331</v>
      </c>
      <c r="F53" s="13" t="s">
        <v>331</v>
      </c>
      <c r="G53" s="13">
        <v>0</v>
      </c>
      <c r="H53" s="13">
        <v>1</v>
      </c>
      <c r="I53" s="13">
        <v>1</v>
      </c>
      <c r="J53" s="13">
        <v>0</v>
      </c>
      <c r="K53" s="13">
        <v>0</v>
      </c>
      <c r="L53" s="13">
        <v>1</v>
      </c>
      <c r="M53" s="13">
        <v>0</v>
      </c>
      <c r="N53" s="13">
        <v>0</v>
      </c>
      <c r="O53" s="13">
        <v>0</v>
      </c>
      <c r="P53" s="13">
        <v>0</v>
      </c>
      <c r="Q53" s="13">
        <v>0</v>
      </c>
      <c r="R53" s="13">
        <v>0</v>
      </c>
      <c r="S53" s="13">
        <v>0</v>
      </c>
      <c r="T53" s="13">
        <v>0</v>
      </c>
      <c r="U53" s="13">
        <v>0</v>
      </c>
      <c r="V53" s="13">
        <v>0</v>
      </c>
      <c r="W53" s="13">
        <v>0</v>
      </c>
      <c r="X53" s="13" t="s">
        <v>331</v>
      </c>
      <c r="Y53" s="13">
        <v>0</v>
      </c>
      <c r="Z53" s="13">
        <v>0</v>
      </c>
      <c r="AA53" s="8">
        <v>0</v>
      </c>
      <c r="AB53" s="8">
        <v>999999999</v>
      </c>
      <c r="AC53" s="8">
        <v>0</v>
      </c>
      <c r="AD53" s="8">
        <v>0</v>
      </c>
      <c r="AE53" s="8">
        <v>1</v>
      </c>
      <c r="AF53" s="8">
        <v>0</v>
      </c>
      <c r="AG53" s="8">
        <v>0</v>
      </c>
      <c r="AH53" s="8">
        <v>0</v>
      </c>
      <c r="AI53" s="8">
        <v>0</v>
      </c>
      <c r="AJ53" s="8">
        <v>0</v>
      </c>
      <c r="AK53" s="8">
        <v>0</v>
      </c>
      <c r="AL53" s="8">
        <v>0</v>
      </c>
      <c r="AM53" s="8">
        <v>0</v>
      </c>
      <c r="AN53" s="8">
        <v>0</v>
      </c>
      <c r="AO53" s="8">
        <v>0</v>
      </c>
      <c r="AP53" s="8">
        <v>0</v>
      </c>
      <c r="AQ53" s="8">
        <v>0</v>
      </c>
      <c r="AR53" s="8">
        <v>0</v>
      </c>
      <c r="AS53" s="8">
        <v>0</v>
      </c>
      <c r="AT53" s="8">
        <v>0</v>
      </c>
      <c r="AU53" s="8">
        <v>0</v>
      </c>
      <c r="AV53" s="8">
        <v>0</v>
      </c>
      <c r="AW53" s="8">
        <v>0</v>
      </c>
      <c r="AX53" s="8">
        <v>0</v>
      </c>
      <c r="AY53" s="8">
        <v>0</v>
      </c>
      <c r="AZ53" s="8">
        <v>0</v>
      </c>
      <c r="BA53" s="8">
        <v>0</v>
      </c>
      <c r="BB53" s="8">
        <v>0</v>
      </c>
      <c r="BC53" s="8">
        <v>0</v>
      </c>
      <c r="BD53" s="8">
        <v>0</v>
      </c>
      <c r="BE53" s="8">
        <v>0</v>
      </c>
      <c r="BF53" s="8">
        <v>0</v>
      </c>
      <c r="BG53" s="8">
        <v>0</v>
      </c>
      <c r="BH53" s="8">
        <v>0</v>
      </c>
      <c r="BI53" s="8">
        <v>1</v>
      </c>
      <c r="BJ53" s="8">
        <v>0</v>
      </c>
      <c r="BK53" s="8">
        <v>0</v>
      </c>
      <c r="BL53" s="8">
        <v>1</v>
      </c>
      <c r="BM53" s="8">
        <v>0</v>
      </c>
      <c r="BN53" s="8">
        <v>0</v>
      </c>
      <c r="BO53" s="8">
        <v>0</v>
      </c>
      <c r="BP53" s="8">
        <v>1</v>
      </c>
      <c r="BQ53" s="8">
        <v>1</v>
      </c>
      <c r="BR53" s="8">
        <v>1</v>
      </c>
      <c r="BS53" s="8">
        <v>3</v>
      </c>
      <c r="BT53" s="8">
        <v>1</v>
      </c>
      <c r="BU53" s="8">
        <v>6</v>
      </c>
      <c r="BV53" s="8">
        <v>3</v>
      </c>
      <c r="BW53" s="8">
        <v>0</v>
      </c>
      <c r="BX53" s="8">
        <v>3</v>
      </c>
      <c r="BY53" s="8">
        <v>7</v>
      </c>
      <c r="BZ53" s="8">
        <v>0</v>
      </c>
      <c r="CA53" s="8">
        <v>2</v>
      </c>
      <c r="CB53" s="8">
        <v>3</v>
      </c>
      <c r="CC53" s="8">
        <v>2</v>
      </c>
      <c r="NA53" s="13" t="s">
        <v>331</v>
      </c>
    </row>
    <row r="54" spans="1:365" x14ac:dyDescent="0.25">
      <c r="A54" s="11" t="s">
        <v>204</v>
      </c>
      <c r="B54" s="13" t="s">
        <v>331</v>
      </c>
      <c r="C54" s="13" t="s">
        <v>331</v>
      </c>
      <c r="D54" s="13" t="s">
        <v>331</v>
      </c>
      <c r="E54" s="13" t="s">
        <v>331</v>
      </c>
      <c r="F54" s="13" t="s">
        <v>331</v>
      </c>
      <c r="G54" s="13">
        <v>0</v>
      </c>
      <c r="H54" s="13">
        <v>0</v>
      </c>
      <c r="I54" s="13">
        <v>0</v>
      </c>
      <c r="J54" s="13">
        <v>0</v>
      </c>
      <c r="K54" s="13">
        <v>0</v>
      </c>
      <c r="L54" s="13">
        <v>0</v>
      </c>
      <c r="M54" s="13">
        <v>0</v>
      </c>
      <c r="N54" s="13">
        <v>0</v>
      </c>
      <c r="O54" s="13">
        <v>0</v>
      </c>
      <c r="P54" s="13">
        <v>0</v>
      </c>
      <c r="Q54" s="13">
        <v>0</v>
      </c>
      <c r="R54" s="13">
        <v>0</v>
      </c>
      <c r="S54" s="13">
        <v>0</v>
      </c>
      <c r="T54" s="13">
        <v>0</v>
      </c>
      <c r="U54" s="13">
        <v>0</v>
      </c>
      <c r="V54" s="13">
        <v>0</v>
      </c>
      <c r="W54" s="13">
        <v>0</v>
      </c>
      <c r="X54" s="13" t="s">
        <v>331</v>
      </c>
      <c r="Y54" s="13">
        <v>0</v>
      </c>
      <c r="Z54" s="13">
        <v>0</v>
      </c>
      <c r="AA54" s="8">
        <v>0</v>
      </c>
      <c r="AB54" s="8">
        <v>999999999</v>
      </c>
      <c r="AC54" s="8">
        <v>0</v>
      </c>
      <c r="AD54" s="8">
        <v>0</v>
      </c>
      <c r="AE54" s="8">
        <v>0</v>
      </c>
      <c r="AF54" s="8">
        <v>0</v>
      </c>
      <c r="AG54" s="8">
        <v>0</v>
      </c>
      <c r="AH54" s="8">
        <v>0</v>
      </c>
      <c r="AI54" s="8">
        <v>0</v>
      </c>
      <c r="AJ54" s="8">
        <v>0</v>
      </c>
      <c r="AK54" s="8">
        <v>0</v>
      </c>
      <c r="AL54" s="8">
        <v>0</v>
      </c>
      <c r="AM54" s="8">
        <v>0</v>
      </c>
      <c r="AN54" s="8">
        <v>0</v>
      </c>
      <c r="AO54" s="8">
        <v>0</v>
      </c>
      <c r="AP54" s="8">
        <v>0</v>
      </c>
      <c r="AQ54" s="8">
        <v>0</v>
      </c>
      <c r="AR54" s="8">
        <v>0</v>
      </c>
      <c r="AS54" s="8">
        <v>0</v>
      </c>
      <c r="AT54" s="8">
        <v>0</v>
      </c>
      <c r="AU54" s="8">
        <v>0</v>
      </c>
      <c r="AV54" s="8">
        <v>0</v>
      </c>
      <c r="AW54" s="8">
        <v>0</v>
      </c>
      <c r="AX54" s="8">
        <v>0</v>
      </c>
      <c r="AY54" s="8">
        <v>0</v>
      </c>
      <c r="AZ54" s="8">
        <v>0</v>
      </c>
      <c r="BA54" s="8">
        <v>0</v>
      </c>
      <c r="BB54" s="8">
        <v>0</v>
      </c>
      <c r="BC54" s="8">
        <v>0</v>
      </c>
      <c r="BD54" s="8">
        <v>0</v>
      </c>
      <c r="BE54" s="8">
        <v>0</v>
      </c>
      <c r="BF54" s="8">
        <v>0</v>
      </c>
      <c r="BG54" s="8">
        <v>1</v>
      </c>
      <c r="BH54" s="8">
        <v>0</v>
      </c>
      <c r="BI54" s="8">
        <v>0</v>
      </c>
      <c r="BJ54" s="8">
        <v>3</v>
      </c>
      <c r="BK54" s="8">
        <v>0</v>
      </c>
      <c r="BL54" s="8">
        <v>0</v>
      </c>
      <c r="BM54" s="8">
        <v>0</v>
      </c>
      <c r="BN54" s="8">
        <v>2</v>
      </c>
      <c r="BO54" s="8">
        <v>0</v>
      </c>
      <c r="BP54" s="8">
        <v>1</v>
      </c>
      <c r="BQ54" s="8">
        <v>0</v>
      </c>
      <c r="BR54" s="8">
        <v>0</v>
      </c>
      <c r="BS54" s="8">
        <v>1</v>
      </c>
      <c r="BT54" s="8">
        <v>1</v>
      </c>
      <c r="BU54" s="8">
        <v>1</v>
      </c>
      <c r="BV54" s="8">
        <v>2</v>
      </c>
      <c r="BW54" s="8">
        <v>3</v>
      </c>
      <c r="BX54" s="8">
        <v>0</v>
      </c>
      <c r="BY54" s="8">
        <v>0</v>
      </c>
      <c r="BZ54" s="8">
        <v>0</v>
      </c>
      <c r="CA54" s="8">
        <v>0</v>
      </c>
      <c r="CB54" s="8">
        <v>0</v>
      </c>
      <c r="CC54" s="8">
        <v>5</v>
      </c>
      <c r="NA54" s="13" t="s">
        <v>331</v>
      </c>
    </row>
    <row r="55" spans="1:365" x14ac:dyDescent="0.25">
      <c r="A55" s="11" t="s">
        <v>205</v>
      </c>
      <c r="B55" s="13" t="s">
        <v>331</v>
      </c>
      <c r="C55" s="13" t="s">
        <v>331</v>
      </c>
      <c r="D55" s="13" t="s">
        <v>331</v>
      </c>
      <c r="E55" s="13" t="s">
        <v>331</v>
      </c>
      <c r="F55" s="13" t="s">
        <v>331</v>
      </c>
      <c r="G55" s="13">
        <v>0</v>
      </c>
      <c r="H55" s="13">
        <v>0</v>
      </c>
      <c r="I55" s="13">
        <v>0</v>
      </c>
      <c r="J55" s="13">
        <v>0</v>
      </c>
      <c r="K55" s="13">
        <v>0</v>
      </c>
      <c r="L55" s="13">
        <v>0</v>
      </c>
      <c r="M55" s="13">
        <v>0</v>
      </c>
      <c r="N55" s="13">
        <v>0</v>
      </c>
      <c r="O55" s="13">
        <v>0</v>
      </c>
      <c r="P55" s="13">
        <v>0</v>
      </c>
      <c r="Q55" s="13">
        <v>0</v>
      </c>
      <c r="R55" s="13">
        <v>0</v>
      </c>
      <c r="S55" s="13">
        <v>0</v>
      </c>
      <c r="T55" s="13">
        <v>0</v>
      </c>
      <c r="U55" s="13">
        <v>0</v>
      </c>
      <c r="V55" s="13">
        <v>0</v>
      </c>
      <c r="W55" s="13">
        <v>0</v>
      </c>
      <c r="X55" s="13" t="s">
        <v>331</v>
      </c>
      <c r="Y55" s="13">
        <v>0</v>
      </c>
      <c r="Z55" s="13">
        <v>0</v>
      </c>
      <c r="AA55" s="8">
        <v>0</v>
      </c>
      <c r="AB55" s="8">
        <v>999999999</v>
      </c>
      <c r="AC55" s="8">
        <v>0</v>
      </c>
      <c r="AD55" s="8">
        <v>0</v>
      </c>
      <c r="AE55" s="8">
        <v>1</v>
      </c>
      <c r="AF55" s="8">
        <v>0</v>
      </c>
      <c r="AG55" s="8">
        <v>0</v>
      </c>
      <c r="AH55" s="8">
        <v>0</v>
      </c>
      <c r="AI55" s="8">
        <v>0</v>
      </c>
      <c r="AJ55" s="8">
        <v>0</v>
      </c>
      <c r="AK55" s="8">
        <v>0</v>
      </c>
      <c r="AL55" s="8">
        <v>0</v>
      </c>
      <c r="AM55" s="8">
        <v>0</v>
      </c>
      <c r="AN55" s="8">
        <v>0</v>
      </c>
      <c r="AO55" s="8">
        <v>0</v>
      </c>
      <c r="AP55" s="8">
        <v>0</v>
      </c>
      <c r="AQ55" s="8">
        <v>0</v>
      </c>
      <c r="AR55" s="8">
        <v>0</v>
      </c>
      <c r="AS55" s="8">
        <v>0</v>
      </c>
      <c r="AT55" s="8">
        <v>0</v>
      </c>
      <c r="AU55" s="8">
        <v>0</v>
      </c>
      <c r="AV55" s="8">
        <v>0</v>
      </c>
      <c r="AW55" s="8">
        <v>0</v>
      </c>
      <c r="AX55" s="8">
        <v>0</v>
      </c>
      <c r="AY55" s="8">
        <v>0</v>
      </c>
      <c r="AZ55" s="8">
        <v>0</v>
      </c>
      <c r="BA55" s="8">
        <v>1</v>
      </c>
      <c r="BB55" s="8">
        <v>1</v>
      </c>
      <c r="BC55" s="8">
        <v>0</v>
      </c>
      <c r="BD55" s="8">
        <v>1</v>
      </c>
      <c r="BE55" s="8">
        <v>0</v>
      </c>
      <c r="BF55" s="8">
        <v>0</v>
      </c>
      <c r="BG55" s="8">
        <v>0</v>
      </c>
      <c r="BH55" s="8">
        <v>0</v>
      </c>
      <c r="BI55" s="8">
        <v>0</v>
      </c>
      <c r="BJ55" s="8">
        <v>0</v>
      </c>
      <c r="BK55" s="8">
        <v>0</v>
      </c>
      <c r="BL55" s="8">
        <v>0</v>
      </c>
      <c r="BM55" s="8">
        <v>0</v>
      </c>
      <c r="BN55" s="8">
        <v>0</v>
      </c>
      <c r="BO55" s="8">
        <v>0</v>
      </c>
      <c r="BP55" s="8">
        <v>0</v>
      </c>
      <c r="BQ55" s="8">
        <v>0</v>
      </c>
      <c r="BR55" s="8">
        <v>0</v>
      </c>
      <c r="BS55" s="8">
        <v>0</v>
      </c>
      <c r="BT55" s="8">
        <v>0</v>
      </c>
      <c r="BU55" s="8">
        <v>1</v>
      </c>
      <c r="BV55" s="8">
        <v>2</v>
      </c>
      <c r="BW55" s="8">
        <v>1</v>
      </c>
      <c r="BX55" s="8">
        <v>0</v>
      </c>
      <c r="BY55" s="8">
        <v>2</v>
      </c>
      <c r="BZ55" s="8">
        <v>1</v>
      </c>
      <c r="CA55" s="8">
        <v>0</v>
      </c>
      <c r="CB55" s="8">
        <v>1</v>
      </c>
      <c r="CC55" s="8">
        <v>1</v>
      </c>
      <c r="NA55" s="13" t="s">
        <v>331</v>
      </c>
    </row>
    <row r="56" spans="1:365" x14ac:dyDescent="0.25">
      <c r="A56" s="11" t="s">
        <v>206</v>
      </c>
      <c r="B56" s="13" t="s">
        <v>331</v>
      </c>
      <c r="C56" s="13" t="s">
        <v>331</v>
      </c>
      <c r="D56" s="13" t="s">
        <v>331</v>
      </c>
      <c r="E56" s="13" t="s">
        <v>331</v>
      </c>
      <c r="F56" s="13" t="s">
        <v>331</v>
      </c>
      <c r="G56" s="13">
        <v>0</v>
      </c>
      <c r="H56" s="13">
        <v>0</v>
      </c>
      <c r="I56" s="13">
        <v>0</v>
      </c>
      <c r="J56" s="13">
        <v>0</v>
      </c>
      <c r="K56" s="13">
        <v>0</v>
      </c>
      <c r="L56" s="13">
        <v>0</v>
      </c>
      <c r="M56" s="13">
        <v>0</v>
      </c>
      <c r="N56" s="13">
        <v>0</v>
      </c>
      <c r="O56" s="13">
        <v>0</v>
      </c>
      <c r="P56" s="13">
        <v>0</v>
      </c>
      <c r="Q56" s="13">
        <v>0</v>
      </c>
      <c r="R56" s="13">
        <v>0</v>
      </c>
      <c r="S56" s="13">
        <v>0</v>
      </c>
      <c r="T56" s="13">
        <v>0</v>
      </c>
      <c r="U56" s="13">
        <v>0</v>
      </c>
      <c r="V56" s="13">
        <v>0</v>
      </c>
      <c r="W56" s="13">
        <v>0</v>
      </c>
      <c r="X56" s="13" t="s">
        <v>331</v>
      </c>
      <c r="Y56" s="13">
        <v>0</v>
      </c>
      <c r="Z56" s="13">
        <v>0</v>
      </c>
      <c r="AA56" s="8">
        <v>0</v>
      </c>
      <c r="AB56" s="8">
        <v>999999999</v>
      </c>
      <c r="AC56" s="8">
        <v>0</v>
      </c>
      <c r="AD56" s="8">
        <v>0</v>
      </c>
      <c r="AE56" s="8">
        <v>0</v>
      </c>
      <c r="AF56" s="8">
        <v>0</v>
      </c>
      <c r="AG56" s="8">
        <v>1</v>
      </c>
      <c r="AH56" s="8">
        <v>0</v>
      </c>
      <c r="AI56" s="8">
        <v>0</v>
      </c>
      <c r="AJ56" s="8">
        <v>0</v>
      </c>
      <c r="AK56" s="8">
        <v>0</v>
      </c>
      <c r="AL56" s="8">
        <v>0</v>
      </c>
      <c r="AM56" s="8">
        <v>0</v>
      </c>
      <c r="AN56" s="8">
        <v>0</v>
      </c>
      <c r="AO56" s="8">
        <v>0</v>
      </c>
      <c r="AP56" s="8">
        <v>0</v>
      </c>
      <c r="AQ56" s="8">
        <v>0</v>
      </c>
      <c r="AR56" s="8">
        <v>0</v>
      </c>
      <c r="AS56" s="8">
        <v>0</v>
      </c>
      <c r="AT56" s="8">
        <v>0</v>
      </c>
      <c r="AU56" s="8">
        <v>0</v>
      </c>
      <c r="AV56" s="8">
        <v>0</v>
      </c>
      <c r="AW56" s="8">
        <v>0</v>
      </c>
      <c r="AX56" s="8">
        <v>0</v>
      </c>
      <c r="AY56" s="8">
        <v>0</v>
      </c>
      <c r="AZ56" s="8">
        <v>0</v>
      </c>
      <c r="BA56" s="8">
        <v>0</v>
      </c>
      <c r="BB56" s="8">
        <v>0</v>
      </c>
      <c r="BC56" s="8">
        <v>0</v>
      </c>
      <c r="BD56" s="8">
        <v>0</v>
      </c>
      <c r="BE56" s="8">
        <v>0</v>
      </c>
      <c r="BF56" s="8">
        <v>0</v>
      </c>
      <c r="BG56" s="8">
        <v>0</v>
      </c>
      <c r="BH56" s="8">
        <v>0</v>
      </c>
      <c r="BI56" s="8">
        <v>0</v>
      </c>
      <c r="BJ56" s="8">
        <v>0</v>
      </c>
      <c r="BK56" s="8">
        <v>0</v>
      </c>
      <c r="BL56" s="8">
        <v>0</v>
      </c>
      <c r="BM56" s="8">
        <v>0</v>
      </c>
      <c r="BN56" s="8">
        <v>1</v>
      </c>
      <c r="BO56" s="8">
        <v>0</v>
      </c>
      <c r="BP56" s="8">
        <v>3</v>
      </c>
      <c r="BQ56" s="8">
        <v>0</v>
      </c>
      <c r="BR56" s="8">
        <v>0</v>
      </c>
      <c r="BS56" s="8">
        <v>0</v>
      </c>
      <c r="BT56" s="8">
        <v>1</v>
      </c>
      <c r="BU56" s="8">
        <v>0</v>
      </c>
      <c r="BV56" s="8">
        <v>0</v>
      </c>
      <c r="BW56" s="8">
        <v>1</v>
      </c>
      <c r="BX56" s="8">
        <v>0</v>
      </c>
      <c r="BY56" s="8">
        <v>0</v>
      </c>
      <c r="BZ56" s="8">
        <v>2</v>
      </c>
      <c r="CA56" s="8">
        <v>0</v>
      </c>
      <c r="CB56" s="8">
        <v>1</v>
      </c>
      <c r="CC56" s="8">
        <v>0</v>
      </c>
      <c r="NA56" s="13" t="s">
        <v>331</v>
      </c>
    </row>
    <row r="57" spans="1:365" x14ac:dyDescent="0.25">
      <c r="A57" s="11" t="s">
        <v>207</v>
      </c>
      <c r="B57" s="13" t="s">
        <v>331</v>
      </c>
      <c r="C57" s="13" t="s">
        <v>331</v>
      </c>
      <c r="D57" s="13" t="s">
        <v>331</v>
      </c>
      <c r="E57" s="13" t="s">
        <v>331</v>
      </c>
      <c r="F57" s="13" t="s">
        <v>331</v>
      </c>
      <c r="G57" s="13">
        <v>0</v>
      </c>
      <c r="H57" s="13">
        <v>0</v>
      </c>
      <c r="I57" s="13">
        <v>0</v>
      </c>
      <c r="J57" s="13">
        <v>0</v>
      </c>
      <c r="K57" s="13">
        <v>0</v>
      </c>
      <c r="L57" s="13">
        <v>0</v>
      </c>
      <c r="M57" s="13">
        <v>0</v>
      </c>
      <c r="N57" s="13">
        <v>0</v>
      </c>
      <c r="O57" s="13">
        <v>0</v>
      </c>
      <c r="P57" s="13">
        <v>0</v>
      </c>
      <c r="Q57" s="13">
        <v>0</v>
      </c>
      <c r="R57" s="13">
        <v>0</v>
      </c>
      <c r="S57" s="13">
        <v>0</v>
      </c>
      <c r="T57" s="13">
        <v>0</v>
      </c>
      <c r="U57" s="13">
        <v>0</v>
      </c>
      <c r="V57" s="13">
        <v>0</v>
      </c>
      <c r="W57" s="13">
        <v>0</v>
      </c>
      <c r="X57" s="13" t="s">
        <v>331</v>
      </c>
      <c r="Y57" s="13">
        <v>0</v>
      </c>
      <c r="Z57" s="13">
        <v>0</v>
      </c>
      <c r="AA57" s="8">
        <v>0</v>
      </c>
      <c r="AB57" s="8">
        <v>999999999</v>
      </c>
      <c r="AC57" s="8">
        <v>0</v>
      </c>
      <c r="AD57" s="8">
        <v>0</v>
      </c>
      <c r="AE57" s="8">
        <v>0</v>
      </c>
      <c r="AF57" s="8">
        <v>0</v>
      </c>
      <c r="AG57" s="8">
        <v>0</v>
      </c>
      <c r="AH57" s="8">
        <v>0</v>
      </c>
      <c r="AI57" s="8">
        <v>0</v>
      </c>
      <c r="AJ57" s="8">
        <v>0</v>
      </c>
      <c r="AK57" s="8">
        <v>0</v>
      </c>
      <c r="AL57" s="8">
        <v>0</v>
      </c>
      <c r="AM57" s="8">
        <v>0</v>
      </c>
      <c r="AN57" s="8">
        <v>0</v>
      </c>
      <c r="AO57" s="8">
        <v>0</v>
      </c>
      <c r="AP57" s="8">
        <v>0</v>
      </c>
      <c r="AQ57" s="8">
        <v>0</v>
      </c>
      <c r="AR57" s="8">
        <v>0</v>
      </c>
      <c r="AS57" s="8">
        <v>0</v>
      </c>
      <c r="AT57" s="8">
        <v>0</v>
      </c>
      <c r="AU57" s="8">
        <v>0</v>
      </c>
      <c r="AV57" s="8">
        <v>0</v>
      </c>
      <c r="AW57" s="8">
        <v>0</v>
      </c>
      <c r="AX57" s="8">
        <v>0</v>
      </c>
      <c r="AY57" s="8">
        <v>0</v>
      </c>
      <c r="AZ57" s="8">
        <v>0</v>
      </c>
      <c r="BA57" s="8">
        <v>0</v>
      </c>
      <c r="BB57" s="8">
        <v>0</v>
      </c>
      <c r="BC57" s="8">
        <v>0</v>
      </c>
      <c r="BD57" s="8">
        <v>0</v>
      </c>
      <c r="BE57" s="8">
        <v>0</v>
      </c>
      <c r="BF57" s="8">
        <v>0</v>
      </c>
      <c r="BG57" s="8">
        <v>0</v>
      </c>
      <c r="BH57" s="8">
        <v>0</v>
      </c>
      <c r="BI57" s="8">
        <v>0</v>
      </c>
      <c r="BJ57" s="8">
        <v>0</v>
      </c>
      <c r="BK57" s="8">
        <v>0</v>
      </c>
      <c r="BL57" s="8">
        <v>0</v>
      </c>
      <c r="BM57" s="8">
        <v>0</v>
      </c>
      <c r="BN57" s="8">
        <v>0</v>
      </c>
      <c r="BO57" s="8">
        <v>0</v>
      </c>
      <c r="BP57" s="8">
        <v>0</v>
      </c>
      <c r="BQ57" s="8">
        <v>0</v>
      </c>
      <c r="BR57" s="8">
        <v>0</v>
      </c>
      <c r="BS57" s="8">
        <v>0</v>
      </c>
      <c r="BT57" s="8">
        <v>0</v>
      </c>
      <c r="BU57" s="8">
        <v>0</v>
      </c>
      <c r="BV57" s="8">
        <v>0</v>
      </c>
      <c r="BW57" s="8">
        <v>1</v>
      </c>
      <c r="BX57" s="8">
        <v>0</v>
      </c>
      <c r="BY57" s="8">
        <v>1</v>
      </c>
      <c r="BZ57" s="8">
        <v>0</v>
      </c>
      <c r="CA57" s="8">
        <v>0</v>
      </c>
      <c r="CB57" s="8">
        <v>0</v>
      </c>
      <c r="CC57" s="8">
        <v>1</v>
      </c>
      <c r="NA57" s="13" t="s">
        <v>331</v>
      </c>
    </row>
    <row r="58" spans="1:365" x14ac:dyDescent="0.25">
      <c r="A58" s="11" t="s">
        <v>208</v>
      </c>
      <c r="B58" s="13" t="s">
        <v>331</v>
      </c>
      <c r="C58" s="13" t="s">
        <v>331</v>
      </c>
      <c r="D58" s="13" t="s">
        <v>331</v>
      </c>
      <c r="E58" s="13" t="s">
        <v>331</v>
      </c>
      <c r="F58" s="13" t="s">
        <v>331</v>
      </c>
      <c r="G58" s="13">
        <v>0</v>
      </c>
      <c r="H58" s="13">
        <v>0</v>
      </c>
      <c r="I58" s="13">
        <v>0</v>
      </c>
      <c r="J58" s="13">
        <v>0</v>
      </c>
      <c r="K58" s="13">
        <v>0</v>
      </c>
      <c r="L58" s="13">
        <v>0</v>
      </c>
      <c r="M58" s="13">
        <v>0</v>
      </c>
      <c r="N58" s="13">
        <v>0</v>
      </c>
      <c r="O58" s="13">
        <v>0</v>
      </c>
      <c r="P58" s="13">
        <v>0</v>
      </c>
      <c r="Q58" s="13">
        <v>0</v>
      </c>
      <c r="R58" s="13">
        <v>0</v>
      </c>
      <c r="S58" s="13">
        <v>0</v>
      </c>
      <c r="T58" s="13">
        <v>0</v>
      </c>
      <c r="U58" s="13">
        <v>0</v>
      </c>
      <c r="V58" s="13">
        <v>0</v>
      </c>
      <c r="W58" s="13">
        <v>0</v>
      </c>
      <c r="X58" s="13" t="s">
        <v>331</v>
      </c>
      <c r="Y58" s="13">
        <v>0</v>
      </c>
      <c r="Z58" s="13">
        <v>0</v>
      </c>
      <c r="AA58" s="8">
        <v>0</v>
      </c>
      <c r="AB58" s="8">
        <v>999999999</v>
      </c>
      <c r="AC58" s="8">
        <v>0</v>
      </c>
      <c r="AD58" s="8">
        <v>0</v>
      </c>
      <c r="AE58" s="8">
        <v>0</v>
      </c>
      <c r="AF58" s="8">
        <v>0</v>
      </c>
      <c r="AG58" s="8">
        <v>0</v>
      </c>
      <c r="AH58" s="8">
        <v>0</v>
      </c>
      <c r="AI58" s="8">
        <v>0</v>
      </c>
      <c r="AJ58" s="8">
        <v>0</v>
      </c>
      <c r="AK58" s="8">
        <v>0</v>
      </c>
      <c r="AL58" s="8">
        <v>0</v>
      </c>
      <c r="AM58" s="8">
        <v>0</v>
      </c>
      <c r="AN58" s="8">
        <v>0</v>
      </c>
      <c r="AO58" s="8">
        <v>0</v>
      </c>
      <c r="AP58" s="8">
        <v>0</v>
      </c>
      <c r="AQ58" s="8">
        <v>0</v>
      </c>
      <c r="AR58" s="8">
        <v>0</v>
      </c>
      <c r="AS58" s="8">
        <v>0</v>
      </c>
      <c r="AT58" s="8">
        <v>0</v>
      </c>
      <c r="AU58" s="8">
        <v>0</v>
      </c>
      <c r="AV58" s="8">
        <v>0</v>
      </c>
      <c r="AW58" s="8">
        <v>0</v>
      </c>
      <c r="AX58" s="8">
        <v>0</v>
      </c>
      <c r="AY58" s="8">
        <v>0</v>
      </c>
      <c r="AZ58" s="8">
        <v>0</v>
      </c>
      <c r="BA58" s="8">
        <v>0</v>
      </c>
      <c r="BB58" s="8">
        <v>1</v>
      </c>
      <c r="BC58" s="8">
        <v>0</v>
      </c>
      <c r="BD58" s="8">
        <v>0</v>
      </c>
      <c r="BE58" s="8">
        <v>0</v>
      </c>
      <c r="BF58" s="8">
        <v>0</v>
      </c>
      <c r="BG58" s="8">
        <v>0</v>
      </c>
      <c r="BH58" s="8">
        <v>1</v>
      </c>
      <c r="BI58" s="8">
        <v>0</v>
      </c>
      <c r="BJ58" s="8">
        <v>0</v>
      </c>
      <c r="BK58" s="8">
        <v>0</v>
      </c>
      <c r="BL58" s="8">
        <v>0</v>
      </c>
      <c r="BM58" s="8">
        <v>0</v>
      </c>
      <c r="BN58" s="8">
        <v>1</v>
      </c>
      <c r="BO58" s="8">
        <v>0</v>
      </c>
      <c r="BP58" s="8">
        <v>0</v>
      </c>
      <c r="BQ58" s="8">
        <v>0</v>
      </c>
      <c r="BR58" s="8">
        <v>0</v>
      </c>
      <c r="BS58" s="8">
        <v>0</v>
      </c>
      <c r="BT58" s="8">
        <v>0</v>
      </c>
      <c r="BU58" s="8">
        <v>0</v>
      </c>
      <c r="BV58" s="8">
        <v>0</v>
      </c>
      <c r="BW58" s="8">
        <v>0</v>
      </c>
      <c r="BX58" s="8">
        <v>0</v>
      </c>
      <c r="BY58" s="8">
        <v>0</v>
      </c>
      <c r="BZ58" s="8">
        <v>1</v>
      </c>
      <c r="CA58" s="8">
        <v>0</v>
      </c>
      <c r="CB58" s="8">
        <v>0</v>
      </c>
      <c r="CC58" s="8">
        <v>0</v>
      </c>
      <c r="NA58" s="13" t="s">
        <v>331</v>
      </c>
    </row>
    <row r="59" spans="1:365" x14ac:dyDescent="0.25">
      <c r="A59" s="11" t="s">
        <v>209</v>
      </c>
      <c r="B59" s="13">
        <v>2</v>
      </c>
      <c r="C59" s="13">
        <v>4</v>
      </c>
      <c r="D59" s="13">
        <v>0</v>
      </c>
      <c r="E59" s="13">
        <v>0</v>
      </c>
      <c r="F59" s="13">
        <v>1</v>
      </c>
      <c r="G59" s="13">
        <v>0</v>
      </c>
      <c r="H59" s="13">
        <v>1</v>
      </c>
      <c r="I59" s="13">
        <v>1</v>
      </c>
      <c r="J59" s="13">
        <v>0</v>
      </c>
      <c r="K59" s="13">
        <v>0</v>
      </c>
      <c r="L59" s="13">
        <v>1</v>
      </c>
      <c r="M59" s="13">
        <v>0</v>
      </c>
      <c r="N59" s="13">
        <v>0</v>
      </c>
      <c r="O59" s="13">
        <v>2</v>
      </c>
      <c r="P59" s="13">
        <v>1</v>
      </c>
      <c r="Q59" s="13">
        <v>0</v>
      </c>
      <c r="R59" s="13">
        <v>0</v>
      </c>
      <c r="S59" s="13">
        <v>0</v>
      </c>
      <c r="T59" s="13">
        <v>0</v>
      </c>
      <c r="U59" s="13">
        <v>0</v>
      </c>
      <c r="V59" s="13">
        <v>0</v>
      </c>
      <c r="W59" s="13">
        <v>0</v>
      </c>
      <c r="X59" s="13">
        <v>4</v>
      </c>
      <c r="Y59" s="13">
        <v>0</v>
      </c>
      <c r="Z59" s="13">
        <v>0</v>
      </c>
      <c r="AA59" s="8">
        <v>0</v>
      </c>
      <c r="AB59" s="8">
        <v>1</v>
      </c>
      <c r="AC59" s="8">
        <v>0</v>
      </c>
      <c r="AD59" s="8">
        <v>0</v>
      </c>
      <c r="AE59" s="8">
        <v>2</v>
      </c>
      <c r="AF59" s="8">
        <v>1</v>
      </c>
      <c r="AG59" s="8">
        <v>1</v>
      </c>
      <c r="AH59" s="8">
        <v>0</v>
      </c>
      <c r="AI59" s="8">
        <v>0</v>
      </c>
      <c r="AJ59" s="8">
        <v>0</v>
      </c>
      <c r="AK59" s="8">
        <v>0</v>
      </c>
      <c r="AL59" s="8">
        <v>0</v>
      </c>
      <c r="AM59" s="8">
        <v>0</v>
      </c>
      <c r="AN59" s="8">
        <v>0</v>
      </c>
      <c r="AO59" s="8">
        <v>1</v>
      </c>
      <c r="AP59" s="8">
        <v>1</v>
      </c>
      <c r="AQ59" s="8">
        <v>0</v>
      </c>
      <c r="AR59" s="8">
        <v>0</v>
      </c>
      <c r="AS59" s="8">
        <v>0</v>
      </c>
      <c r="AT59" s="8">
        <v>0</v>
      </c>
      <c r="AU59" s="8">
        <v>1</v>
      </c>
      <c r="AV59" s="8">
        <v>0</v>
      </c>
      <c r="AW59" s="8">
        <v>0</v>
      </c>
      <c r="AX59" s="8">
        <v>0</v>
      </c>
      <c r="AY59" s="8">
        <v>0</v>
      </c>
      <c r="AZ59" s="8">
        <v>2</v>
      </c>
      <c r="BA59" s="8">
        <v>1</v>
      </c>
      <c r="BB59" s="8">
        <v>3</v>
      </c>
      <c r="BC59" s="8">
        <v>0</v>
      </c>
      <c r="BD59" s="8">
        <v>1</v>
      </c>
      <c r="BE59" s="8">
        <v>0</v>
      </c>
      <c r="BF59" s="8">
        <v>7</v>
      </c>
      <c r="BG59" s="8">
        <v>1</v>
      </c>
      <c r="BH59" s="8">
        <v>1</v>
      </c>
      <c r="BI59" s="8">
        <v>3</v>
      </c>
      <c r="BJ59" s="8">
        <v>5</v>
      </c>
      <c r="BK59" s="8">
        <v>1</v>
      </c>
      <c r="BL59" s="8">
        <v>4</v>
      </c>
      <c r="BM59" s="8">
        <v>4</v>
      </c>
      <c r="BN59" s="8">
        <v>4</v>
      </c>
      <c r="BO59" s="8">
        <v>0</v>
      </c>
      <c r="BP59" s="8">
        <v>10</v>
      </c>
      <c r="BQ59" s="8">
        <v>1</v>
      </c>
      <c r="BR59" s="8">
        <v>6</v>
      </c>
      <c r="BS59" s="8">
        <v>7</v>
      </c>
      <c r="BT59" s="8">
        <v>6</v>
      </c>
      <c r="BU59" s="8">
        <v>11</v>
      </c>
      <c r="BV59" s="8">
        <v>11</v>
      </c>
      <c r="BW59" s="8">
        <v>13</v>
      </c>
      <c r="BX59" s="8">
        <v>7</v>
      </c>
      <c r="BY59" s="8">
        <v>12</v>
      </c>
      <c r="BZ59" s="8">
        <v>5</v>
      </c>
      <c r="CA59" s="8">
        <v>7</v>
      </c>
      <c r="CB59" s="8">
        <v>8</v>
      </c>
      <c r="CC59" s="8">
        <v>19</v>
      </c>
      <c r="NA59" s="13"/>
    </row>
    <row r="60" spans="1:365" x14ac:dyDescent="0.25">
      <c r="A60" s="11" t="s">
        <v>210</v>
      </c>
      <c r="B60" s="13">
        <v>321</v>
      </c>
      <c r="C60" s="13">
        <v>358</v>
      </c>
      <c r="D60" s="13">
        <v>293</v>
      </c>
      <c r="E60" s="13">
        <v>116</v>
      </c>
      <c r="F60" s="13">
        <v>174</v>
      </c>
      <c r="G60" s="13">
        <v>220</v>
      </c>
      <c r="H60" s="13">
        <v>170</v>
      </c>
      <c r="I60" s="13">
        <v>159</v>
      </c>
      <c r="J60" s="13">
        <v>93</v>
      </c>
      <c r="K60" s="13">
        <v>43</v>
      </c>
      <c r="L60" s="13">
        <v>75</v>
      </c>
      <c r="M60" s="13">
        <v>39</v>
      </c>
      <c r="N60" s="13">
        <v>59</v>
      </c>
      <c r="O60" s="13">
        <v>32</v>
      </c>
      <c r="P60" s="13">
        <v>41</v>
      </c>
      <c r="Q60" s="13">
        <v>34</v>
      </c>
      <c r="R60" s="13">
        <v>43</v>
      </c>
      <c r="S60" s="13">
        <v>76</v>
      </c>
      <c r="T60" s="13">
        <v>86</v>
      </c>
      <c r="U60" s="13">
        <v>104</v>
      </c>
      <c r="V60" s="13">
        <v>34</v>
      </c>
      <c r="W60" s="13">
        <v>28</v>
      </c>
      <c r="X60" s="13">
        <v>32</v>
      </c>
      <c r="Y60" s="13">
        <v>23</v>
      </c>
      <c r="Z60" s="13">
        <v>16</v>
      </c>
      <c r="AA60" s="8">
        <v>37</v>
      </c>
      <c r="AB60" s="8">
        <v>67</v>
      </c>
      <c r="AC60" s="8">
        <v>47</v>
      </c>
      <c r="AD60" s="8">
        <v>42</v>
      </c>
      <c r="AE60" s="8">
        <v>134</v>
      </c>
      <c r="AF60" s="8">
        <v>173</v>
      </c>
      <c r="AG60" s="8">
        <v>139</v>
      </c>
      <c r="AH60" s="8">
        <v>168</v>
      </c>
      <c r="AI60" s="8">
        <v>200</v>
      </c>
      <c r="AJ60" s="8">
        <v>129</v>
      </c>
      <c r="AK60" s="8">
        <v>102</v>
      </c>
      <c r="AL60" s="8">
        <v>90</v>
      </c>
      <c r="AM60" s="8">
        <v>53</v>
      </c>
      <c r="AN60" s="8">
        <v>71</v>
      </c>
      <c r="AO60" s="8">
        <v>91</v>
      </c>
      <c r="AP60" s="8">
        <v>98</v>
      </c>
      <c r="AQ60" s="8">
        <v>95</v>
      </c>
      <c r="AR60" s="8">
        <v>89</v>
      </c>
      <c r="AS60" s="8">
        <v>83</v>
      </c>
      <c r="AT60" s="8">
        <v>101</v>
      </c>
      <c r="AU60" s="8">
        <v>65</v>
      </c>
      <c r="AV60" s="8">
        <v>103</v>
      </c>
      <c r="AW60" s="8">
        <v>60</v>
      </c>
      <c r="AX60" s="8">
        <v>49</v>
      </c>
      <c r="AY60" s="8">
        <v>52</v>
      </c>
      <c r="AZ60" s="8">
        <v>24</v>
      </c>
      <c r="BA60" s="8">
        <v>128</v>
      </c>
      <c r="BB60" s="8">
        <v>66</v>
      </c>
      <c r="BC60" s="8">
        <v>67</v>
      </c>
      <c r="BD60" s="8">
        <v>48</v>
      </c>
      <c r="BE60" s="8">
        <v>49</v>
      </c>
      <c r="BF60" s="8">
        <v>28</v>
      </c>
      <c r="BG60" s="8">
        <v>35</v>
      </c>
      <c r="BH60" s="8">
        <v>60</v>
      </c>
      <c r="BI60" s="8">
        <v>26</v>
      </c>
      <c r="BJ60" s="8">
        <v>77</v>
      </c>
      <c r="BK60" s="8">
        <v>39</v>
      </c>
      <c r="BL60" s="8">
        <v>57</v>
      </c>
      <c r="BM60" s="8">
        <v>26</v>
      </c>
      <c r="BN60" s="8">
        <v>20</v>
      </c>
      <c r="BO60" s="8">
        <v>21</v>
      </c>
      <c r="BP60" s="8">
        <v>46</v>
      </c>
      <c r="BQ60" s="8">
        <v>45</v>
      </c>
      <c r="BR60" s="8">
        <v>17</v>
      </c>
      <c r="BS60" s="8">
        <v>60</v>
      </c>
      <c r="BT60" s="8">
        <v>8</v>
      </c>
      <c r="BU60" s="8">
        <v>17</v>
      </c>
      <c r="BV60" s="8">
        <v>1</v>
      </c>
      <c r="BW60" s="8">
        <v>2</v>
      </c>
      <c r="BX60" s="8">
        <v>6</v>
      </c>
      <c r="BY60" s="8">
        <v>7</v>
      </c>
      <c r="BZ60" s="8">
        <v>4</v>
      </c>
      <c r="CA60" s="8">
        <v>3</v>
      </c>
      <c r="CB60" s="8">
        <v>7</v>
      </c>
      <c r="CC60" s="8">
        <v>3</v>
      </c>
      <c r="NA60" s="13"/>
    </row>
    <row r="61" spans="1:365" x14ac:dyDescent="0.25">
      <c r="A61" s="11" t="s">
        <v>211</v>
      </c>
      <c r="B61" s="13">
        <v>86924</v>
      </c>
      <c r="C61" s="13">
        <v>104413</v>
      </c>
      <c r="D61" s="13">
        <v>113147</v>
      </c>
      <c r="E61" s="13">
        <v>100344</v>
      </c>
      <c r="F61" s="13">
        <v>95674</v>
      </c>
      <c r="G61" s="13">
        <v>92530</v>
      </c>
      <c r="H61" s="13">
        <v>90639</v>
      </c>
      <c r="I61" s="13">
        <v>90422</v>
      </c>
      <c r="J61" s="13">
        <v>90913</v>
      </c>
      <c r="K61" s="13">
        <v>92315</v>
      </c>
      <c r="L61" s="13">
        <v>92539</v>
      </c>
      <c r="M61" s="13">
        <v>95313</v>
      </c>
      <c r="N61" s="13">
        <v>97977</v>
      </c>
      <c r="O61" s="13">
        <v>99481</v>
      </c>
      <c r="P61" s="13">
        <v>99251</v>
      </c>
      <c r="Q61" s="13">
        <v>101292</v>
      </c>
      <c r="R61" s="13">
        <v>101169</v>
      </c>
      <c r="S61" s="13">
        <v>104334</v>
      </c>
      <c r="T61" s="13">
        <v>102691</v>
      </c>
      <c r="U61" s="13">
        <v>104355</v>
      </c>
      <c r="V61" s="13">
        <v>100660</v>
      </c>
      <c r="W61" s="13">
        <v>96536</v>
      </c>
      <c r="X61" s="13">
        <v>96221</v>
      </c>
      <c r="Y61" s="13">
        <v>94786</v>
      </c>
      <c r="Z61" s="13">
        <v>90290</v>
      </c>
      <c r="AA61" s="8">
        <v>87335</v>
      </c>
      <c r="AB61" s="8">
        <v>86728</v>
      </c>
      <c r="AC61" s="8">
        <v>78550</v>
      </c>
      <c r="AD61" s="8">
        <v>74392</v>
      </c>
      <c r="AE61" s="8">
        <v>70092</v>
      </c>
      <c r="AF61" s="8">
        <v>67943</v>
      </c>
      <c r="AG61" s="8">
        <v>64895</v>
      </c>
      <c r="AH61" s="8">
        <v>62342</v>
      </c>
      <c r="AI61" s="8">
        <v>64294</v>
      </c>
      <c r="AJ61" s="8">
        <v>68366</v>
      </c>
      <c r="AK61" s="8">
        <v>68890</v>
      </c>
      <c r="AL61" s="8">
        <v>69054</v>
      </c>
      <c r="AM61" s="8">
        <v>66196</v>
      </c>
      <c r="AN61" s="8">
        <v>65078</v>
      </c>
      <c r="AO61" s="8">
        <v>65106</v>
      </c>
      <c r="AP61" s="8">
        <v>66676</v>
      </c>
      <c r="AQ61" s="8">
        <v>65812</v>
      </c>
      <c r="AR61" s="8">
        <v>66241</v>
      </c>
      <c r="AS61" s="8">
        <v>66212</v>
      </c>
      <c r="AT61" s="8">
        <v>63480</v>
      </c>
      <c r="AU61" s="8">
        <v>65973</v>
      </c>
      <c r="AV61" s="8">
        <v>67024</v>
      </c>
      <c r="AW61" s="8">
        <v>65789</v>
      </c>
      <c r="AX61" s="8">
        <v>63337</v>
      </c>
      <c r="AY61" s="8">
        <v>61656</v>
      </c>
      <c r="AZ61" s="8">
        <v>60051</v>
      </c>
      <c r="BA61" s="8">
        <v>59296</v>
      </c>
      <c r="BB61" s="8">
        <v>59440</v>
      </c>
      <c r="BC61" s="8">
        <v>57319</v>
      </c>
      <c r="BD61" s="8">
        <v>55147</v>
      </c>
      <c r="BE61" s="8">
        <v>53076</v>
      </c>
      <c r="BF61" s="8">
        <v>52527</v>
      </c>
      <c r="BG61" s="8">
        <v>51270</v>
      </c>
      <c r="BH61" s="8">
        <v>52432</v>
      </c>
      <c r="BI61" s="8">
        <v>53957</v>
      </c>
      <c r="BJ61" s="8">
        <v>54386</v>
      </c>
      <c r="BK61" s="8">
        <v>55690</v>
      </c>
      <c r="BL61" s="8">
        <v>57781</v>
      </c>
      <c r="BM61" s="8">
        <v>60041</v>
      </c>
      <c r="BN61" s="8">
        <v>59046</v>
      </c>
      <c r="BO61" s="8">
        <v>58791</v>
      </c>
      <c r="BP61" s="8">
        <v>58590</v>
      </c>
      <c r="BQ61" s="8">
        <v>58027</v>
      </c>
      <c r="BR61" s="8">
        <v>56014</v>
      </c>
      <c r="BS61" s="8">
        <v>56725</v>
      </c>
      <c r="BT61" s="8">
        <v>55098</v>
      </c>
      <c r="BU61" s="8">
        <v>54488</v>
      </c>
      <c r="BV61" s="8">
        <v>52861</v>
      </c>
      <c r="BW61" s="8">
        <v>51308</v>
      </c>
      <c r="BX61" s="8">
        <v>49863</v>
      </c>
      <c r="BY61" s="8">
        <v>46809</v>
      </c>
      <c r="BZ61" s="8">
        <v>47786</v>
      </c>
      <c r="CA61" s="8">
        <v>46959</v>
      </c>
      <c r="CB61" s="8">
        <v>45935</v>
      </c>
      <c r="CC61" s="8">
        <v>45763</v>
      </c>
      <c r="NA61" s="13"/>
    </row>
  </sheetData>
  <pageMargins left="0.7" right="0.7" top="0.75" bottom="0.75" header="0.3" footer="0.3"/>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75"/>
  <sheetViews>
    <sheetView workbookViewId="0"/>
  </sheetViews>
  <sheetFormatPr defaultColWidth="11.6328125" defaultRowHeight="15" x14ac:dyDescent="0.25"/>
  <cols>
    <col min="1" max="1" width="11.7265625" customWidth="1"/>
    <col min="2" max="14" width="10.6328125" bestFit="1" customWidth="1"/>
  </cols>
  <sheetData>
    <row r="1" spans="1:14" ht="21" x14ac:dyDescent="0.4">
      <c r="A1" s="5" t="s">
        <v>332</v>
      </c>
    </row>
    <row r="2" spans="1:14" x14ac:dyDescent="0.25">
      <c r="A2" t="s">
        <v>29</v>
      </c>
    </row>
    <row r="3" spans="1:14" x14ac:dyDescent="0.25">
      <c r="A3" s="16" t="str">
        <f>HYPERLINK("#'Contents'!A1", "back to contents")</f>
        <v>back to contents</v>
      </c>
    </row>
    <row r="4" spans="1:14" ht="15.6" x14ac:dyDescent="0.3">
      <c r="A4" s="10" t="s">
        <v>69</v>
      </c>
      <c r="B4" s="12" t="s">
        <v>212</v>
      </c>
      <c r="C4" s="12" t="s">
        <v>213</v>
      </c>
      <c r="D4" s="12" t="s">
        <v>214</v>
      </c>
      <c r="E4" s="12" t="s">
        <v>215</v>
      </c>
      <c r="F4" s="12" t="s">
        <v>216</v>
      </c>
      <c r="G4" s="12" t="s">
        <v>217</v>
      </c>
      <c r="H4" s="12" t="s">
        <v>218</v>
      </c>
      <c r="I4" s="12" t="s">
        <v>219</v>
      </c>
      <c r="J4" s="12" t="s">
        <v>220</v>
      </c>
      <c r="K4" s="12" t="s">
        <v>221</v>
      </c>
      <c r="L4" s="12" t="s">
        <v>222</v>
      </c>
      <c r="M4" s="12" t="s">
        <v>223</v>
      </c>
      <c r="N4" s="12" t="s">
        <v>224</v>
      </c>
    </row>
    <row r="5" spans="1:14" x14ac:dyDescent="0.25">
      <c r="A5" s="11" t="s">
        <v>85</v>
      </c>
      <c r="B5" s="13">
        <v>92315</v>
      </c>
      <c r="C5" s="13">
        <v>7716</v>
      </c>
      <c r="D5" s="13">
        <v>7161</v>
      </c>
      <c r="E5" s="13">
        <v>8579</v>
      </c>
      <c r="F5" s="13">
        <v>8084</v>
      </c>
      <c r="G5" s="13">
        <v>8304</v>
      </c>
      <c r="H5" s="13">
        <v>7709</v>
      </c>
      <c r="I5" s="13">
        <v>8173</v>
      </c>
      <c r="J5" s="13">
        <v>7557</v>
      </c>
      <c r="K5" s="13">
        <v>7093</v>
      </c>
      <c r="L5" s="13">
        <v>7532</v>
      </c>
      <c r="M5" s="13">
        <v>6925</v>
      </c>
      <c r="N5" s="13">
        <v>7482</v>
      </c>
    </row>
    <row r="6" spans="1:14" x14ac:dyDescent="0.25">
      <c r="A6" s="11" t="s">
        <v>86</v>
      </c>
      <c r="B6" s="13">
        <v>92539</v>
      </c>
      <c r="C6" s="13">
        <v>7849</v>
      </c>
      <c r="D6" s="13">
        <v>7007</v>
      </c>
      <c r="E6" s="13">
        <v>8255</v>
      </c>
      <c r="F6" s="13">
        <v>8152</v>
      </c>
      <c r="G6" s="13">
        <v>8029</v>
      </c>
      <c r="H6" s="13">
        <v>7761</v>
      </c>
      <c r="I6" s="13">
        <v>7783</v>
      </c>
      <c r="J6" s="13">
        <v>7718</v>
      </c>
      <c r="K6" s="13">
        <v>7233</v>
      </c>
      <c r="L6" s="13">
        <v>7900</v>
      </c>
      <c r="M6" s="13">
        <v>7119</v>
      </c>
      <c r="N6" s="13">
        <v>7733</v>
      </c>
    </row>
    <row r="7" spans="1:14" x14ac:dyDescent="0.25">
      <c r="A7" s="11" t="s">
        <v>87</v>
      </c>
      <c r="B7" s="13">
        <v>95313</v>
      </c>
      <c r="C7" s="13">
        <v>8223</v>
      </c>
      <c r="D7" s="13">
        <v>7627</v>
      </c>
      <c r="E7" s="13">
        <v>8744</v>
      </c>
      <c r="F7" s="13">
        <v>8242</v>
      </c>
      <c r="G7" s="13">
        <v>8730</v>
      </c>
      <c r="H7" s="13">
        <v>7917</v>
      </c>
      <c r="I7" s="13">
        <v>7862</v>
      </c>
      <c r="J7" s="13">
        <v>7693</v>
      </c>
      <c r="K7" s="13">
        <v>7099</v>
      </c>
      <c r="L7" s="13">
        <v>8129</v>
      </c>
      <c r="M7" s="13">
        <v>7222</v>
      </c>
      <c r="N7" s="13">
        <v>7825</v>
      </c>
    </row>
    <row r="8" spans="1:14" x14ac:dyDescent="0.25">
      <c r="A8" s="11" t="s">
        <v>88</v>
      </c>
      <c r="B8" s="13">
        <v>97977</v>
      </c>
      <c r="C8" s="13">
        <v>8476</v>
      </c>
      <c r="D8" s="13">
        <v>7775</v>
      </c>
      <c r="E8" s="13">
        <v>8508</v>
      </c>
      <c r="F8" s="13">
        <v>8481</v>
      </c>
      <c r="G8" s="13">
        <v>8620</v>
      </c>
      <c r="H8" s="13">
        <v>7873</v>
      </c>
      <c r="I8" s="13">
        <v>8383</v>
      </c>
      <c r="J8" s="13">
        <v>8309</v>
      </c>
      <c r="K8" s="13">
        <v>7408</v>
      </c>
      <c r="L8" s="13">
        <v>8606</v>
      </c>
      <c r="M8" s="13">
        <v>7693</v>
      </c>
      <c r="N8" s="13">
        <v>7845</v>
      </c>
    </row>
    <row r="9" spans="1:14" x14ac:dyDescent="0.25">
      <c r="A9" s="11" t="s">
        <v>89</v>
      </c>
      <c r="B9" s="13">
        <v>99481</v>
      </c>
      <c r="C9" s="13">
        <v>8642</v>
      </c>
      <c r="D9" s="13">
        <v>7768</v>
      </c>
      <c r="E9" s="13">
        <v>8690</v>
      </c>
      <c r="F9" s="13">
        <v>8783</v>
      </c>
      <c r="G9" s="13">
        <v>9037</v>
      </c>
      <c r="H9" s="13">
        <v>7768</v>
      </c>
      <c r="I9" s="13">
        <v>7821</v>
      </c>
      <c r="J9" s="13">
        <v>7709</v>
      </c>
      <c r="K9" s="13">
        <v>8005</v>
      </c>
      <c r="L9" s="13">
        <v>8941</v>
      </c>
      <c r="M9" s="13">
        <v>7761</v>
      </c>
      <c r="N9" s="13">
        <v>8556</v>
      </c>
    </row>
    <row r="10" spans="1:14" x14ac:dyDescent="0.25">
      <c r="A10" s="11" t="s">
        <v>90</v>
      </c>
      <c r="B10" s="13">
        <v>99251</v>
      </c>
      <c r="C10" s="13">
        <v>8932</v>
      </c>
      <c r="D10" s="13">
        <v>7813</v>
      </c>
      <c r="E10" s="13">
        <v>8733</v>
      </c>
      <c r="F10" s="13">
        <v>8569</v>
      </c>
      <c r="G10" s="13">
        <v>8799</v>
      </c>
      <c r="H10" s="13">
        <v>8488</v>
      </c>
      <c r="I10" s="13">
        <v>8587</v>
      </c>
      <c r="J10" s="13">
        <v>8076</v>
      </c>
      <c r="K10" s="13">
        <v>7699</v>
      </c>
      <c r="L10" s="13">
        <v>8699</v>
      </c>
      <c r="M10" s="13">
        <v>7174</v>
      </c>
      <c r="N10" s="13">
        <v>7682</v>
      </c>
    </row>
    <row r="11" spans="1:14" x14ac:dyDescent="0.25">
      <c r="A11" s="11" t="s">
        <v>91</v>
      </c>
      <c r="B11" s="13">
        <v>101292</v>
      </c>
      <c r="C11" s="13">
        <v>8105</v>
      </c>
      <c r="D11" s="13">
        <v>8170</v>
      </c>
      <c r="E11" s="13">
        <v>8955</v>
      </c>
      <c r="F11" s="13">
        <v>8721</v>
      </c>
      <c r="G11" s="13">
        <v>8972</v>
      </c>
      <c r="H11" s="13">
        <v>8483</v>
      </c>
      <c r="I11" s="13">
        <v>8483</v>
      </c>
      <c r="J11" s="13">
        <v>8554</v>
      </c>
      <c r="K11" s="13">
        <v>8018</v>
      </c>
      <c r="L11" s="13">
        <v>8674</v>
      </c>
      <c r="M11" s="13">
        <v>7886</v>
      </c>
      <c r="N11" s="13">
        <v>8271</v>
      </c>
    </row>
    <row r="12" spans="1:14" x14ac:dyDescent="0.25">
      <c r="A12" s="11" t="s">
        <v>92</v>
      </c>
      <c r="B12" s="13">
        <v>101169</v>
      </c>
      <c r="C12" s="13">
        <v>8567</v>
      </c>
      <c r="D12" s="13">
        <v>7975</v>
      </c>
      <c r="E12" s="13">
        <v>9056</v>
      </c>
      <c r="F12" s="13">
        <v>8458</v>
      </c>
      <c r="G12" s="13">
        <v>9070</v>
      </c>
      <c r="H12" s="13">
        <v>8367</v>
      </c>
      <c r="I12" s="13">
        <v>8426</v>
      </c>
      <c r="J12" s="13">
        <v>8469</v>
      </c>
      <c r="K12" s="13">
        <v>8218</v>
      </c>
      <c r="L12" s="13">
        <v>8750</v>
      </c>
      <c r="M12" s="13">
        <v>7822</v>
      </c>
      <c r="N12" s="13">
        <v>7991</v>
      </c>
    </row>
    <row r="13" spans="1:14" x14ac:dyDescent="0.25">
      <c r="A13" s="11" t="s">
        <v>93</v>
      </c>
      <c r="B13" s="13">
        <v>104334</v>
      </c>
      <c r="C13" s="13">
        <v>9065</v>
      </c>
      <c r="D13" s="13">
        <v>7944</v>
      </c>
      <c r="E13" s="13">
        <v>9477</v>
      </c>
      <c r="F13" s="13">
        <v>8549</v>
      </c>
      <c r="G13" s="13">
        <v>9369</v>
      </c>
      <c r="H13" s="13">
        <v>8999</v>
      </c>
      <c r="I13" s="13">
        <v>8780</v>
      </c>
      <c r="J13" s="13">
        <v>8572</v>
      </c>
      <c r="K13" s="13">
        <v>8021</v>
      </c>
      <c r="L13" s="13">
        <v>9372</v>
      </c>
      <c r="M13" s="13">
        <v>8045</v>
      </c>
      <c r="N13" s="13">
        <v>8141</v>
      </c>
    </row>
    <row r="14" spans="1:14" x14ac:dyDescent="0.25">
      <c r="A14" s="11" t="s">
        <v>94</v>
      </c>
      <c r="B14" s="13">
        <v>102691</v>
      </c>
      <c r="C14" s="13">
        <v>8850</v>
      </c>
      <c r="D14" s="13">
        <v>7972</v>
      </c>
      <c r="E14" s="13">
        <v>9060</v>
      </c>
      <c r="F14" s="13">
        <v>8895</v>
      </c>
      <c r="G14" s="13">
        <v>9089</v>
      </c>
      <c r="H14" s="13">
        <v>8433</v>
      </c>
      <c r="I14" s="13">
        <v>8956</v>
      </c>
      <c r="J14" s="13">
        <v>8730</v>
      </c>
      <c r="K14" s="13">
        <v>7976</v>
      </c>
      <c r="L14" s="13">
        <v>8856</v>
      </c>
      <c r="M14" s="13">
        <v>7892</v>
      </c>
      <c r="N14" s="13">
        <v>7982</v>
      </c>
    </row>
    <row r="15" spans="1:14" x14ac:dyDescent="0.25">
      <c r="A15" s="11" t="s">
        <v>95</v>
      </c>
      <c r="B15" s="13">
        <v>104355</v>
      </c>
      <c r="C15" s="13">
        <v>8854</v>
      </c>
      <c r="D15" s="13">
        <v>8369</v>
      </c>
      <c r="E15" s="13">
        <v>8893</v>
      </c>
      <c r="F15" s="13">
        <v>8962</v>
      </c>
      <c r="G15" s="13">
        <v>8951</v>
      </c>
      <c r="H15" s="13">
        <v>8884</v>
      </c>
      <c r="I15" s="13">
        <v>9216</v>
      </c>
      <c r="J15" s="13">
        <v>8549</v>
      </c>
      <c r="K15" s="13">
        <v>8206</v>
      </c>
      <c r="L15" s="13">
        <v>9162</v>
      </c>
      <c r="M15" s="13">
        <v>7817</v>
      </c>
      <c r="N15" s="13">
        <v>8492</v>
      </c>
    </row>
    <row r="16" spans="1:14" x14ac:dyDescent="0.25">
      <c r="A16" s="11" t="s">
        <v>96</v>
      </c>
      <c r="B16" s="13">
        <v>100660</v>
      </c>
      <c r="C16" s="13">
        <v>8580</v>
      </c>
      <c r="D16" s="13">
        <v>7868</v>
      </c>
      <c r="E16" s="13">
        <v>9374</v>
      </c>
      <c r="F16" s="13">
        <v>8651</v>
      </c>
      <c r="G16" s="13">
        <v>8611</v>
      </c>
      <c r="H16" s="13">
        <v>8400</v>
      </c>
      <c r="I16" s="13">
        <v>8596</v>
      </c>
      <c r="J16" s="13">
        <v>8418</v>
      </c>
      <c r="K16" s="13">
        <v>7866</v>
      </c>
      <c r="L16" s="13">
        <v>8242</v>
      </c>
      <c r="M16" s="13">
        <v>7707</v>
      </c>
      <c r="N16" s="13">
        <v>8347</v>
      </c>
    </row>
    <row r="17" spans="1:14" x14ac:dyDescent="0.25">
      <c r="A17" s="11" t="s">
        <v>97</v>
      </c>
      <c r="B17" s="13">
        <v>96536</v>
      </c>
      <c r="C17" s="13">
        <v>8006</v>
      </c>
      <c r="D17" s="13">
        <v>7571</v>
      </c>
      <c r="E17" s="13">
        <v>8485</v>
      </c>
      <c r="F17" s="13">
        <v>7947</v>
      </c>
      <c r="G17" s="13">
        <v>8191</v>
      </c>
      <c r="H17" s="13">
        <v>8090</v>
      </c>
      <c r="I17" s="13">
        <v>8064</v>
      </c>
      <c r="J17" s="13">
        <v>8526</v>
      </c>
      <c r="K17" s="13">
        <v>8139</v>
      </c>
      <c r="L17" s="13">
        <v>8221</v>
      </c>
      <c r="M17" s="13">
        <v>7439</v>
      </c>
      <c r="N17" s="13">
        <v>7857</v>
      </c>
    </row>
    <row r="18" spans="1:14" x14ac:dyDescent="0.25">
      <c r="A18" s="11" t="s">
        <v>98</v>
      </c>
      <c r="B18" s="13">
        <v>96221</v>
      </c>
      <c r="C18" s="13">
        <v>8694</v>
      </c>
      <c r="D18" s="13">
        <v>7476</v>
      </c>
      <c r="E18" s="13">
        <v>9104</v>
      </c>
      <c r="F18" s="13">
        <v>7593</v>
      </c>
      <c r="G18" s="13">
        <v>8802</v>
      </c>
      <c r="H18" s="13">
        <v>8131</v>
      </c>
      <c r="I18" s="13">
        <v>7898</v>
      </c>
      <c r="J18" s="13">
        <v>8002</v>
      </c>
      <c r="K18" s="13">
        <v>7320</v>
      </c>
      <c r="L18" s="13">
        <v>8357</v>
      </c>
      <c r="M18" s="13">
        <v>7298</v>
      </c>
      <c r="N18" s="13">
        <v>7546</v>
      </c>
    </row>
    <row r="19" spans="1:14" x14ac:dyDescent="0.25">
      <c r="A19" s="11" t="s">
        <v>99</v>
      </c>
      <c r="B19" s="13">
        <v>94786</v>
      </c>
      <c r="C19" s="13">
        <v>8570</v>
      </c>
      <c r="D19" s="13">
        <v>7697</v>
      </c>
      <c r="E19" s="13">
        <v>8239</v>
      </c>
      <c r="F19" s="13">
        <v>8050</v>
      </c>
      <c r="G19" s="13">
        <v>8373</v>
      </c>
      <c r="H19" s="13">
        <v>7504</v>
      </c>
      <c r="I19" s="13">
        <v>8126</v>
      </c>
      <c r="J19" s="13">
        <v>7920</v>
      </c>
      <c r="K19" s="13">
        <v>7567</v>
      </c>
      <c r="L19" s="13">
        <v>7988</v>
      </c>
      <c r="M19" s="13">
        <v>7109</v>
      </c>
      <c r="N19" s="13">
        <v>7643</v>
      </c>
    </row>
    <row r="20" spans="1:14" x14ac:dyDescent="0.25">
      <c r="A20" s="11" t="s">
        <v>100</v>
      </c>
      <c r="B20" s="13">
        <v>90290</v>
      </c>
      <c r="C20" s="13">
        <v>8317</v>
      </c>
      <c r="D20" s="13">
        <v>7161</v>
      </c>
      <c r="E20" s="13">
        <v>8117</v>
      </c>
      <c r="F20" s="13">
        <v>7741</v>
      </c>
      <c r="G20" s="13">
        <v>7854</v>
      </c>
      <c r="H20" s="13">
        <v>7322</v>
      </c>
      <c r="I20" s="13">
        <v>7696</v>
      </c>
      <c r="J20" s="13">
        <v>7245</v>
      </c>
      <c r="K20" s="13">
        <v>7297</v>
      </c>
      <c r="L20" s="13">
        <v>7936</v>
      </c>
      <c r="M20" s="13">
        <v>6239</v>
      </c>
      <c r="N20" s="13">
        <v>7365</v>
      </c>
    </row>
    <row r="21" spans="1:14" x14ac:dyDescent="0.25">
      <c r="A21" s="11" t="s">
        <v>101</v>
      </c>
      <c r="B21" s="13">
        <v>87335</v>
      </c>
      <c r="C21" s="13">
        <v>7347</v>
      </c>
      <c r="D21" s="13">
        <v>6622</v>
      </c>
      <c r="E21" s="13">
        <v>7717</v>
      </c>
      <c r="F21" s="13">
        <v>7635</v>
      </c>
      <c r="G21" s="13">
        <v>7317</v>
      </c>
      <c r="H21" s="13">
        <v>7469</v>
      </c>
      <c r="I21" s="13">
        <v>7721</v>
      </c>
      <c r="J21" s="13">
        <v>7021</v>
      </c>
      <c r="K21" s="13">
        <v>6914</v>
      </c>
      <c r="L21" s="13">
        <v>7382</v>
      </c>
      <c r="M21" s="13">
        <v>6735</v>
      </c>
      <c r="N21" s="13">
        <v>7455</v>
      </c>
    </row>
    <row r="22" spans="1:14" x14ac:dyDescent="0.25">
      <c r="A22" s="11" t="s">
        <v>102</v>
      </c>
      <c r="B22" s="13">
        <v>86728</v>
      </c>
      <c r="C22" s="13">
        <v>7226</v>
      </c>
      <c r="D22" s="13">
        <v>6739</v>
      </c>
      <c r="E22" s="13">
        <v>8236</v>
      </c>
      <c r="F22" s="13">
        <v>7265</v>
      </c>
      <c r="G22" s="13">
        <v>7465</v>
      </c>
      <c r="H22" s="13">
        <v>7290</v>
      </c>
      <c r="I22" s="13">
        <v>7329</v>
      </c>
      <c r="J22" s="13">
        <v>7339</v>
      </c>
      <c r="K22" s="13">
        <v>6840</v>
      </c>
      <c r="L22" s="13">
        <v>7196</v>
      </c>
      <c r="M22" s="13">
        <v>6955</v>
      </c>
      <c r="N22" s="13">
        <v>6848</v>
      </c>
    </row>
    <row r="23" spans="1:14" x14ac:dyDescent="0.25">
      <c r="A23" s="11" t="s">
        <v>103</v>
      </c>
      <c r="B23" s="13">
        <v>78550</v>
      </c>
      <c r="C23" s="13">
        <v>6824</v>
      </c>
      <c r="D23" s="13">
        <v>6521</v>
      </c>
      <c r="E23" s="13">
        <v>7126</v>
      </c>
      <c r="F23" s="13">
        <v>6240</v>
      </c>
      <c r="G23" s="13">
        <v>7004</v>
      </c>
      <c r="H23" s="13">
        <v>6720</v>
      </c>
      <c r="I23" s="13">
        <v>6341</v>
      </c>
      <c r="J23" s="13">
        <v>6700</v>
      </c>
      <c r="K23" s="13">
        <v>6264</v>
      </c>
      <c r="L23" s="13">
        <v>6590</v>
      </c>
      <c r="M23" s="13">
        <v>6120</v>
      </c>
      <c r="N23" s="13">
        <v>6100</v>
      </c>
    </row>
    <row r="24" spans="1:14" x14ac:dyDescent="0.25">
      <c r="A24" s="11" t="s">
        <v>104</v>
      </c>
      <c r="B24" s="13">
        <v>74392</v>
      </c>
      <c r="C24" s="13">
        <v>6779</v>
      </c>
      <c r="D24" s="13">
        <v>5949</v>
      </c>
      <c r="E24" s="13">
        <v>6731</v>
      </c>
      <c r="F24" s="13">
        <v>6076</v>
      </c>
      <c r="G24" s="13">
        <v>6507</v>
      </c>
      <c r="H24" s="13">
        <v>6149</v>
      </c>
      <c r="I24" s="13">
        <v>6426</v>
      </c>
      <c r="J24" s="13">
        <v>6257</v>
      </c>
      <c r="K24" s="13">
        <v>5607</v>
      </c>
      <c r="L24" s="13">
        <v>6552</v>
      </c>
      <c r="M24" s="13">
        <v>5542</v>
      </c>
      <c r="N24" s="13">
        <v>5817</v>
      </c>
    </row>
    <row r="25" spans="1:14" x14ac:dyDescent="0.25">
      <c r="A25" s="11" t="s">
        <v>105</v>
      </c>
      <c r="B25" s="13">
        <v>70093</v>
      </c>
      <c r="C25" s="13">
        <v>6305</v>
      </c>
      <c r="D25" s="13">
        <v>5386</v>
      </c>
      <c r="E25" s="13">
        <v>5889</v>
      </c>
      <c r="F25" s="13">
        <v>5862</v>
      </c>
      <c r="G25" s="13">
        <v>6027</v>
      </c>
      <c r="H25" s="13">
        <v>5347</v>
      </c>
      <c r="I25" s="13">
        <v>6234</v>
      </c>
      <c r="J25" s="13">
        <v>5986</v>
      </c>
      <c r="K25" s="13">
        <v>5605</v>
      </c>
      <c r="L25" s="13">
        <v>6254</v>
      </c>
      <c r="M25" s="13">
        <v>5501</v>
      </c>
      <c r="N25" s="13">
        <v>5697</v>
      </c>
    </row>
    <row r="26" spans="1:14" x14ac:dyDescent="0.25">
      <c r="A26" s="11" t="s">
        <v>106</v>
      </c>
      <c r="B26" s="13">
        <v>67943</v>
      </c>
      <c r="C26" s="13">
        <v>6101</v>
      </c>
      <c r="D26" s="13">
        <v>5212</v>
      </c>
      <c r="E26" s="13">
        <v>5459</v>
      </c>
      <c r="F26" s="13">
        <v>5944</v>
      </c>
      <c r="G26" s="13">
        <v>5807</v>
      </c>
      <c r="H26" s="13">
        <v>5495</v>
      </c>
      <c r="I26" s="13">
        <v>5998</v>
      </c>
      <c r="J26" s="13">
        <v>5606</v>
      </c>
      <c r="K26" s="13">
        <v>5548</v>
      </c>
      <c r="L26" s="13">
        <v>5876</v>
      </c>
      <c r="M26" s="13">
        <v>5059</v>
      </c>
      <c r="N26" s="13">
        <v>5838</v>
      </c>
    </row>
    <row r="27" spans="1:14" x14ac:dyDescent="0.25">
      <c r="A27" s="11" t="s">
        <v>107</v>
      </c>
      <c r="B27" s="13">
        <v>64895</v>
      </c>
      <c r="C27" s="13">
        <v>5669</v>
      </c>
      <c r="D27" s="13">
        <v>5126</v>
      </c>
      <c r="E27" s="13">
        <v>6360</v>
      </c>
      <c r="F27" s="13">
        <v>5575</v>
      </c>
      <c r="G27" s="13">
        <v>5388</v>
      </c>
      <c r="H27" s="13">
        <v>5514</v>
      </c>
      <c r="I27" s="13">
        <v>5551</v>
      </c>
      <c r="J27" s="13">
        <v>5346</v>
      </c>
      <c r="K27" s="13">
        <v>5086</v>
      </c>
      <c r="L27" s="13">
        <v>5351</v>
      </c>
      <c r="M27" s="13">
        <v>5055</v>
      </c>
      <c r="N27" s="13">
        <v>4874</v>
      </c>
    </row>
    <row r="28" spans="1:14" x14ac:dyDescent="0.25">
      <c r="A28" s="11" t="s">
        <v>108</v>
      </c>
      <c r="B28" s="13">
        <v>62342</v>
      </c>
      <c r="C28" s="13">
        <v>5117</v>
      </c>
      <c r="D28" s="13">
        <v>4772</v>
      </c>
      <c r="E28" s="13">
        <v>5505</v>
      </c>
      <c r="F28" s="13">
        <v>4901</v>
      </c>
      <c r="G28" s="13">
        <v>5334</v>
      </c>
      <c r="H28" s="13">
        <v>5209</v>
      </c>
      <c r="I28" s="13">
        <v>5091</v>
      </c>
      <c r="J28" s="13">
        <v>5507</v>
      </c>
      <c r="K28" s="13">
        <v>5224</v>
      </c>
      <c r="L28" s="13">
        <v>5656</v>
      </c>
      <c r="M28" s="13">
        <v>5123</v>
      </c>
      <c r="N28" s="13">
        <v>4903</v>
      </c>
    </row>
    <row r="29" spans="1:14" x14ac:dyDescent="0.25">
      <c r="A29" s="11" t="s">
        <v>109</v>
      </c>
      <c r="B29" s="13">
        <v>64295</v>
      </c>
      <c r="C29" s="13">
        <v>5262</v>
      </c>
      <c r="D29" s="13">
        <v>4902</v>
      </c>
      <c r="E29" s="13">
        <v>5611</v>
      </c>
      <c r="F29" s="13">
        <v>4852</v>
      </c>
      <c r="G29" s="13">
        <v>5555</v>
      </c>
      <c r="H29" s="13">
        <v>5429</v>
      </c>
      <c r="I29" s="13">
        <v>5283</v>
      </c>
      <c r="J29" s="13">
        <v>5681</v>
      </c>
      <c r="K29" s="13">
        <v>5378</v>
      </c>
      <c r="L29" s="13">
        <v>6027</v>
      </c>
      <c r="M29" s="13">
        <v>5277</v>
      </c>
      <c r="N29" s="13">
        <v>5038</v>
      </c>
    </row>
    <row r="30" spans="1:14" x14ac:dyDescent="0.25">
      <c r="A30" s="11" t="s">
        <v>110</v>
      </c>
      <c r="B30" s="13">
        <v>68366</v>
      </c>
      <c r="C30" s="13">
        <v>5897</v>
      </c>
      <c r="D30" s="13">
        <v>4996</v>
      </c>
      <c r="E30" s="13">
        <v>5816</v>
      </c>
      <c r="F30" s="13">
        <v>5725</v>
      </c>
      <c r="G30" s="13">
        <v>6010</v>
      </c>
      <c r="H30" s="13">
        <v>5666</v>
      </c>
      <c r="I30" s="13">
        <v>6058</v>
      </c>
      <c r="J30" s="13">
        <v>5982</v>
      </c>
      <c r="K30" s="13">
        <v>5085</v>
      </c>
      <c r="L30" s="13">
        <v>6253</v>
      </c>
      <c r="M30" s="13">
        <v>5556</v>
      </c>
      <c r="N30" s="13">
        <v>5322</v>
      </c>
    </row>
    <row r="31" spans="1:14" x14ac:dyDescent="0.25">
      <c r="A31" s="11" t="s">
        <v>111</v>
      </c>
      <c r="B31" s="13">
        <v>68892</v>
      </c>
      <c r="C31" s="13">
        <v>5724</v>
      </c>
      <c r="D31" s="13">
        <v>5476</v>
      </c>
      <c r="E31" s="13">
        <v>5510</v>
      </c>
      <c r="F31" s="13">
        <v>5973</v>
      </c>
      <c r="G31" s="13">
        <v>5868</v>
      </c>
      <c r="H31" s="13">
        <v>5635</v>
      </c>
      <c r="I31" s="13">
        <v>6019</v>
      </c>
      <c r="J31" s="13">
        <v>5605</v>
      </c>
      <c r="K31" s="13">
        <v>5633</v>
      </c>
      <c r="L31" s="13">
        <v>6280</v>
      </c>
      <c r="M31" s="13">
        <v>5172</v>
      </c>
      <c r="N31" s="13">
        <v>5997</v>
      </c>
    </row>
    <row r="32" spans="1:14" x14ac:dyDescent="0.25">
      <c r="A32" s="11" t="s">
        <v>112</v>
      </c>
      <c r="B32" s="13">
        <v>69054</v>
      </c>
      <c r="C32" s="13">
        <v>6052</v>
      </c>
      <c r="D32" s="13">
        <v>5333</v>
      </c>
      <c r="E32" s="13">
        <v>6150</v>
      </c>
      <c r="F32" s="13">
        <v>5739</v>
      </c>
      <c r="G32" s="13">
        <v>5610</v>
      </c>
      <c r="H32" s="13">
        <v>5767</v>
      </c>
      <c r="I32" s="13">
        <v>5929</v>
      </c>
      <c r="J32" s="13">
        <v>5745</v>
      </c>
      <c r="K32" s="13">
        <v>5573</v>
      </c>
      <c r="L32" s="13">
        <v>6119</v>
      </c>
      <c r="M32" s="13">
        <v>5446</v>
      </c>
      <c r="N32" s="13">
        <v>5591</v>
      </c>
    </row>
    <row r="33" spans="1:14" x14ac:dyDescent="0.25">
      <c r="A33" s="11" t="s">
        <v>113</v>
      </c>
      <c r="B33" s="13">
        <v>66196</v>
      </c>
      <c r="C33" s="13">
        <v>5472</v>
      </c>
      <c r="D33" s="13">
        <v>5106</v>
      </c>
      <c r="E33" s="13">
        <v>5997</v>
      </c>
      <c r="F33" s="13">
        <v>5658</v>
      </c>
      <c r="G33" s="13">
        <v>5239</v>
      </c>
      <c r="H33" s="13">
        <v>5366</v>
      </c>
      <c r="I33" s="13">
        <v>5549</v>
      </c>
      <c r="J33" s="13">
        <v>5693</v>
      </c>
      <c r="K33" s="13">
        <v>5462</v>
      </c>
      <c r="L33" s="13">
        <v>5908</v>
      </c>
      <c r="M33" s="13">
        <v>5437</v>
      </c>
      <c r="N33" s="13">
        <v>5309</v>
      </c>
    </row>
    <row r="34" spans="1:14" x14ac:dyDescent="0.25">
      <c r="A34" s="11" t="s">
        <v>114</v>
      </c>
      <c r="B34" s="13">
        <v>65078</v>
      </c>
      <c r="C34" s="13">
        <v>5499</v>
      </c>
      <c r="D34" s="13">
        <v>4964</v>
      </c>
      <c r="E34" s="13">
        <v>5631</v>
      </c>
      <c r="F34" s="13">
        <v>5227</v>
      </c>
      <c r="G34" s="13">
        <v>5370</v>
      </c>
      <c r="H34" s="13">
        <v>5693</v>
      </c>
      <c r="I34" s="13">
        <v>5498</v>
      </c>
      <c r="J34" s="13">
        <v>5873</v>
      </c>
      <c r="K34" s="13">
        <v>5512</v>
      </c>
      <c r="L34" s="13">
        <v>5633</v>
      </c>
      <c r="M34" s="13">
        <v>5128</v>
      </c>
      <c r="N34" s="13">
        <v>5050</v>
      </c>
    </row>
    <row r="35" spans="1:14" x14ac:dyDescent="0.25">
      <c r="A35" s="11" t="s">
        <v>115</v>
      </c>
      <c r="B35" s="13">
        <v>65106</v>
      </c>
      <c r="C35" s="13">
        <v>5383</v>
      </c>
      <c r="D35" s="13">
        <v>4937</v>
      </c>
      <c r="E35" s="13">
        <v>5347</v>
      </c>
      <c r="F35" s="13">
        <v>5154</v>
      </c>
      <c r="G35" s="13">
        <v>5448</v>
      </c>
      <c r="H35" s="13">
        <v>5316</v>
      </c>
      <c r="I35" s="13">
        <v>5798</v>
      </c>
      <c r="J35" s="13">
        <v>5853</v>
      </c>
      <c r="K35" s="13">
        <v>5200</v>
      </c>
      <c r="L35" s="13">
        <v>6158</v>
      </c>
      <c r="M35" s="13">
        <v>5453</v>
      </c>
      <c r="N35" s="13">
        <v>5059</v>
      </c>
    </row>
    <row r="36" spans="1:14" x14ac:dyDescent="0.25">
      <c r="A36" s="11" t="s">
        <v>116</v>
      </c>
      <c r="B36" s="13">
        <v>66676</v>
      </c>
      <c r="C36" s="13">
        <v>5683</v>
      </c>
      <c r="D36" s="13">
        <v>4993</v>
      </c>
      <c r="E36" s="13">
        <v>5287</v>
      </c>
      <c r="F36" s="13">
        <v>5786</v>
      </c>
      <c r="G36" s="13">
        <v>5615</v>
      </c>
      <c r="H36" s="13">
        <v>5185</v>
      </c>
      <c r="I36" s="13">
        <v>6034</v>
      </c>
      <c r="J36" s="13">
        <v>5788</v>
      </c>
      <c r="K36" s="13">
        <v>5415</v>
      </c>
      <c r="L36" s="13">
        <v>6323</v>
      </c>
      <c r="M36" s="13">
        <v>5227</v>
      </c>
      <c r="N36" s="13">
        <v>5340</v>
      </c>
    </row>
    <row r="37" spans="1:14" x14ac:dyDescent="0.25">
      <c r="A37" s="11" t="s">
        <v>117</v>
      </c>
      <c r="B37" s="13">
        <v>65812</v>
      </c>
      <c r="C37" s="13">
        <v>5578</v>
      </c>
      <c r="D37" s="13">
        <v>4859</v>
      </c>
      <c r="E37" s="13">
        <v>5086</v>
      </c>
      <c r="F37" s="13">
        <v>6000</v>
      </c>
      <c r="G37" s="13">
        <v>5592</v>
      </c>
      <c r="H37" s="13">
        <v>5566</v>
      </c>
      <c r="I37" s="13">
        <v>5723</v>
      </c>
      <c r="J37" s="13">
        <v>5339</v>
      </c>
      <c r="K37" s="13">
        <v>5563</v>
      </c>
      <c r="L37" s="13">
        <v>5947</v>
      </c>
      <c r="M37" s="13">
        <v>5003</v>
      </c>
      <c r="N37" s="13">
        <v>5556</v>
      </c>
    </row>
    <row r="38" spans="1:14" x14ac:dyDescent="0.25">
      <c r="A38" s="11" t="s">
        <v>118</v>
      </c>
      <c r="B38" s="13">
        <v>66241</v>
      </c>
      <c r="C38" s="13">
        <v>5540</v>
      </c>
      <c r="D38" s="13">
        <v>5019</v>
      </c>
      <c r="E38" s="13">
        <v>5529</v>
      </c>
      <c r="F38" s="13">
        <v>5462</v>
      </c>
      <c r="G38" s="13">
        <v>5364</v>
      </c>
      <c r="H38" s="13">
        <v>5899</v>
      </c>
      <c r="I38" s="13">
        <v>5955</v>
      </c>
      <c r="J38" s="13">
        <v>5540</v>
      </c>
      <c r="K38" s="13">
        <v>5525</v>
      </c>
      <c r="L38" s="13">
        <v>5883</v>
      </c>
      <c r="M38" s="13">
        <v>5189</v>
      </c>
      <c r="N38" s="13">
        <v>5336</v>
      </c>
    </row>
    <row r="39" spans="1:14" x14ac:dyDescent="0.25">
      <c r="A39" s="11" t="s">
        <v>119</v>
      </c>
      <c r="B39" s="13">
        <v>66212</v>
      </c>
      <c r="C39" s="13">
        <v>5476</v>
      </c>
      <c r="D39" s="13">
        <v>5437</v>
      </c>
      <c r="E39" s="13">
        <v>6006</v>
      </c>
      <c r="F39" s="13">
        <v>5376</v>
      </c>
      <c r="G39" s="13">
        <v>5471</v>
      </c>
      <c r="H39" s="13">
        <v>5697</v>
      </c>
      <c r="I39" s="13">
        <v>5503</v>
      </c>
      <c r="J39" s="13">
        <v>5827</v>
      </c>
      <c r="K39" s="13">
        <v>5513</v>
      </c>
      <c r="L39" s="13">
        <v>5538</v>
      </c>
      <c r="M39" s="13">
        <v>5203</v>
      </c>
      <c r="N39" s="13">
        <v>5165</v>
      </c>
    </row>
    <row r="40" spans="1:14" x14ac:dyDescent="0.25">
      <c r="A40" s="11" t="s">
        <v>120</v>
      </c>
      <c r="B40" s="13">
        <v>63480</v>
      </c>
      <c r="C40" s="13">
        <v>5525</v>
      </c>
      <c r="D40" s="13">
        <v>4768</v>
      </c>
      <c r="E40" s="13">
        <v>5603</v>
      </c>
      <c r="F40" s="13">
        <v>4973</v>
      </c>
      <c r="G40" s="13">
        <v>5582</v>
      </c>
      <c r="H40" s="13">
        <v>5394</v>
      </c>
      <c r="I40" s="13">
        <v>5326</v>
      </c>
      <c r="J40" s="13">
        <v>5529</v>
      </c>
      <c r="K40" s="13">
        <v>5187</v>
      </c>
      <c r="L40" s="13">
        <v>5588</v>
      </c>
      <c r="M40" s="13">
        <v>5114</v>
      </c>
      <c r="N40" s="13">
        <v>4891</v>
      </c>
    </row>
    <row r="41" spans="1:14" x14ac:dyDescent="0.25">
      <c r="A41" s="11" t="s">
        <v>121</v>
      </c>
      <c r="B41" s="13">
        <v>65973</v>
      </c>
      <c r="C41" s="13">
        <v>5725</v>
      </c>
      <c r="D41" s="13">
        <v>4926</v>
      </c>
      <c r="E41" s="13">
        <v>5496</v>
      </c>
      <c r="F41" s="13">
        <v>5287</v>
      </c>
      <c r="G41" s="13">
        <v>5624</v>
      </c>
      <c r="H41" s="13">
        <v>5430</v>
      </c>
      <c r="I41" s="13">
        <v>5957</v>
      </c>
      <c r="J41" s="13">
        <v>5816</v>
      </c>
      <c r="K41" s="13">
        <v>5160</v>
      </c>
      <c r="L41" s="13">
        <v>6275</v>
      </c>
      <c r="M41" s="13">
        <v>5439</v>
      </c>
      <c r="N41" s="13">
        <v>4838</v>
      </c>
    </row>
    <row r="42" spans="1:14" x14ac:dyDescent="0.25">
      <c r="A42" s="11" t="s">
        <v>122</v>
      </c>
      <c r="B42" s="13">
        <v>67024</v>
      </c>
      <c r="C42" s="13">
        <v>5943</v>
      </c>
      <c r="D42" s="13">
        <v>5069</v>
      </c>
      <c r="E42" s="13">
        <v>5374</v>
      </c>
      <c r="F42" s="13">
        <v>5709</v>
      </c>
      <c r="G42" s="13">
        <v>5645</v>
      </c>
      <c r="H42" s="13">
        <v>5275</v>
      </c>
      <c r="I42" s="13">
        <v>6167</v>
      </c>
      <c r="J42" s="13">
        <v>5735</v>
      </c>
      <c r="K42" s="13">
        <v>5435</v>
      </c>
      <c r="L42" s="13">
        <v>6193</v>
      </c>
      <c r="M42" s="13">
        <v>5198</v>
      </c>
      <c r="N42" s="13">
        <v>5281</v>
      </c>
    </row>
    <row r="43" spans="1:14" x14ac:dyDescent="0.25">
      <c r="A43" s="11" t="s">
        <v>123</v>
      </c>
      <c r="B43" s="13">
        <v>65789</v>
      </c>
      <c r="C43" s="13">
        <v>5886</v>
      </c>
      <c r="D43" s="13">
        <v>4950</v>
      </c>
      <c r="E43" s="13">
        <v>5639</v>
      </c>
      <c r="F43" s="13">
        <v>5529</v>
      </c>
      <c r="G43" s="13">
        <v>5218</v>
      </c>
      <c r="H43" s="13">
        <v>5699</v>
      </c>
      <c r="I43" s="13">
        <v>5966</v>
      </c>
      <c r="J43" s="13">
        <v>5381</v>
      </c>
      <c r="K43" s="13">
        <v>5524</v>
      </c>
      <c r="L43" s="13">
        <v>5634</v>
      </c>
      <c r="M43" s="13">
        <v>5142</v>
      </c>
      <c r="N43" s="13">
        <v>5221</v>
      </c>
    </row>
    <row r="44" spans="1:14" x14ac:dyDescent="0.25">
      <c r="A44" s="11" t="s">
        <v>124</v>
      </c>
      <c r="B44" s="13">
        <v>63337</v>
      </c>
      <c r="C44" s="13">
        <v>5333</v>
      </c>
      <c r="D44" s="13">
        <v>4783</v>
      </c>
      <c r="E44" s="13">
        <v>5660</v>
      </c>
      <c r="F44" s="13">
        <v>5286</v>
      </c>
      <c r="G44" s="13">
        <v>5014</v>
      </c>
      <c r="H44" s="13">
        <v>5327</v>
      </c>
      <c r="I44" s="13">
        <v>5581</v>
      </c>
      <c r="J44" s="13">
        <v>5519</v>
      </c>
      <c r="K44" s="13">
        <v>5368</v>
      </c>
      <c r="L44" s="13">
        <v>5493</v>
      </c>
      <c r="M44" s="13">
        <v>5175</v>
      </c>
      <c r="N44" s="13">
        <v>4798</v>
      </c>
    </row>
    <row r="45" spans="1:14" x14ac:dyDescent="0.25">
      <c r="A45" s="11" t="s">
        <v>125</v>
      </c>
      <c r="B45" s="13">
        <v>61656</v>
      </c>
      <c r="C45" s="13">
        <v>5338</v>
      </c>
      <c r="D45" s="13">
        <v>4692</v>
      </c>
      <c r="E45" s="13">
        <v>5534</v>
      </c>
      <c r="F45" s="13">
        <v>5027</v>
      </c>
      <c r="G45" s="13">
        <v>5188</v>
      </c>
      <c r="H45" s="13">
        <v>5359</v>
      </c>
      <c r="I45" s="13">
        <v>5138</v>
      </c>
      <c r="J45" s="13">
        <v>5336</v>
      </c>
      <c r="K45" s="13">
        <v>5095</v>
      </c>
      <c r="L45" s="13">
        <v>5270</v>
      </c>
      <c r="M45" s="13">
        <v>4984</v>
      </c>
      <c r="N45" s="13">
        <v>4695</v>
      </c>
    </row>
    <row r="46" spans="1:14" x14ac:dyDescent="0.25">
      <c r="A46" s="11" t="s">
        <v>126</v>
      </c>
      <c r="B46" s="13">
        <v>60051</v>
      </c>
      <c r="C46" s="13">
        <v>5313</v>
      </c>
      <c r="D46" s="13">
        <v>4585</v>
      </c>
      <c r="E46" s="13">
        <v>5219</v>
      </c>
      <c r="F46" s="13">
        <v>4626</v>
      </c>
      <c r="G46" s="13">
        <v>5211</v>
      </c>
      <c r="H46" s="13">
        <v>5089</v>
      </c>
      <c r="I46" s="13">
        <v>5057</v>
      </c>
      <c r="J46" s="13">
        <v>5297</v>
      </c>
      <c r="K46" s="13">
        <v>4830</v>
      </c>
      <c r="L46" s="13">
        <v>5429</v>
      </c>
      <c r="M46" s="13">
        <v>5054</v>
      </c>
      <c r="N46" s="13">
        <v>4341</v>
      </c>
    </row>
    <row r="47" spans="1:14" x14ac:dyDescent="0.25">
      <c r="A47" s="11" t="s">
        <v>127</v>
      </c>
      <c r="B47" s="13">
        <v>59296</v>
      </c>
      <c r="C47" s="13">
        <v>5371</v>
      </c>
      <c r="D47" s="13">
        <v>4682</v>
      </c>
      <c r="E47" s="13">
        <v>4476</v>
      </c>
      <c r="F47" s="13">
        <v>4885</v>
      </c>
      <c r="G47" s="13">
        <v>4864</v>
      </c>
      <c r="H47" s="13">
        <v>4491</v>
      </c>
      <c r="I47" s="13">
        <v>5247</v>
      </c>
      <c r="J47" s="13">
        <v>5172</v>
      </c>
      <c r="K47" s="13">
        <v>4703</v>
      </c>
      <c r="L47" s="13">
        <v>5772</v>
      </c>
      <c r="M47" s="13">
        <v>4800</v>
      </c>
      <c r="N47" s="13">
        <v>4833</v>
      </c>
    </row>
    <row r="48" spans="1:14" x14ac:dyDescent="0.25">
      <c r="A48" s="11" t="s">
        <v>128</v>
      </c>
      <c r="B48" s="13">
        <v>59440</v>
      </c>
      <c r="C48" s="13">
        <v>5346</v>
      </c>
      <c r="D48" s="13">
        <v>4581</v>
      </c>
      <c r="E48" s="13">
        <v>4356</v>
      </c>
      <c r="F48" s="13">
        <v>5500</v>
      </c>
      <c r="G48" s="13">
        <v>4942</v>
      </c>
      <c r="H48" s="13">
        <v>4961</v>
      </c>
      <c r="I48" s="13">
        <v>5276</v>
      </c>
      <c r="J48" s="13">
        <v>4890</v>
      </c>
      <c r="K48" s="13">
        <v>4989</v>
      </c>
      <c r="L48" s="13">
        <v>5332</v>
      </c>
      <c r="M48" s="13">
        <v>4372</v>
      </c>
      <c r="N48" s="13">
        <v>4895</v>
      </c>
    </row>
    <row r="49" spans="1:14" x14ac:dyDescent="0.25">
      <c r="A49" s="11" t="s">
        <v>129</v>
      </c>
      <c r="B49" s="13">
        <v>57319</v>
      </c>
      <c r="C49" s="13">
        <v>4924</v>
      </c>
      <c r="D49" s="13">
        <v>4308</v>
      </c>
      <c r="E49" s="13">
        <v>4919</v>
      </c>
      <c r="F49" s="13">
        <v>4807</v>
      </c>
      <c r="G49" s="13">
        <v>4485</v>
      </c>
      <c r="H49" s="13">
        <v>4956</v>
      </c>
      <c r="I49" s="13">
        <v>5085</v>
      </c>
      <c r="J49" s="13">
        <v>4800</v>
      </c>
      <c r="K49" s="13">
        <v>4911</v>
      </c>
      <c r="L49" s="13">
        <v>5081</v>
      </c>
      <c r="M49" s="13">
        <v>4479</v>
      </c>
      <c r="N49" s="13">
        <v>4564</v>
      </c>
    </row>
    <row r="50" spans="1:14" x14ac:dyDescent="0.25">
      <c r="A50" s="11" t="s">
        <v>130</v>
      </c>
      <c r="B50" s="13">
        <v>55147</v>
      </c>
      <c r="C50" s="13">
        <v>4635</v>
      </c>
      <c r="D50" s="13">
        <v>4287</v>
      </c>
      <c r="E50" s="13">
        <v>4951</v>
      </c>
      <c r="F50" s="13">
        <v>4703</v>
      </c>
      <c r="G50" s="13">
        <v>4366</v>
      </c>
      <c r="H50" s="13">
        <v>4834</v>
      </c>
      <c r="I50" s="13">
        <v>4718</v>
      </c>
      <c r="J50" s="13">
        <v>4789</v>
      </c>
      <c r="K50" s="13">
        <v>4600</v>
      </c>
      <c r="L50" s="13">
        <v>4503</v>
      </c>
      <c r="M50" s="13">
        <v>4551</v>
      </c>
      <c r="N50" s="13">
        <v>4210</v>
      </c>
    </row>
    <row r="51" spans="1:14" x14ac:dyDescent="0.25">
      <c r="A51" s="11" t="s">
        <v>131</v>
      </c>
      <c r="B51" s="13">
        <v>53076</v>
      </c>
      <c r="C51" s="13">
        <v>4696</v>
      </c>
      <c r="D51" s="13">
        <v>4296</v>
      </c>
      <c r="E51" s="13">
        <v>4709</v>
      </c>
      <c r="F51" s="13">
        <v>3988</v>
      </c>
      <c r="G51" s="13">
        <v>4773</v>
      </c>
      <c r="H51" s="13">
        <v>4433</v>
      </c>
      <c r="I51" s="13">
        <v>4391</v>
      </c>
      <c r="J51" s="13">
        <v>4580</v>
      </c>
      <c r="K51" s="13">
        <v>4425</v>
      </c>
      <c r="L51" s="13">
        <v>4652</v>
      </c>
      <c r="M51" s="13">
        <v>4306</v>
      </c>
      <c r="N51" s="13">
        <v>3827</v>
      </c>
    </row>
    <row r="52" spans="1:14" x14ac:dyDescent="0.25">
      <c r="A52" s="11" t="s">
        <v>132</v>
      </c>
      <c r="B52" s="13">
        <v>52527</v>
      </c>
      <c r="C52" s="13">
        <v>4929</v>
      </c>
      <c r="D52" s="13">
        <v>4063</v>
      </c>
      <c r="E52" s="13">
        <v>4543</v>
      </c>
      <c r="F52" s="13">
        <v>4169</v>
      </c>
      <c r="G52" s="13">
        <v>4600</v>
      </c>
      <c r="H52" s="13">
        <v>4128</v>
      </c>
      <c r="I52" s="13">
        <v>4582</v>
      </c>
      <c r="J52" s="13">
        <v>4508</v>
      </c>
      <c r="K52" s="13">
        <v>4076</v>
      </c>
      <c r="L52" s="13">
        <v>4821</v>
      </c>
      <c r="M52" s="13">
        <v>4258</v>
      </c>
      <c r="N52" s="13">
        <v>3850</v>
      </c>
    </row>
    <row r="53" spans="1:14" x14ac:dyDescent="0.25">
      <c r="A53" s="11" t="s">
        <v>133</v>
      </c>
      <c r="B53" s="13">
        <v>51270</v>
      </c>
      <c r="C53" s="13">
        <v>4561</v>
      </c>
      <c r="D53" s="13">
        <v>3797</v>
      </c>
      <c r="E53" s="13">
        <v>4016</v>
      </c>
      <c r="F53" s="13">
        <v>4332</v>
      </c>
      <c r="G53" s="13">
        <v>4460</v>
      </c>
      <c r="H53" s="13">
        <v>3833</v>
      </c>
      <c r="I53" s="13">
        <v>4640</v>
      </c>
      <c r="J53" s="13">
        <v>4421</v>
      </c>
      <c r="K53" s="13">
        <v>4158</v>
      </c>
      <c r="L53" s="13">
        <v>4820</v>
      </c>
      <c r="M53" s="13">
        <v>4143</v>
      </c>
      <c r="N53" s="13">
        <v>4089</v>
      </c>
    </row>
    <row r="54" spans="1:14" x14ac:dyDescent="0.25">
      <c r="A54" s="11" t="s">
        <v>134</v>
      </c>
      <c r="B54" s="13">
        <v>52432</v>
      </c>
      <c r="C54" s="13">
        <v>4664</v>
      </c>
      <c r="D54" s="13">
        <v>3987</v>
      </c>
      <c r="E54" s="13">
        <v>4113</v>
      </c>
      <c r="F54" s="13">
        <v>4244</v>
      </c>
      <c r="G54" s="13">
        <v>4272</v>
      </c>
      <c r="H54" s="13">
        <v>4389</v>
      </c>
      <c r="I54" s="13">
        <v>4787</v>
      </c>
      <c r="J54" s="13">
        <v>4491</v>
      </c>
      <c r="K54" s="13">
        <v>4480</v>
      </c>
      <c r="L54" s="13">
        <v>4719</v>
      </c>
      <c r="M54" s="13">
        <v>3996</v>
      </c>
      <c r="N54" s="13">
        <v>4290</v>
      </c>
    </row>
    <row r="55" spans="1:14" x14ac:dyDescent="0.25">
      <c r="A55" s="11" t="s">
        <v>135</v>
      </c>
      <c r="B55" s="13">
        <v>53957</v>
      </c>
      <c r="C55" s="13">
        <v>4617</v>
      </c>
      <c r="D55" s="13">
        <v>4148</v>
      </c>
      <c r="E55" s="13">
        <v>4694</v>
      </c>
      <c r="F55" s="13">
        <v>4458</v>
      </c>
      <c r="G55" s="13">
        <v>4177</v>
      </c>
      <c r="H55" s="13">
        <v>4706</v>
      </c>
      <c r="I55" s="13">
        <v>4590</v>
      </c>
      <c r="J55" s="13">
        <v>4602</v>
      </c>
      <c r="K55" s="13">
        <v>4640</v>
      </c>
      <c r="L55" s="13">
        <v>4533</v>
      </c>
      <c r="M55" s="13">
        <v>4630</v>
      </c>
      <c r="N55" s="13">
        <v>4162</v>
      </c>
    </row>
    <row r="56" spans="1:14" x14ac:dyDescent="0.25">
      <c r="A56" s="11" t="s">
        <v>136</v>
      </c>
      <c r="B56" s="13">
        <v>54386</v>
      </c>
      <c r="C56" s="13">
        <v>4688</v>
      </c>
      <c r="D56" s="13">
        <v>4047</v>
      </c>
      <c r="E56" s="13">
        <v>4621</v>
      </c>
      <c r="F56" s="13">
        <v>4427</v>
      </c>
      <c r="G56" s="13">
        <v>4393</v>
      </c>
      <c r="H56" s="13">
        <v>4737</v>
      </c>
      <c r="I56" s="13">
        <v>4437</v>
      </c>
      <c r="J56" s="13">
        <v>5123</v>
      </c>
      <c r="K56" s="13">
        <v>4666</v>
      </c>
      <c r="L56" s="13">
        <v>4639</v>
      </c>
      <c r="M56" s="13">
        <v>4513</v>
      </c>
      <c r="N56" s="13">
        <v>4095</v>
      </c>
    </row>
    <row r="57" spans="1:14" x14ac:dyDescent="0.25">
      <c r="A57" s="11" t="s">
        <v>137</v>
      </c>
      <c r="B57" s="13">
        <v>55690</v>
      </c>
      <c r="C57" s="13">
        <v>4839</v>
      </c>
      <c r="D57" s="13">
        <v>4044</v>
      </c>
      <c r="E57" s="13">
        <v>4685</v>
      </c>
      <c r="F57" s="13">
        <v>4202</v>
      </c>
      <c r="G57" s="13">
        <v>4905</v>
      </c>
      <c r="H57" s="13">
        <v>4932</v>
      </c>
      <c r="I57" s="13">
        <v>4663</v>
      </c>
      <c r="J57" s="13">
        <v>5033</v>
      </c>
      <c r="K57" s="13">
        <v>4485</v>
      </c>
      <c r="L57" s="13">
        <v>5287</v>
      </c>
      <c r="M57" s="13">
        <v>4583</v>
      </c>
      <c r="N57" s="13">
        <v>4032</v>
      </c>
    </row>
    <row r="58" spans="1:14" x14ac:dyDescent="0.25">
      <c r="A58" s="11" t="s">
        <v>138</v>
      </c>
      <c r="B58" s="13">
        <v>57781</v>
      </c>
      <c r="C58" s="13">
        <v>5196</v>
      </c>
      <c r="D58" s="13">
        <v>4256</v>
      </c>
      <c r="E58" s="13">
        <v>4757</v>
      </c>
      <c r="F58" s="13">
        <v>4573</v>
      </c>
      <c r="G58" s="13">
        <v>5022</v>
      </c>
      <c r="H58" s="13">
        <v>4675</v>
      </c>
      <c r="I58" s="13">
        <v>5071</v>
      </c>
      <c r="J58" s="13">
        <v>5296</v>
      </c>
      <c r="K58" s="13">
        <v>4562</v>
      </c>
      <c r="L58" s="13">
        <v>5404</v>
      </c>
      <c r="M58" s="13">
        <v>4721</v>
      </c>
      <c r="N58" s="13">
        <v>4248</v>
      </c>
    </row>
    <row r="59" spans="1:14" x14ac:dyDescent="0.25">
      <c r="A59" s="11" t="s">
        <v>139</v>
      </c>
      <c r="B59" s="13">
        <v>60041</v>
      </c>
      <c r="C59" s="13">
        <v>5490</v>
      </c>
      <c r="D59" s="13">
        <v>4779</v>
      </c>
      <c r="E59" s="13">
        <v>4837</v>
      </c>
      <c r="F59" s="13">
        <v>4906</v>
      </c>
      <c r="G59" s="13">
        <v>5005</v>
      </c>
      <c r="H59" s="13">
        <v>4964</v>
      </c>
      <c r="I59" s="13">
        <v>5428</v>
      </c>
      <c r="J59" s="13">
        <v>4977</v>
      </c>
      <c r="K59" s="13">
        <v>5115</v>
      </c>
      <c r="L59" s="13">
        <v>5298</v>
      </c>
      <c r="M59" s="13">
        <v>4503</v>
      </c>
      <c r="N59" s="13">
        <v>4739</v>
      </c>
    </row>
    <row r="60" spans="1:14" x14ac:dyDescent="0.25">
      <c r="A60" s="11" t="s">
        <v>140</v>
      </c>
      <c r="B60" s="13">
        <v>59046</v>
      </c>
      <c r="C60" s="13">
        <v>5224</v>
      </c>
      <c r="D60" s="13">
        <v>4393</v>
      </c>
      <c r="E60" s="13">
        <v>4888</v>
      </c>
      <c r="F60" s="13">
        <v>5030</v>
      </c>
      <c r="G60" s="13">
        <v>4684</v>
      </c>
      <c r="H60" s="13">
        <v>5152</v>
      </c>
      <c r="I60" s="13">
        <v>5335</v>
      </c>
      <c r="J60" s="13">
        <v>4999</v>
      </c>
      <c r="K60" s="13">
        <v>4924</v>
      </c>
      <c r="L60" s="13">
        <v>5180</v>
      </c>
      <c r="M60" s="13">
        <v>4645</v>
      </c>
      <c r="N60" s="13">
        <v>4592</v>
      </c>
    </row>
    <row r="61" spans="1:14" x14ac:dyDescent="0.25">
      <c r="A61" s="11" t="s">
        <v>141</v>
      </c>
      <c r="B61" s="13">
        <v>58791</v>
      </c>
      <c r="C61" s="13">
        <v>5151</v>
      </c>
      <c r="D61" s="13">
        <v>4387</v>
      </c>
      <c r="E61" s="13">
        <v>5131</v>
      </c>
      <c r="F61" s="13">
        <v>4946</v>
      </c>
      <c r="G61" s="13">
        <v>4574</v>
      </c>
      <c r="H61" s="13">
        <v>5222</v>
      </c>
      <c r="I61" s="13">
        <v>4912</v>
      </c>
      <c r="J61" s="13">
        <v>5065</v>
      </c>
      <c r="K61" s="13">
        <v>4933</v>
      </c>
      <c r="L61" s="13">
        <v>4977</v>
      </c>
      <c r="M61" s="13">
        <v>4916</v>
      </c>
      <c r="N61" s="13">
        <v>4577</v>
      </c>
    </row>
    <row r="62" spans="1:14" x14ac:dyDescent="0.25">
      <c r="A62" s="11" t="s">
        <v>142</v>
      </c>
      <c r="B62" s="13">
        <v>58590</v>
      </c>
      <c r="C62" s="13">
        <v>5346</v>
      </c>
      <c r="D62" s="13">
        <v>4416</v>
      </c>
      <c r="E62" s="13">
        <v>4851</v>
      </c>
      <c r="F62" s="13">
        <v>4474</v>
      </c>
      <c r="G62" s="13">
        <v>5063</v>
      </c>
      <c r="H62" s="13">
        <v>5171</v>
      </c>
      <c r="I62" s="13">
        <v>4858</v>
      </c>
      <c r="J62" s="13">
        <v>5398</v>
      </c>
      <c r="K62" s="13">
        <v>4960</v>
      </c>
      <c r="L62" s="13">
        <v>4825</v>
      </c>
      <c r="M62" s="13">
        <v>4710</v>
      </c>
      <c r="N62" s="13">
        <v>4518</v>
      </c>
    </row>
    <row r="63" spans="1:14" x14ac:dyDescent="0.25">
      <c r="A63" s="11" t="s">
        <v>143</v>
      </c>
      <c r="B63" s="13">
        <v>58027</v>
      </c>
      <c r="C63" s="13">
        <v>5283</v>
      </c>
      <c r="D63" s="13">
        <v>4560</v>
      </c>
      <c r="E63" s="13">
        <v>4929</v>
      </c>
      <c r="F63" s="13">
        <v>4630</v>
      </c>
      <c r="G63" s="13">
        <v>5006</v>
      </c>
      <c r="H63" s="13">
        <v>4709</v>
      </c>
      <c r="I63" s="13">
        <v>5011</v>
      </c>
      <c r="J63" s="13">
        <v>5149</v>
      </c>
      <c r="K63" s="13">
        <v>4527</v>
      </c>
      <c r="L63" s="13">
        <v>5337</v>
      </c>
      <c r="M63" s="13">
        <v>4918</v>
      </c>
      <c r="N63" s="13">
        <v>3968</v>
      </c>
    </row>
    <row r="64" spans="1:14" x14ac:dyDescent="0.25">
      <c r="A64" s="11" t="s">
        <v>144</v>
      </c>
      <c r="B64" s="13">
        <v>56014</v>
      </c>
      <c r="C64" s="13">
        <v>5296</v>
      </c>
      <c r="D64" s="13">
        <v>4332</v>
      </c>
      <c r="E64" s="13">
        <v>4234</v>
      </c>
      <c r="F64" s="13">
        <v>4831</v>
      </c>
      <c r="G64" s="13">
        <v>4748</v>
      </c>
      <c r="H64" s="13">
        <v>4330</v>
      </c>
      <c r="I64" s="13">
        <v>5173</v>
      </c>
      <c r="J64" s="13">
        <v>4890</v>
      </c>
      <c r="K64" s="13">
        <v>4445</v>
      </c>
      <c r="L64" s="13">
        <v>5223</v>
      </c>
      <c r="M64" s="13">
        <v>4462</v>
      </c>
      <c r="N64" s="13">
        <v>4050</v>
      </c>
    </row>
    <row r="65" spans="1:14" x14ac:dyDescent="0.25">
      <c r="A65" s="11" t="s">
        <v>145</v>
      </c>
      <c r="B65" s="13">
        <v>56725</v>
      </c>
      <c r="C65" s="13">
        <v>5242</v>
      </c>
      <c r="D65" s="13">
        <v>4201</v>
      </c>
      <c r="E65" s="13">
        <v>4487</v>
      </c>
      <c r="F65" s="13">
        <v>4677</v>
      </c>
      <c r="G65" s="13">
        <v>4632</v>
      </c>
      <c r="H65" s="13">
        <v>4712</v>
      </c>
      <c r="I65" s="13">
        <v>5158</v>
      </c>
      <c r="J65" s="13">
        <v>4785</v>
      </c>
      <c r="K65" s="13">
        <v>4986</v>
      </c>
      <c r="L65" s="13">
        <v>5323</v>
      </c>
      <c r="M65" s="13">
        <v>4288</v>
      </c>
      <c r="N65" s="13">
        <v>4234</v>
      </c>
    </row>
    <row r="66" spans="1:14" x14ac:dyDescent="0.25">
      <c r="A66" s="11" t="s">
        <v>146</v>
      </c>
      <c r="B66" s="13">
        <v>55098</v>
      </c>
      <c r="C66" s="13">
        <v>4791</v>
      </c>
      <c r="D66" s="13">
        <v>4137</v>
      </c>
      <c r="E66" s="13">
        <v>4391</v>
      </c>
      <c r="F66" s="13">
        <v>4543</v>
      </c>
      <c r="G66" s="13">
        <v>4321</v>
      </c>
      <c r="H66" s="13">
        <v>4853</v>
      </c>
      <c r="I66" s="13">
        <v>5084</v>
      </c>
      <c r="J66" s="13">
        <v>4707</v>
      </c>
      <c r="K66" s="13">
        <v>4819</v>
      </c>
      <c r="L66" s="13">
        <v>4794</v>
      </c>
      <c r="M66" s="13">
        <v>4396</v>
      </c>
      <c r="N66" s="13">
        <v>4262</v>
      </c>
    </row>
    <row r="67" spans="1:14" x14ac:dyDescent="0.25">
      <c r="A67" s="11" t="s">
        <v>147</v>
      </c>
      <c r="B67" s="13">
        <v>54488</v>
      </c>
      <c r="C67" s="13">
        <v>4649</v>
      </c>
      <c r="D67" s="13">
        <v>4220</v>
      </c>
      <c r="E67" s="13">
        <v>4438</v>
      </c>
      <c r="F67" s="13">
        <v>4456</v>
      </c>
      <c r="G67" s="13">
        <v>4647</v>
      </c>
      <c r="H67" s="13">
        <v>4827</v>
      </c>
      <c r="I67" s="13">
        <v>4609</v>
      </c>
      <c r="J67" s="13">
        <v>4977</v>
      </c>
      <c r="K67" s="13">
        <v>4672</v>
      </c>
      <c r="L67" s="13">
        <v>4607</v>
      </c>
      <c r="M67" s="13">
        <v>4404</v>
      </c>
      <c r="N67" s="13">
        <v>3982</v>
      </c>
    </row>
    <row r="68" spans="1:14" x14ac:dyDescent="0.25">
      <c r="A68" s="11" t="s">
        <v>148</v>
      </c>
      <c r="B68" s="13">
        <v>52861</v>
      </c>
      <c r="C68" s="13">
        <v>4735</v>
      </c>
      <c r="D68" s="13">
        <v>3994</v>
      </c>
      <c r="E68" s="13">
        <v>4523</v>
      </c>
      <c r="F68" s="13">
        <v>3989</v>
      </c>
      <c r="G68" s="13">
        <v>4466</v>
      </c>
      <c r="H68" s="13">
        <v>4500</v>
      </c>
      <c r="I68" s="13">
        <v>4546</v>
      </c>
      <c r="J68" s="13">
        <v>4997</v>
      </c>
      <c r="K68" s="13">
        <v>4297</v>
      </c>
      <c r="L68" s="13">
        <v>4650</v>
      </c>
      <c r="M68" s="13">
        <v>4387</v>
      </c>
      <c r="N68" s="13">
        <v>3777</v>
      </c>
    </row>
    <row r="69" spans="1:14" x14ac:dyDescent="0.25">
      <c r="A69" s="11" t="s">
        <v>149</v>
      </c>
      <c r="B69" s="13">
        <v>51308</v>
      </c>
      <c r="C69" s="13">
        <v>4831</v>
      </c>
      <c r="D69" s="13">
        <v>3799</v>
      </c>
      <c r="E69" s="13">
        <v>4061</v>
      </c>
      <c r="F69" s="13">
        <v>4187</v>
      </c>
      <c r="G69" s="13">
        <v>4484</v>
      </c>
      <c r="H69" s="13">
        <v>4286</v>
      </c>
      <c r="I69" s="13">
        <v>4473</v>
      </c>
      <c r="J69" s="13">
        <v>4657</v>
      </c>
      <c r="K69" s="13">
        <v>3948</v>
      </c>
      <c r="L69" s="13">
        <v>4723</v>
      </c>
      <c r="M69" s="13">
        <v>4337</v>
      </c>
      <c r="N69" s="13">
        <v>3522</v>
      </c>
    </row>
    <row r="70" spans="1:14" x14ac:dyDescent="0.25">
      <c r="A70" s="11" t="s">
        <v>150</v>
      </c>
      <c r="B70" s="13">
        <v>49863</v>
      </c>
      <c r="C70" s="13">
        <v>4833</v>
      </c>
      <c r="D70" s="13">
        <v>3812</v>
      </c>
      <c r="E70" s="13">
        <v>3973</v>
      </c>
      <c r="F70" s="13">
        <v>3999</v>
      </c>
      <c r="G70" s="13">
        <v>4343</v>
      </c>
      <c r="H70" s="13">
        <v>3884</v>
      </c>
      <c r="I70" s="13">
        <v>4588</v>
      </c>
      <c r="J70" s="13">
        <v>4417</v>
      </c>
      <c r="K70" s="13">
        <v>4147</v>
      </c>
      <c r="L70" s="13">
        <v>4635</v>
      </c>
      <c r="M70" s="13">
        <v>3805</v>
      </c>
      <c r="N70" s="13">
        <v>3427</v>
      </c>
    </row>
    <row r="71" spans="1:14" x14ac:dyDescent="0.25">
      <c r="A71" s="11" t="s">
        <v>225</v>
      </c>
      <c r="B71" s="13">
        <v>46809</v>
      </c>
      <c r="C71" s="13">
        <v>4515</v>
      </c>
      <c r="D71" s="13">
        <v>3766</v>
      </c>
      <c r="E71" s="13">
        <v>2741</v>
      </c>
      <c r="F71" s="13">
        <v>18</v>
      </c>
      <c r="G71" s="13">
        <v>52</v>
      </c>
      <c r="H71" s="13">
        <v>1078</v>
      </c>
      <c r="I71" s="13">
        <v>9233</v>
      </c>
      <c r="J71" s="13">
        <v>6304</v>
      </c>
      <c r="K71" s="13">
        <v>5835</v>
      </c>
      <c r="L71" s="13">
        <v>5331</v>
      </c>
      <c r="M71" s="13">
        <v>4472</v>
      </c>
      <c r="N71" s="13">
        <v>3464</v>
      </c>
    </row>
    <row r="72" spans="1:14" x14ac:dyDescent="0.25">
      <c r="A72" s="11" t="s">
        <v>152</v>
      </c>
      <c r="B72" s="13">
        <v>47786</v>
      </c>
      <c r="C72" s="13">
        <v>3721</v>
      </c>
      <c r="D72" s="13">
        <v>3620</v>
      </c>
      <c r="E72" s="13">
        <v>4170</v>
      </c>
      <c r="F72" s="13">
        <v>3884</v>
      </c>
      <c r="G72" s="13">
        <v>3554</v>
      </c>
      <c r="H72" s="13">
        <v>4003</v>
      </c>
      <c r="I72" s="13">
        <v>4014</v>
      </c>
      <c r="J72" s="13">
        <v>4158</v>
      </c>
      <c r="K72" s="13">
        <v>4377</v>
      </c>
      <c r="L72" s="13">
        <v>4347</v>
      </c>
      <c r="M72" s="13">
        <v>4450</v>
      </c>
      <c r="N72" s="13">
        <v>3488</v>
      </c>
    </row>
    <row r="73" spans="1:14" x14ac:dyDescent="0.25">
      <c r="A73" s="11" t="s">
        <v>153</v>
      </c>
      <c r="B73" s="13">
        <v>46959</v>
      </c>
      <c r="C73" s="13">
        <v>4194</v>
      </c>
      <c r="D73" s="13">
        <v>3837</v>
      </c>
      <c r="E73" s="13">
        <v>4095</v>
      </c>
      <c r="F73" s="13">
        <v>3423</v>
      </c>
      <c r="G73" s="13">
        <v>4021</v>
      </c>
      <c r="H73" s="13">
        <v>3797</v>
      </c>
      <c r="I73" s="13">
        <v>3587</v>
      </c>
      <c r="J73" s="13">
        <v>4054</v>
      </c>
      <c r="K73" s="13">
        <v>4052</v>
      </c>
      <c r="L73" s="13">
        <v>4329</v>
      </c>
      <c r="M73" s="13">
        <v>4498</v>
      </c>
      <c r="N73" s="13">
        <v>3072</v>
      </c>
    </row>
    <row r="74" spans="1:14" x14ac:dyDescent="0.25">
      <c r="A74" s="11" t="s">
        <v>154</v>
      </c>
      <c r="B74" s="13">
        <v>45935</v>
      </c>
      <c r="C74" s="13">
        <v>4163</v>
      </c>
      <c r="D74" s="13">
        <v>3558</v>
      </c>
      <c r="E74" s="13">
        <v>3929</v>
      </c>
      <c r="F74" s="13">
        <v>3337</v>
      </c>
      <c r="G74" s="13">
        <v>3693</v>
      </c>
      <c r="H74" s="13">
        <v>4028</v>
      </c>
      <c r="I74" s="13">
        <v>3783</v>
      </c>
      <c r="J74" s="13">
        <v>4434</v>
      </c>
      <c r="K74" s="13">
        <v>3674</v>
      </c>
      <c r="L74" s="13">
        <v>4087</v>
      </c>
      <c r="M74" s="13">
        <v>4190</v>
      </c>
      <c r="N74" s="13">
        <v>3059</v>
      </c>
    </row>
    <row r="75" spans="1:14" x14ac:dyDescent="0.25">
      <c r="A75" s="11" t="s">
        <v>155</v>
      </c>
      <c r="B75" s="13">
        <v>45763</v>
      </c>
      <c r="C75" s="13">
        <v>4188</v>
      </c>
      <c r="D75" s="13">
        <v>3830</v>
      </c>
      <c r="E75" s="13">
        <v>3530</v>
      </c>
      <c r="F75" s="13">
        <v>3763</v>
      </c>
      <c r="G75" s="13">
        <v>3948</v>
      </c>
      <c r="H75" s="13">
        <v>3308</v>
      </c>
      <c r="I75" s="13">
        <v>3964</v>
      </c>
      <c r="J75" s="13">
        <v>3989</v>
      </c>
      <c r="K75" s="13">
        <v>3830</v>
      </c>
      <c r="L75" s="13">
        <v>4435</v>
      </c>
      <c r="M75" s="13">
        <v>3855</v>
      </c>
      <c r="N75" s="13">
        <v>3123</v>
      </c>
    </row>
  </sheetData>
  <pageMargins left="0.7" right="0.7" top="0.75" bottom="0.75" header="0.3" footer="0.3"/>
  <pageSetup paperSize="9" orientation="portrait"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123"/>
  <sheetViews>
    <sheetView tabSelected="1" workbookViewId="0">
      <selection activeCell="I13" sqref="I13"/>
    </sheetView>
  </sheetViews>
  <sheetFormatPr defaultColWidth="11.6328125" defaultRowHeight="15" x14ac:dyDescent="0.25"/>
  <cols>
    <col min="1" max="1" width="10.6328125" bestFit="1" customWidth="1"/>
    <col min="2" max="2" width="21.6328125" bestFit="1" customWidth="1"/>
    <col min="3" max="5" width="10.6328125" bestFit="1" customWidth="1"/>
  </cols>
  <sheetData>
    <row r="1" spans="1:5" ht="15.6" x14ac:dyDescent="0.3">
      <c r="A1" s="10" t="s">
        <v>69</v>
      </c>
      <c r="B1" s="10" t="s">
        <v>226</v>
      </c>
      <c r="C1" s="12" t="s">
        <v>70</v>
      </c>
      <c r="D1" s="12" t="s">
        <v>72</v>
      </c>
      <c r="E1" s="12" t="s">
        <v>71</v>
      </c>
    </row>
    <row r="2" spans="1:5" x14ac:dyDescent="0.25">
      <c r="A2" s="11">
        <v>1991</v>
      </c>
      <c r="B2" s="11" t="s">
        <v>11</v>
      </c>
      <c r="C2" s="13">
        <v>67024</v>
      </c>
      <c r="D2" s="13">
        <v>32605</v>
      </c>
      <c r="E2" s="13">
        <v>34419</v>
      </c>
    </row>
    <row r="3" spans="1:5" x14ac:dyDescent="0.25">
      <c r="A3" s="11">
        <v>1991</v>
      </c>
      <c r="B3" s="11" t="s">
        <v>227</v>
      </c>
      <c r="C3" s="13">
        <v>2697</v>
      </c>
      <c r="D3" s="13">
        <v>1307</v>
      </c>
      <c r="E3" s="13">
        <v>1390</v>
      </c>
    </row>
    <row r="4" spans="1:5" x14ac:dyDescent="0.25">
      <c r="A4" s="11">
        <v>1991</v>
      </c>
      <c r="B4" s="11" t="s">
        <v>228</v>
      </c>
      <c r="C4" s="13">
        <v>2918</v>
      </c>
      <c r="D4" s="13">
        <v>1408</v>
      </c>
      <c r="E4" s="13">
        <v>1510</v>
      </c>
    </row>
    <row r="5" spans="1:5" x14ac:dyDescent="0.25">
      <c r="A5" s="11">
        <v>1991</v>
      </c>
      <c r="B5" s="11" t="s">
        <v>229</v>
      </c>
      <c r="C5" s="13">
        <v>1336</v>
      </c>
      <c r="D5" s="13">
        <v>647</v>
      </c>
      <c r="E5" s="13">
        <v>689</v>
      </c>
    </row>
    <row r="6" spans="1:5" x14ac:dyDescent="0.25">
      <c r="A6" s="11">
        <v>1991</v>
      </c>
      <c r="B6" s="11" t="s">
        <v>230</v>
      </c>
      <c r="C6" s="13">
        <v>1220</v>
      </c>
      <c r="D6" s="13">
        <v>582</v>
      </c>
      <c r="E6" s="13">
        <v>638</v>
      </c>
    </row>
    <row r="7" spans="1:5" x14ac:dyDescent="0.25">
      <c r="A7" s="11">
        <v>1991</v>
      </c>
      <c r="B7" s="11" t="s">
        <v>231</v>
      </c>
      <c r="C7" s="13">
        <v>5671</v>
      </c>
      <c r="D7" s="13">
        <v>2756</v>
      </c>
      <c r="E7" s="13">
        <v>2915</v>
      </c>
    </row>
    <row r="8" spans="1:5" x14ac:dyDescent="0.25">
      <c r="A8" s="11">
        <v>1991</v>
      </c>
      <c r="B8" s="11" t="s">
        <v>232</v>
      </c>
      <c r="C8" s="13">
        <v>663</v>
      </c>
      <c r="D8" s="13">
        <v>338</v>
      </c>
      <c r="E8" s="13">
        <v>325</v>
      </c>
    </row>
    <row r="9" spans="1:5" x14ac:dyDescent="0.25">
      <c r="A9" s="11">
        <v>1991</v>
      </c>
      <c r="B9" s="11" t="s">
        <v>233</v>
      </c>
      <c r="C9" s="13">
        <v>1781</v>
      </c>
      <c r="D9" s="13">
        <v>884</v>
      </c>
      <c r="E9" s="13">
        <v>897</v>
      </c>
    </row>
    <row r="10" spans="1:5" x14ac:dyDescent="0.25">
      <c r="A10" s="11">
        <v>1991</v>
      </c>
      <c r="B10" s="11" t="s">
        <v>234</v>
      </c>
      <c r="C10" s="13">
        <v>2017</v>
      </c>
      <c r="D10" s="13">
        <v>998</v>
      </c>
      <c r="E10" s="13">
        <v>1019</v>
      </c>
    </row>
    <row r="11" spans="1:5" x14ac:dyDescent="0.25">
      <c r="A11" s="11">
        <v>1991</v>
      </c>
      <c r="B11" s="11" t="s">
        <v>235</v>
      </c>
      <c r="C11" s="13">
        <v>1727</v>
      </c>
      <c r="D11" s="13">
        <v>880</v>
      </c>
      <c r="E11" s="13">
        <v>847</v>
      </c>
    </row>
    <row r="12" spans="1:5" x14ac:dyDescent="0.25">
      <c r="A12" s="11">
        <v>1991</v>
      </c>
      <c r="B12" s="11" t="s">
        <v>236</v>
      </c>
      <c r="C12" s="13">
        <v>1370</v>
      </c>
      <c r="D12" s="13">
        <v>662</v>
      </c>
      <c r="E12" s="13">
        <v>708</v>
      </c>
    </row>
    <row r="13" spans="1:5" x14ac:dyDescent="0.25">
      <c r="A13" s="11">
        <v>1991</v>
      </c>
      <c r="B13" s="11" t="s">
        <v>237</v>
      </c>
      <c r="C13" s="13">
        <v>1113</v>
      </c>
      <c r="D13" s="13">
        <v>554</v>
      </c>
      <c r="E13" s="13">
        <v>559</v>
      </c>
    </row>
    <row r="14" spans="1:5" x14ac:dyDescent="0.25">
      <c r="A14" s="11">
        <v>1991</v>
      </c>
      <c r="B14" s="11" t="s">
        <v>238</v>
      </c>
      <c r="C14" s="13">
        <v>1123</v>
      </c>
      <c r="D14" s="13">
        <v>525</v>
      </c>
      <c r="E14" s="13">
        <v>598</v>
      </c>
    </row>
    <row r="15" spans="1:5" x14ac:dyDescent="0.25">
      <c r="A15" s="11">
        <v>1991</v>
      </c>
      <c r="B15" s="11" t="s">
        <v>239</v>
      </c>
      <c r="C15" s="13">
        <v>1932</v>
      </c>
      <c r="D15" s="13">
        <v>950</v>
      </c>
      <c r="E15" s="13">
        <v>982</v>
      </c>
    </row>
    <row r="16" spans="1:5" x14ac:dyDescent="0.25">
      <c r="A16" s="11">
        <v>1991</v>
      </c>
      <c r="B16" s="11" t="s">
        <v>240</v>
      </c>
      <c r="C16" s="13">
        <v>4388</v>
      </c>
      <c r="D16" s="13">
        <v>2102</v>
      </c>
      <c r="E16" s="13">
        <v>2286</v>
      </c>
    </row>
    <row r="17" spans="1:5" x14ac:dyDescent="0.25">
      <c r="A17" s="11">
        <v>1991</v>
      </c>
      <c r="B17" s="11" t="s">
        <v>241</v>
      </c>
      <c r="C17" s="13">
        <v>9027</v>
      </c>
      <c r="D17" s="13">
        <v>4347</v>
      </c>
      <c r="E17" s="13">
        <v>4680</v>
      </c>
    </row>
    <row r="18" spans="1:5" x14ac:dyDescent="0.25">
      <c r="A18" s="11">
        <v>1991</v>
      </c>
      <c r="B18" s="11" t="s">
        <v>242</v>
      </c>
      <c r="C18" s="13">
        <v>2657</v>
      </c>
      <c r="D18" s="13">
        <v>1276</v>
      </c>
      <c r="E18" s="13">
        <v>1381</v>
      </c>
    </row>
    <row r="19" spans="1:5" x14ac:dyDescent="0.25">
      <c r="A19" s="11">
        <v>1991</v>
      </c>
      <c r="B19" s="11" t="s">
        <v>243</v>
      </c>
      <c r="C19" s="13">
        <v>1185</v>
      </c>
      <c r="D19" s="13">
        <v>555</v>
      </c>
      <c r="E19" s="13">
        <v>630</v>
      </c>
    </row>
    <row r="20" spans="1:5" x14ac:dyDescent="0.25">
      <c r="A20" s="11">
        <v>1991</v>
      </c>
      <c r="B20" s="11" t="s">
        <v>244</v>
      </c>
      <c r="C20" s="13">
        <v>1080</v>
      </c>
      <c r="D20" s="13">
        <v>528</v>
      </c>
      <c r="E20" s="13">
        <v>552</v>
      </c>
    </row>
    <row r="21" spans="1:5" x14ac:dyDescent="0.25">
      <c r="A21" s="11">
        <v>1991</v>
      </c>
      <c r="B21" s="11" t="s">
        <v>245</v>
      </c>
      <c r="C21" s="13">
        <v>1162</v>
      </c>
      <c r="D21" s="13">
        <v>569</v>
      </c>
      <c r="E21" s="13">
        <v>593</v>
      </c>
    </row>
    <row r="22" spans="1:5" x14ac:dyDescent="0.25">
      <c r="A22" s="11">
        <v>1991</v>
      </c>
      <c r="B22" s="11" t="s">
        <v>246</v>
      </c>
      <c r="C22" s="13">
        <v>329</v>
      </c>
      <c r="D22" s="13">
        <v>153</v>
      </c>
      <c r="E22" s="13">
        <v>176</v>
      </c>
    </row>
    <row r="23" spans="1:5" x14ac:dyDescent="0.25">
      <c r="A23" s="11">
        <v>1991</v>
      </c>
      <c r="B23" s="11" t="s">
        <v>247</v>
      </c>
      <c r="C23" s="13">
        <v>1931</v>
      </c>
      <c r="D23" s="13">
        <v>940</v>
      </c>
      <c r="E23" s="13">
        <v>991</v>
      </c>
    </row>
    <row r="24" spans="1:5" x14ac:dyDescent="0.25">
      <c r="A24" s="11">
        <v>1991</v>
      </c>
      <c r="B24" s="11" t="s">
        <v>248</v>
      </c>
      <c r="C24" s="13">
        <v>4482</v>
      </c>
      <c r="D24" s="13">
        <v>2204</v>
      </c>
      <c r="E24" s="13">
        <v>2278</v>
      </c>
    </row>
    <row r="25" spans="1:5" x14ac:dyDescent="0.25">
      <c r="A25" s="11">
        <v>1991</v>
      </c>
      <c r="B25" s="11" t="s">
        <v>249</v>
      </c>
      <c r="C25" s="13">
        <v>237</v>
      </c>
      <c r="D25" s="13">
        <v>116</v>
      </c>
      <c r="E25" s="13">
        <v>121</v>
      </c>
    </row>
    <row r="26" spans="1:5" x14ac:dyDescent="0.25">
      <c r="A26" s="11">
        <v>1991</v>
      </c>
      <c r="B26" s="11" t="s">
        <v>250</v>
      </c>
      <c r="C26" s="13">
        <v>1554</v>
      </c>
      <c r="D26" s="13">
        <v>722</v>
      </c>
      <c r="E26" s="13">
        <v>832</v>
      </c>
    </row>
    <row r="27" spans="1:5" x14ac:dyDescent="0.25">
      <c r="A27" s="11">
        <v>1991</v>
      </c>
      <c r="B27" s="11" t="s">
        <v>251</v>
      </c>
      <c r="C27" s="13">
        <v>2219</v>
      </c>
      <c r="D27" s="13">
        <v>1079</v>
      </c>
      <c r="E27" s="13">
        <v>1140</v>
      </c>
    </row>
    <row r="28" spans="1:5" x14ac:dyDescent="0.25">
      <c r="A28" s="11">
        <v>1991</v>
      </c>
      <c r="B28" s="11" t="s">
        <v>252</v>
      </c>
      <c r="C28" s="13">
        <v>1259</v>
      </c>
      <c r="D28" s="13">
        <v>629</v>
      </c>
      <c r="E28" s="13">
        <v>630</v>
      </c>
    </row>
    <row r="29" spans="1:5" x14ac:dyDescent="0.25">
      <c r="A29" s="11">
        <v>1991</v>
      </c>
      <c r="B29" s="11" t="s">
        <v>253</v>
      </c>
      <c r="C29" s="13">
        <v>324</v>
      </c>
      <c r="D29" s="13">
        <v>152</v>
      </c>
      <c r="E29" s="13">
        <v>172</v>
      </c>
    </row>
    <row r="30" spans="1:5" x14ac:dyDescent="0.25">
      <c r="A30" s="11">
        <v>1991</v>
      </c>
      <c r="B30" s="11" t="s">
        <v>254</v>
      </c>
      <c r="C30" s="13">
        <v>1230</v>
      </c>
      <c r="D30" s="13">
        <v>587</v>
      </c>
      <c r="E30" s="13">
        <v>643</v>
      </c>
    </row>
    <row r="31" spans="1:5" x14ac:dyDescent="0.25">
      <c r="A31" s="11">
        <v>1991</v>
      </c>
      <c r="B31" s="11" t="s">
        <v>255</v>
      </c>
      <c r="C31" s="13">
        <v>4050</v>
      </c>
      <c r="D31" s="13">
        <v>1987</v>
      </c>
      <c r="E31" s="13">
        <v>2063</v>
      </c>
    </row>
    <row r="32" spans="1:5" x14ac:dyDescent="0.25">
      <c r="A32" s="11">
        <v>1991</v>
      </c>
      <c r="B32" s="11" t="s">
        <v>256</v>
      </c>
      <c r="C32" s="13">
        <v>971</v>
      </c>
      <c r="D32" s="13">
        <v>492</v>
      </c>
      <c r="E32" s="13">
        <v>479</v>
      </c>
    </row>
    <row r="33" spans="1:5" x14ac:dyDescent="0.25">
      <c r="A33" s="11">
        <v>1991</v>
      </c>
      <c r="B33" s="11" t="s">
        <v>257</v>
      </c>
      <c r="C33" s="13">
        <v>1277</v>
      </c>
      <c r="D33" s="13">
        <v>629</v>
      </c>
      <c r="E33" s="13">
        <v>648</v>
      </c>
    </row>
    <row r="34" spans="1:5" x14ac:dyDescent="0.25">
      <c r="A34" s="11">
        <v>1991</v>
      </c>
      <c r="B34" s="11" t="s">
        <v>258</v>
      </c>
      <c r="C34" s="13">
        <v>2094</v>
      </c>
      <c r="D34" s="13">
        <v>1047</v>
      </c>
      <c r="E34" s="13">
        <v>1047</v>
      </c>
    </row>
    <row r="35" spans="1:5" x14ac:dyDescent="0.25">
      <c r="A35" s="11">
        <v>1992</v>
      </c>
      <c r="B35" s="11" t="s">
        <v>11</v>
      </c>
      <c r="C35" s="13">
        <v>65789</v>
      </c>
      <c r="D35" s="13">
        <v>32179</v>
      </c>
      <c r="E35" s="13">
        <v>33610</v>
      </c>
    </row>
    <row r="36" spans="1:5" x14ac:dyDescent="0.25">
      <c r="A36" s="11">
        <v>1992</v>
      </c>
      <c r="B36" s="11" t="s">
        <v>227</v>
      </c>
      <c r="C36" s="13">
        <v>2662</v>
      </c>
      <c r="D36" s="13">
        <v>1335</v>
      </c>
      <c r="E36" s="13">
        <v>1327</v>
      </c>
    </row>
    <row r="37" spans="1:5" x14ac:dyDescent="0.25">
      <c r="A37" s="11">
        <v>1992</v>
      </c>
      <c r="B37" s="11" t="s">
        <v>228</v>
      </c>
      <c r="C37" s="13">
        <v>3021</v>
      </c>
      <c r="D37" s="13">
        <v>1537</v>
      </c>
      <c r="E37" s="13">
        <v>1484</v>
      </c>
    </row>
    <row r="38" spans="1:5" x14ac:dyDescent="0.25">
      <c r="A38" s="11">
        <v>1992</v>
      </c>
      <c r="B38" s="11" t="s">
        <v>229</v>
      </c>
      <c r="C38" s="13">
        <v>1373</v>
      </c>
      <c r="D38" s="13">
        <v>680</v>
      </c>
      <c r="E38" s="13">
        <v>693</v>
      </c>
    </row>
    <row r="39" spans="1:5" x14ac:dyDescent="0.25">
      <c r="A39" s="11">
        <v>1992</v>
      </c>
      <c r="B39" s="11" t="s">
        <v>230</v>
      </c>
      <c r="C39" s="13">
        <v>1118</v>
      </c>
      <c r="D39" s="13">
        <v>570</v>
      </c>
      <c r="E39" s="13">
        <v>548</v>
      </c>
    </row>
    <row r="40" spans="1:5" x14ac:dyDescent="0.25">
      <c r="A40" s="11">
        <v>1992</v>
      </c>
      <c r="B40" s="11" t="s">
        <v>231</v>
      </c>
      <c r="C40" s="13">
        <v>5477</v>
      </c>
      <c r="D40" s="13">
        <v>2628</v>
      </c>
      <c r="E40" s="13">
        <v>2849</v>
      </c>
    </row>
    <row r="41" spans="1:5" x14ac:dyDescent="0.25">
      <c r="A41" s="11">
        <v>1992</v>
      </c>
      <c r="B41" s="11" t="s">
        <v>232</v>
      </c>
      <c r="C41" s="13">
        <v>679</v>
      </c>
      <c r="D41" s="13">
        <v>323</v>
      </c>
      <c r="E41" s="13">
        <v>356</v>
      </c>
    </row>
    <row r="42" spans="1:5" x14ac:dyDescent="0.25">
      <c r="A42" s="11">
        <v>1992</v>
      </c>
      <c r="B42" s="11" t="s">
        <v>233</v>
      </c>
      <c r="C42" s="13">
        <v>1751</v>
      </c>
      <c r="D42" s="13">
        <v>898</v>
      </c>
      <c r="E42" s="13">
        <v>853</v>
      </c>
    </row>
    <row r="43" spans="1:5" x14ac:dyDescent="0.25">
      <c r="A43" s="11">
        <v>1992</v>
      </c>
      <c r="B43" s="11" t="s">
        <v>234</v>
      </c>
      <c r="C43" s="13">
        <v>1982</v>
      </c>
      <c r="D43" s="13">
        <v>961</v>
      </c>
      <c r="E43" s="13">
        <v>1021</v>
      </c>
    </row>
    <row r="44" spans="1:5" x14ac:dyDescent="0.25">
      <c r="A44" s="11">
        <v>1992</v>
      </c>
      <c r="B44" s="11" t="s">
        <v>235</v>
      </c>
      <c r="C44" s="13">
        <v>1659</v>
      </c>
      <c r="D44" s="13">
        <v>800</v>
      </c>
      <c r="E44" s="13">
        <v>859</v>
      </c>
    </row>
    <row r="45" spans="1:5" x14ac:dyDescent="0.25">
      <c r="A45" s="11">
        <v>1992</v>
      </c>
      <c r="B45" s="11" t="s">
        <v>236</v>
      </c>
      <c r="C45" s="13">
        <v>1266</v>
      </c>
      <c r="D45" s="13">
        <v>639</v>
      </c>
      <c r="E45" s="13">
        <v>627</v>
      </c>
    </row>
    <row r="46" spans="1:5" x14ac:dyDescent="0.25">
      <c r="A46" s="11">
        <v>1992</v>
      </c>
      <c r="B46" s="11" t="s">
        <v>237</v>
      </c>
      <c r="C46" s="13">
        <v>1147</v>
      </c>
      <c r="D46" s="13">
        <v>536</v>
      </c>
      <c r="E46" s="13">
        <v>611</v>
      </c>
    </row>
    <row r="47" spans="1:5" x14ac:dyDescent="0.25">
      <c r="A47" s="11">
        <v>1992</v>
      </c>
      <c r="B47" s="11" t="s">
        <v>238</v>
      </c>
      <c r="C47" s="13">
        <v>1131</v>
      </c>
      <c r="D47" s="13">
        <v>573</v>
      </c>
      <c r="E47" s="13">
        <v>558</v>
      </c>
    </row>
    <row r="48" spans="1:5" x14ac:dyDescent="0.25">
      <c r="A48" s="11">
        <v>1992</v>
      </c>
      <c r="B48" s="11" t="s">
        <v>239</v>
      </c>
      <c r="C48" s="13">
        <v>1842</v>
      </c>
      <c r="D48" s="13">
        <v>895</v>
      </c>
      <c r="E48" s="13">
        <v>947</v>
      </c>
    </row>
    <row r="49" spans="1:5" x14ac:dyDescent="0.25">
      <c r="A49" s="11">
        <v>1992</v>
      </c>
      <c r="B49" s="11" t="s">
        <v>240</v>
      </c>
      <c r="C49" s="13">
        <v>4306</v>
      </c>
      <c r="D49" s="13">
        <v>2097</v>
      </c>
      <c r="E49" s="13">
        <v>2209</v>
      </c>
    </row>
    <row r="50" spans="1:5" x14ac:dyDescent="0.25">
      <c r="A50" s="11">
        <v>1992</v>
      </c>
      <c r="B50" s="11" t="s">
        <v>241</v>
      </c>
      <c r="C50" s="13">
        <v>8734</v>
      </c>
      <c r="D50" s="13">
        <v>4319</v>
      </c>
      <c r="E50" s="13">
        <v>4415</v>
      </c>
    </row>
    <row r="51" spans="1:5" x14ac:dyDescent="0.25">
      <c r="A51" s="11">
        <v>1992</v>
      </c>
      <c r="B51" s="11" t="s">
        <v>242</v>
      </c>
      <c r="C51" s="13">
        <v>2694</v>
      </c>
      <c r="D51" s="13">
        <v>1281</v>
      </c>
      <c r="E51" s="13">
        <v>1413</v>
      </c>
    </row>
    <row r="52" spans="1:5" x14ac:dyDescent="0.25">
      <c r="A52" s="11">
        <v>1992</v>
      </c>
      <c r="B52" s="11" t="s">
        <v>243</v>
      </c>
      <c r="C52" s="13">
        <v>1157</v>
      </c>
      <c r="D52" s="13">
        <v>546</v>
      </c>
      <c r="E52" s="13">
        <v>611</v>
      </c>
    </row>
    <row r="53" spans="1:5" x14ac:dyDescent="0.25">
      <c r="A53" s="11">
        <v>1992</v>
      </c>
      <c r="B53" s="11" t="s">
        <v>244</v>
      </c>
      <c r="C53" s="13">
        <v>1077</v>
      </c>
      <c r="D53" s="13">
        <v>503</v>
      </c>
      <c r="E53" s="13">
        <v>574</v>
      </c>
    </row>
    <row r="54" spans="1:5" x14ac:dyDescent="0.25">
      <c r="A54" s="11">
        <v>1992</v>
      </c>
      <c r="B54" s="11" t="s">
        <v>245</v>
      </c>
      <c r="C54" s="13">
        <v>1166</v>
      </c>
      <c r="D54" s="13">
        <v>571</v>
      </c>
      <c r="E54" s="13">
        <v>595</v>
      </c>
    </row>
    <row r="55" spans="1:5" x14ac:dyDescent="0.25">
      <c r="A55" s="11">
        <v>1992</v>
      </c>
      <c r="B55" s="11" t="s">
        <v>246</v>
      </c>
      <c r="C55" s="13">
        <v>332</v>
      </c>
      <c r="D55" s="13">
        <v>164</v>
      </c>
      <c r="E55" s="13">
        <v>168</v>
      </c>
    </row>
    <row r="56" spans="1:5" x14ac:dyDescent="0.25">
      <c r="A56" s="11">
        <v>1992</v>
      </c>
      <c r="B56" s="11" t="s">
        <v>247</v>
      </c>
      <c r="C56" s="13">
        <v>1797</v>
      </c>
      <c r="D56" s="13">
        <v>869</v>
      </c>
      <c r="E56" s="13">
        <v>928</v>
      </c>
    </row>
    <row r="57" spans="1:5" x14ac:dyDescent="0.25">
      <c r="A57" s="11">
        <v>1992</v>
      </c>
      <c r="B57" s="11" t="s">
        <v>248</v>
      </c>
      <c r="C57" s="13">
        <v>4342</v>
      </c>
      <c r="D57" s="13">
        <v>2072</v>
      </c>
      <c r="E57" s="13">
        <v>2270</v>
      </c>
    </row>
    <row r="58" spans="1:5" x14ac:dyDescent="0.25">
      <c r="A58" s="11">
        <v>1992</v>
      </c>
      <c r="B58" s="11" t="s">
        <v>249</v>
      </c>
      <c r="C58" s="13">
        <v>239</v>
      </c>
      <c r="D58" s="13">
        <v>123</v>
      </c>
      <c r="E58" s="13">
        <v>116</v>
      </c>
    </row>
    <row r="59" spans="1:5" x14ac:dyDescent="0.25">
      <c r="A59" s="11">
        <v>1992</v>
      </c>
      <c r="B59" s="11" t="s">
        <v>250</v>
      </c>
      <c r="C59" s="13">
        <v>1523</v>
      </c>
      <c r="D59" s="13">
        <v>746</v>
      </c>
      <c r="E59" s="13">
        <v>777</v>
      </c>
    </row>
    <row r="60" spans="1:5" x14ac:dyDescent="0.25">
      <c r="A60" s="11">
        <v>1992</v>
      </c>
      <c r="B60" s="11" t="s">
        <v>251</v>
      </c>
      <c r="C60" s="13">
        <v>2299</v>
      </c>
      <c r="D60" s="13">
        <v>1149</v>
      </c>
      <c r="E60" s="13">
        <v>1150</v>
      </c>
    </row>
    <row r="61" spans="1:5" x14ac:dyDescent="0.25">
      <c r="A61" s="11">
        <v>1992</v>
      </c>
      <c r="B61" s="11" t="s">
        <v>252</v>
      </c>
      <c r="C61" s="13">
        <v>1196</v>
      </c>
      <c r="D61" s="13">
        <v>565</v>
      </c>
      <c r="E61" s="13">
        <v>631</v>
      </c>
    </row>
    <row r="62" spans="1:5" x14ac:dyDescent="0.25">
      <c r="A62" s="11">
        <v>1992</v>
      </c>
      <c r="B62" s="11" t="s">
        <v>253</v>
      </c>
      <c r="C62" s="13">
        <v>325</v>
      </c>
      <c r="D62" s="13">
        <v>146</v>
      </c>
      <c r="E62" s="13">
        <v>179</v>
      </c>
    </row>
    <row r="63" spans="1:5" x14ac:dyDescent="0.25">
      <c r="A63" s="11">
        <v>1992</v>
      </c>
      <c r="B63" s="11" t="s">
        <v>254</v>
      </c>
      <c r="C63" s="13">
        <v>1267</v>
      </c>
      <c r="D63" s="13">
        <v>621</v>
      </c>
      <c r="E63" s="13">
        <v>646</v>
      </c>
    </row>
    <row r="64" spans="1:5" x14ac:dyDescent="0.25">
      <c r="A64" s="11">
        <v>1992</v>
      </c>
      <c r="B64" s="11" t="s">
        <v>255</v>
      </c>
      <c r="C64" s="13">
        <v>3880</v>
      </c>
      <c r="D64" s="13">
        <v>1905</v>
      </c>
      <c r="E64" s="13">
        <v>1975</v>
      </c>
    </row>
    <row r="65" spans="1:5" x14ac:dyDescent="0.25">
      <c r="A65" s="11">
        <v>1992</v>
      </c>
      <c r="B65" s="11" t="s">
        <v>256</v>
      </c>
      <c r="C65" s="13">
        <v>936</v>
      </c>
      <c r="D65" s="13">
        <v>458</v>
      </c>
      <c r="E65" s="13">
        <v>478</v>
      </c>
    </row>
    <row r="66" spans="1:5" x14ac:dyDescent="0.25">
      <c r="A66" s="11">
        <v>1992</v>
      </c>
      <c r="B66" s="11" t="s">
        <v>257</v>
      </c>
      <c r="C66" s="13">
        <v>1322</v>
      </c>
      <c r="D66" s="13">
        <v>636</v>
      </c>
      <c r="E66" s="13">
        <v>686</v>
      </c>
    </row>
    <row r="67" spans="1:5" x14ac:dyDescent="0.25">
      <c r="A67" s="11">
        <v>1992</v>
      </c>
      <c r="B67" s="11" t="s">
        <v>258</v>
      </c>
      <c r="C67" s="13">
        <v>2089</v>
      </c>
      <c r="D67" s="13">
        <v>1033</v>
      </c>
      <c r="E67" s="13">
        <v>1056</v>
      </c>
    </row>
    <row r="68" spans="1:5" x14ac:dyDescent="0.25">
      <c r="A68" s="11">
        <v>1993</v>
      </c>
      <c r="B68" s="11" t="s">
        <v>11</v>
      </c>
      <c r="C68" s="13">
        <v>63337</v>
      </c>
      <c r="D68" s="13">
        <v>30963</v>
      </c>
      <c r="E68" s="13">
        <v>32374</v>
      </c>
    </row>
    <row r="69" spans="1:5" x14ac:dyDescent="0.25">
      <c r="A69" s="11">
        <v>1993</v>
      </c>
      <c r="B69" s="11" t="s">
        <v>227</v>
      </c>
      <c r="C69" s="13">
        <v>2620</v>
      </c>
      <c r="D69" s="13">
        <v>1252</v>
      </c>
      <c r="E69" s="13">
        <v>1368</v>
      </c>
    </row>
    <row r="70" spans="1:5" x14ac:dyDescent="0.25">
      <c r="A70" s="11">
        <v>1993</v>
      </c>
      <c r="B70" s="11" t="s">
        <v>228</v>
      </c>
      <c r="C70" s="13">
        <v>2855</v>
      </c>
      <c r="D70" s="13">
        <v>1417</v>
      </c>
      <c r="E70" s="13">
        <v>1438</v>
      </c>
    </row>
    <row r="71" spans="1:5" x14ac:dyDescent="0.25">
      <c r="A71" s="11">
        <v>1993</v>
      </c>
      <c r="B71" s="11" t="s">
        <v>229</v>
      </c>
      <c r="C71" s="13">
        <v>1363</v>
      </c>
      <c r="D71" s="13">
        <v>632</v>
      </c>
      <c r="E71" s="13">
        <v>731</v>
      </c>
    </row>
    <row r="72" spans="1:5" x14ac:dyDescent="0.25">
      <c r="A72" s="11">
        <v>1993</v>
      </c>
      <c r="B72" s="11" t="s">
        <v>230</v>
      </c>
      <c r="C72" s="13">
        <v>1008</v>
      </c>
      <c r="D72" s="13">
        <v>507</v>
      </c>
      <c r="E72" s="13">
        <v>501</v>
      </c>
    </row>
    <row r="73" spans="1:5" x14ac:dyDescent="0.25">
      <c r="A73" s="11">
        <v>1993</v>
      </c>
      <c r="B73" s="11" t="s">
        <v>231</v>
      </c>
      <c r="C73" s="13">
        <v>5229</v>
      </c>
      <c r="D73" s="13">
        <v>2592</v>
      </c>
      <c r="E73" s="13">
        <v>2637</v>
      </c>
    </row>
    <row r="74" spans="1:5" x14ac:dyDescent="0.25">
      <c r="A74" s="11">
        <v>1993</v>
      </c>
      <c r="B74" s="11" t="s">
        <v>232</v>
      </c>
      <c r="C74" s="13">
        <v>636</v>
      </c>
      <c r="D74" s="13">
        <v>312</v>
      </c>
      <c r="E74" s="13">
        <v>324</v>
      </c>
    </row>
    <row r="75" spans="1:5" x14ac:dyDescent="0.25">
      <c r="A75" s="11">
        <v>1993</v>
      </c>
      <c r="B75" s="11" t="s">
        <v>233</v>
      </c>
      <c r="C75" s="13">
        <v>1709</v>
      </c>
      <c r="D75" s="13">
        <v>846</v>
      </c>
      <c r="E75" s="13">
        <v>863</v>
      </c>
    </row>
    <row r="76" spans="1:5" x14ac:dyDescent="0.25">
      <c r="A76" s="11">
        <v>1993</v>
      </c>
      <c r="B76" s="11" t="s">
        <v>234</v>
      </c>
      <c r="C76" s="13">
        <v>1894</v>
      </c>
      <c r="D76" s="13">
        <v>895</v>
      </c>
      <c r="E76" s="13">
        <v>999</v>
      </c>
    </row>
    <row r="77" spans="1:5" x14ac:dyDescent="0.25">
      <c r="A77" s="11">
        <v>1993</v>
      </c>
      <c r="B77" s="11" t="s">
        <v>235</v>
      </c>
      <c r="C77" s="13">
        <v>1585</v>
      </c>
      <c r="D77" s="13">
        <v>795</v>
      </c>
      <c r="E77" s="13">
        <v>790</v>
      </c>
    </row>
    <row r="78" spans="1:5" x14ac:dyDescent="0.25">
      <c r="A78" s="11">
        <v>1993</v>
      </c>
      <c r="B78" s="11" t="s">
        <v>236</v>
      </c>
      <c r="C78" s="13">
        <v>1230</v>
      </c>
      <c r="D78" s="13">
        <v>590</v>
      </c>
      <c r="E78" s="13">
        <v>640</v>
      </c>
    </row>
    <row r="79" spans="1:5" x14ac:dyDescent="0.25">
      <c r="A79" s="11">
        <v>1993</v>
      </c>
      <c r="B79" s="11" t="s">
        <v>237</v>
      </c>
      <c r="C79" s="13">
        <v>1097</v>
      </c>
      <c r="D79" s="13">
        <v>527</v>
      </c>
      <c r="E79" s="13">
        <v>570</v>
      </c>
    </row>
    <row r="80" spans="1:5" x14ac:dyDescent="0.25">
      <c r="A80" s="11">
        <v>1993</v>
      </c>
      <c r="B80" s="11" t="s">
        <v>238</v>
      </c>
      <c r="C80" s="13">
        <v>1151</v>
      </c>
      <c r="D80" s="13">
        <v>585</v>
      </c>
      <c r="E80" s="13">
        <v>566</v>
      </c>
    </row>
    <row r="81" spans="1:5" x14ac:dyDescent="0.25">
      <c r="A81" s="11">
        <v>1993</v>
      </c>
      <c r="B81" s="11" t="s">
        <v>239</v>
      </c>
      <c r="C81" s="13">
        <v>1795</v>
      </c>
      <c r="D81" s="13">
        <v>905</v>
      </c>
      <c r="E81" s="13">
        <v>890</v>
      </c>
    </row>
    <row r="82" spans="1:5" x14ac:dyDescent="0.25">
      <c r="A82" s="11">
        <v>1993</v>
      </c>
      <c r="B82" s="11" t="s">
        <v>240</v>
      </c>
      <c r="C82" s="13">
        <v>4278</v>
      </c>
      <c r="D82" s="13">
        <v>2153</v>
      </c>
      <c r="E82" s="13">
        <v>2125</v>
      </c>
    </row>
    <row r="83" spans="1:5" x14ac:dyDescent="0.25">
      <c r="A83" s="11">
        <v>1993</v>
      </c>
      <c r="B83" s="11" t="s">
        <v>241</v>
      </c>
      <c r="C83" s="13">
        <v>8251</v>
      </c>
      <c r="D83" s="13">
        <v>4004</v>
      </c>
      <c r="E83" s="13">
        <v>4247</v>
      </c>
    </row>
    <row r="84" spans="1:5" x14ac:dyDescent="0.25">
      <c r="A84" s="11">
        <v>1993</v>
      </c>
      <c r="B84" s="11" t="s">
        <v>242</v>
      </c>
      <c r="C84" s="13">
        <v>2541</v>
      </c>
      <c r="D84" s="13">
        <v>1267</v>
      </c>
      <c r="E84" s="13">
        <v>1274</v>
      </c>
    </row>
    <row r="85" spans="1:5" x14ac:dyDescent="0.25">
      <c r="A85" s="11">
        <v>1993</v>
      </c>
      <c r="B85" s="11" t="s">
        <v>243</v>
      </c>
      <c r="C85" s="13">
        <v>1097</v>
      </c>
      <c r="D85" s="13">
        <v>539</v>
      </c>
      <c r="E85" s="13">
        <v>558</v>
      </c>
    </row>
    <row r="86" spans="1:5" x14ac:dyDescent="0.25">
      <c r="A86" s="11">
        <v>1993</v>
      </c>
      <c r="B86" s="11" t="s">
        <v>244</v>
      </c>
      <c r="C86" s="13">
        <v>980</v>
      </c>
      <c r="D86" s="13">
        <v>466</v>
      </c>
      <c r="E86" s="13">
        <v>514</v>
      </c>
    </row>
    <row r="87" spans="1:5" x14ac:dyDescent="0.25">
      <c r="A87" s="11">
        <v>1993</v>
      </c>
      <c r="B87" s="11" t="s">
        <v>245</v>
      </c>
      <c r="C87" s="13">
        <v>1147</v>
      </c>
      <c r="D87" s="13">
        <v>560</v>
      </c>
      <c r="E87" s="13">
        <v>587</v>
      </c>
    </row>
    <row r="88" spans="1:5" x14ac:dyDescent="0.25">
      <c r="A88" s="11">
        <v>1993</v>
      </c>
      <c r="B88" s="11" t="s">
        <v>246</v>
      </c>
      <c r="C88" s="13">
        <v>283</v>
      </c>
      <c r="D88" s="13">
        <v>126</v>
      </c>
      <c r="E88" s="13">
        <v>157</v>
      </c>
    </row>
    <row r="89" spans="1:5" x14ac:dyDescent="0.25">
      <c r="A89" s="11">
        <v>1993</v>
      </c>
      <c r="B89" s="11" t="s">
        <v>247</v>
      </c>
      <c r="C89" s="13">
        <v>1739</v>
      </c>
      <c r="D89" s="13">
        <v>840</v>
      </c>
      <c r="E89" s="13">
        <v>899</v>
      </c>
    </row>
    <row r="90" spans="1:5" x14ac:dyDescent="0.25">
      <c r="A90" s="11">
        <v>1993</v>
      </c>
      <c r="B90" s="11" t="s">
        <v>248</v>
      </c>
      <c r="C90" s="13">
        <v>4176</v>
      </c>
      <c r="D90" s="13">
        <v>2005</v>
      </c>
      <c r="E90" s="13">
        <v>2171</v>
      </c>
    </row>
    <row r="91" spans="1:5" x14ac:dyDescent="0.25">
      <c r="A91" s="11">
        <v>1993</v>
      </c>
      <c r="B91" s="11" t="s">
        <v>249</v>
      </c>
      <c r="C91" s="13">
        <v>237</v>
      </c>
      <c r="D91" s="13">
        <v>119</v>
      </c>
      <c r="E91" s="13">
        <v>118</v>
      </c>
    </row>
    <row r="92" spans="1:5" x14ac:dyDescent="0.25">
      <c r="A92" s="11">
        <v>1993</v>
      </c>
      <c r="B92" s="11" t="s">
        <v>250</v>
      </c>
      <c r="C92" s="13">
        <v>1487</v>
      </c>
      <c r="D92" s="13">
        <v>717</v>
      </c>
      <c r="E92" s="13">
        <v>770</v>
      </c>
    </row>
    <row r="93" spans="1:5" x14ac:dyDescent="0.25">
      <c r="A93" s="11">
        <v>1993</v>
      </c>
      <c r="B93" s="11" t="s">
        <v>251</v>
      </c>
      <c r="C93" s="13">
        <v>2132</v>
      </c>
      <c r="D93" s="13">
        <v>1003</v>
      </c>
      <c r="E93" s="13">
        <v>1129</v>
      </c>
    </row>
    <row r="94" spans="1:5" x14ac:dyDescent="0.25">
      <c r="A94" s="11">
        <v>1993</v>
      </c>
      <c r="B94" s="11" t="s">
        <v>252</v>
      </c>
      <c r="C94" s="13">
        <v>1138</v>
      </c>
      <c r="D94" s="13">
        <v>565</v>
      </c>
      <c r="E94" s="13">
        <v>573</v>
      </c>
    </row>
    <row r="95" spans="1:5" x14ac:dyDescent="0.25">
      <c r="A95" s="11">
        <v>1993</v>
      </c>
      <c r="B95" s="11" t="s">
        <v>253</v>
      </c>
      <c r="C95" s="13">
        <v>313</v>
      </c>
      <c r="D95" s="13">
        <v>148</v>
      </c>
      <c r="E95" s="13">
        <v>165</v>
      </c>
    </row>
    <row r="96" spans="1:5" x14ac:dyDescent="0.25">
      <c r="A96" s="11">
        <v>1993</v>
      </c>
      <c r="B96" s="11" t="s">
        <v>254</v>
      </c>
      <c r="C96" s="13">
        <v>1248</v>
      </c>
      <c r="D96" s="13">
        <v>642</v>
      </c>
      <c r="E96" s="13">
        <v>606</v>
      </c>
    </row>
    <row r="97" spans="1:5" x14ac:dyDescent="0.25">
      <c r="A97" s="11">
        <v>1993</v>
      </c>
      <c r="B97" s="11" t="s">
        <v>255</v>
      </c>
      <c r="C97" s="13">
        <v>3911</v>
      </c>
      <c r="D97" s="13">
        <v>1928</v>
      </c>
      <c r="E97" s="13">
        <v>1983</v>
      </c>
    </row>
    <row r="98" spans="1:5" x14ac:dyDescent="0.25">
      <c r="A98" s="11">
        <v>1993</v>
      </c>
      <c r="B98" s="11" t="s">
        <v>256</v>
      </c>
      <c r="C98" s="13">
        <v>919</v>
      </c>
      <c r="D98" s="13">
        <v>452</v>
      </c>
      <c r="E98" s="13">
        <v>467</v>
      </c>
    </row>
    <row r="99" spans="1:5" x14ac:dyDescent="0.25">
      <c r="A99" s="11">
        <v>1993</v>
      </c>
      <c r="B99" s="11" t="s">
        <v>257</v>
      </c>
      <c r="C99" s="13">
        <v>1252</v>
      </c>
      <c r="D99" s="13">
        <v>582</v>
      </c>
      <c r="E99" s="13">
        <v>670</v>
      </c>
    </row>
    <row r="100" spans="1:5" x14ac:dyDescent="0.25">
      <c r="A100" s="11">
        <v>1993</v>
      </c>
      <c r="B100" s="11" t="s">
        <v>258</v>
      </c>
      <c r="C100" s="13">
        <v>2036</v>
      </c>
      <c r="D100" s="13">
        <v>992</v>
      </c>
      <c r="E100" s="13">
        <v>1044</v>
      </c>
    </row>
    <row r="101" spans="1:5" x14ac:dyDescent="0.25">
      <c r="A101" s="11">
        <v>1994</v>
      </c>
      <c r="B101" s="11" t="s">
        <v>11</v>
      </c>
      <c r="C101" s="13">
        <v>61656</v>
      </c>
      <c r="D101" s="13">
        <v>30257</v>
      </c>
      <c r="E101" s="13">
        <v>31399</v>
      </c>
    </row>
    <row r="102" spans="1:5" x14ac:dyDescent="0.25">
      <c r="A102" s="11">
        <v>1994</v>
      </c>
      <c r="B102" s="11" t="s">
        <v>227</v>
      </c>
      <c r="C102" s="13">
        <v>2626</v>
      </c>
      <c r="D102" s="13">
        <v>1321</v>
      </c>
      <c r="E102" s="13">
        <v>1305</v>
      </c>
    </row>
    <row r="103" spans="1:5" x14ac:dyDescent="0.25">
      <c r="A103" s="11">
        <v>1994</v>
      </c>
      <c r="B103" s="11" t="s">
        <v>228</v>
      </c>
      <c r="C103" s="13">
        <v>2865</v>
      </c>
      <c r="D103" s="13">
        <v>1368</v>
      </c>
      <c r="E103" s="13">
        <v>1497</v>
      </c>
    </row>
    <row r="104" spans="1:5" x14ac:dyDescent="0.25">
      <c r="A104" s="11">
        <v>1994</v>
      </c>
      <c r="B104" s="11" t="s">
        <v>229</v>
      </c>
      <c r="C104" s="13">
        <v>1277</v>
      </c>
      <c r="D104" s="13">
        <v>635</v>
      </c>
      <c r="E104" s="13">
        <v>642</v>
      </c>
    </row>
    <row r="105" spans="1:5" x14ac:dyDescent="0.25">
      <c r="A105" s="11">
        <v>1994</v>
      </c>
      <c r="B105" s="11" t="s">
        <v>230</v>
      </c>
      <c r="C105" s="13">
        <v>1033</v>
      </c>
      <c r="D105" s="13">
        <v>510</v>
      </c>
      <c r="E105" s="13">
        <v>523</v>
      </c>
    </row>
    <row r="106" spans="1:5" x14ac:dyDescent="0.25">
      <c r="A106" s="11">
        <v>1994</v>
      </c>
      <c r="B106" s="11" t="s">
        <v>231</v>
      </c>
      <c r="C106" s="13">
        <v>5291</v>
      </c>
      <c r="D106" s="13">
        <v>2572</v>
      </c>
      <c r="E106" s="13">
        <v>2719</v>
      </c>
    </row>
    <row r="107" spans="1:5" x14ac:dyDescent="0.25">
      <c r="A107" s="11">
        <v>1994</v>
      </c>
      <c r="B107" s="11" t="s">
        <v>232</v>
      </c>
      <c r="C107" s="13">
        <v>608</v>
      </c>
      <c r="D107" s="13">
        <v>309</v>
      </c>
      <c r="E107" s="13">
        <v>299</v>
      </c>
    </row>
    <row r="108" spans="1:5" x14ac:dyDescent="0.25">
      <c r="A108" s="11">
        <v>1994</v>
      </c>
      <c r="B108" s="11" t="s">
        <v>233</v>
      </c>
      <c r="C108" s="13">
        <v>1748</v>
      </c>
      <c r="D108" s="13">
        <v>850</v>
      </c>
      <c r="E108" s="13">
        <v>898</v>
      </c>
    </row>
    <row r="109" spans="1:5" x14ac:dyDescent="0.25">
      <c r="A109" s="11">
        <v>1994</v>
      </c>
      <c r="B109" s="11" t="s">
        <v>234</v>
      </c>
      <c r="C109" s="13">
        <v>1744</v>
      </c>
      <c r="D109" s="13">
        <v>837</v>
      </c>
      <c r="E109" s="13">
        <v>907</v>
      </c>
    </row>
    <row r="110" spans="1:5" x14ac:dyDescent="0.25">
      <c r="A110" s="11">
        <v>1994</v>
      </c>
      <c r="B110" s="11" t="s">
        <v>235</v>
      </c>
      <c r="C110" s="13">
        <v>1470</v>
      </c>
      <c r="D110" s="13">
        <v>711</v>
      </c>
      <c r="E110" s="13">
        <v>759</v>
      </c>
    </row>
    <row r="111" spans="1:5" x14ac:dyDescent="0.25">
      <c r="A111" s="11">
        <v>1994</v>
      </c>
      <c r="B111" s="11" t="s">
        <v>236</v>
      </c>
      <c r="C111" s="13">
        <v>1227</v>
      </c>
      <c r="D111" s="13">
        <v>576</v>
      </c>
      <c r="E111" s="13">
        <v>651</v>
      </c>
    </row>
    <row r="112" spans="1:5" x14ac:dyDescent="0.25">
      <c r="A112" s="11">
        <v>1994</v>
      </c>
      <c r="B112" s="11" t="s">
        <v>237</v>
      </c>
      <c r="C112" s="13">
        <v>1050</v>
      </c>
      <c r="D112" s="13">
        <v>531</v>
      </c>
      <c r="E112" s="13">
        <v>519</v>
      </c>
    </row>
    <row r="113" spans="1:5" x14ac:dyDescent="0.25">
      <c r="A113" s="11">
        <v>1994</v>
      </c>
      <c r="B113" s="11" t="s">
        <v>238</v>
      </c>
      <c r="C113" s="13">
        <v>1068</v>
      </c>
      <c r="D113" s="13">
        <v>518</v>
      </c>
      <c r="E113" s="13">
        <v>550</v>
      </c>
    </row>
    <row r="114" spans="1:5" x14ac:dyDescent="0.25">
      <c r="A114" s="11">
        <v>1994</v>
      </c>
      <c r="B114" s="11" t="s">
        <v>239</v>
      </c>
      <c r="C114" s="13">
        <v>1747</v>
      </c>
      <c r="D114" s="13">
        <v>852</v>
      </c>
      <c r="E114" s="13">
        <v>895</v>
      </c>
    </row>
    <row r="115" spans="1:5" x14ac:dyDescent="0.25">
      <c r="A115" s="11">
        <v>1994</v>
      </c>
      <c r="B115" s="11" t="s">
        <v>240</v>
      </c>
      <c r="C115" s="13">
        <v>4110</v>
      </c>
      <c r="D115" s="13">
        <v>2082</v>
      </c>
      <c r="E115" s="13">
        <v>2028</v>
      </c>
    </row>
    <row r="116" spans="1:5" x14ac:dyDescent="0.25">
      <c r="A116" s="11">
        <v>1994</v>
      </c>
      <c r="B116" s="11" t="s">
        <v>241</v>
      </c>
      <c r="C116" s="13">
        <v>7868</v>
      </c>
      <c r="D116" s="13">
        <v>3863</v>
      </c>
      <c r="E116" s="13">
        <v>4005</v>
      </c>
    </row>
    <row r="117" spans="1:5" x14ac:dyDescent="0.25">
      <c r="A117" s="11">
        <v>1994</v>
      </c>
      <c r="B117" s="11" t="s">
        <v>242</v>
      </c>
      <c r="C117" s="13">
        <v>2483</v>
      </c>
      <c r="D117" s="13">
        <v>1205</v>
      </c>
      <c r="E117" s="13">
        <v>1278</v>
      </c>
    </row>
    <row r="118" spans="1:5" x14ac:dyDescent="0.25">
      <c r="A118" s="11">
        <v>1994</v>
      </c>
      <c r="B118" s="11" t="s">
        <v>243</v>
      </c>
      <c r="C118" s="13">
        <v>1093</v>
      </c>
      <c r="D118" s="13">
        <v>556</v>
      </c>
      <c r="E118" s="13">
        <v>537</v>
      </c>
    </row>
    <row r="119" spans="1:5" x14ac:dyDescent="0.25">
      <c r="A119" s="11">
        <v>1994</v>
      </c>
      <c r="B119" s="11" t="s">
        <v>244</v>
      </c>
      <c r="C119" s="13">
        <v>984</v>
      </c>
      <c r="D119" s="13">
        <v>465</v>
      </c>
      <c r="E119" s="13">
        <v>519</v>
      </c>
    </row>
    <row r="120" spans="1:5" x14ac:dyDescent="0.25">
      <c r="A120" s="11">
        <v>1994</v>
      </c>
      <c r="B120" s="11" t="s">
        <v>245</v>
      </c>
      <c r="C120" s="13">
        <v>1136</v>
      </c>
      <c r="D120" s="13">
        <v>556</v>
      </c>
      <c r="E120" s="13">
        <v>580</v>
      </c>
    </row>
    <row r="121" spans="1:5" x14ac:dyDescent="0.25">
      <c r="A121" s="11">
        <v>1994</v>
      </c>
      <c r="B121" s="11" t="s">
        <v>246</v>
      </c>
      <c r="C121" s="13">
        <v>300</v>
      </c>
      <c r="D121" s="13">
        <v>164</v>
      </c>
      <c r="E121" s="13">
        <v>136</v>
      </c>
    </row>
    <row r="122" spans="1:5" x14ac:dyDescent="0.25">
      <c r="A122" s="11">
        <v>1994</v>
      </c>
      <c r="B122" s="11" t="s">
        <v>247</v>
      </c>
      <c r="C122" s="13">
        <v>1685</v>
      </c>
      <c r="D122" s="13">
        <v>813</v>
      </c>
      <c r="E122" s="13">
        <v>872</v>
      </c>
    </row>
    <row r="123" spans="1:5" x14ac:dyDescent="0.25">
      <c r="A123" s="11">
        <v>1994</v>
      </c>
      <c r="B123" s="11" t="s">
        <v>248</v>
      </c>
      <c r="C123" s="13">
        <v>4057</v>
      </c>
      <c r="D123" s="13">
        <v>1954</v>
      </c>
      <c r="E123" s="13">
        <v>2103</v>
      </c>
    </row>
    <row r="124" spans="1:5" x14ac:dyDescent="0.25">
      <c r="A124" s="11">
        <v>1994</v>
      </c>
      <c r="B124" s="11" t="s">
        <v>249</v>
      </c>
      <c r="C124" s="13">
        <v>249</v>
      </c>
      <c r="D124" s="13">
        <v>138</v>
      </c>
      <c r="E124" s="13">
        <v>111</v>
      </c>
    </row>
    <row r="125" spans="1:5" x14ac:dyDescent="0.25">
      <c r="A125" s="11">
        <v>1994</v>
      </c>
      <c r="B125" s="11" t="s">
        <v>250</v>
      </c>
      <c r="C125" s="13">
        <v>1413</v>
      </c>
      <c r="D125" s="13">
        <v>668</v>
      </c>
      <c r="E125" s="13">
        <v>745</v>
      </c>
    </row>
    <row r="126" spans="1:5" x14ac:dyDescent="0.25">
      <c r="A126" s="11">
        <v>1994</v>
      </c>
      <c r="B126" s="11" t="s">
        <v>251</v>
      </c>
      <c r="C126" s="13">
        <v>2066</v>
      </c>
      <c r="D126" s="13">
        <v>1038</v>
      </c>
      <c r="E126" s="13">
        <v>1028</v>
      </c>
    </row>
    <row r="127" spans="1:5" x14ac:dyDescent="0.25">
      <c r="A127" s="11">
        <v>1994</v>
      </c>
      <c r="B127" s="11" t="s">
        <v>252</v>
      </c>
      <c r="C127" s="13">
        <v>1147</v>
      </c>
      <c r="D127" s="13">
        <v>575</v>
      </c>
      <c r="E127" s="13">
        <v>572</v>
      </c>
    </row>
    <row r="128" spans="1:5" x14ac:dyDescent="0.25">
      <c r="A128" s="11">
        <v>1994</v>
      </c>
      <c r="B128" s="11" t="s">
        <v>253</v>
      </c>
      <c r="C128" s="13">
        <v>314</v>
      </c>
      <c r="D128" s="13">
        <v>151</v>
      </c>
      <c r="E128" s="13">
        <v>163</v>
      </c>
    </row>
    <row r="129" spans="1:5" x14ac:dyDescent="0.25">
      <c r="A129" s="11">
        <v>1994</v>
      </c>
      <c r="B129" s="11" t="s">
        <v>254</v>
      </c>
      <c r="C129" s="13">
        <v>1144</v>
      </c>
      <c r="D129" s="13">
        <v>574</v>
      </c>
      <c r="E129" s="13">
        <v>570</v>
      </c>
    </row>
    <row r="130" spans="1:5" x14ac:dyDescent="0.25">
      <c r="A130" s="11">
        <v>1994</v>
      </c>
      <c r="B130" s="11" t="s">
        <v>255</v>
      </c>
      <c r="C130" s="13">
        <v>3717</v>
      </c>
      <c r="D130" s="13">
        <v>1869</v>
      </c>
      <c r="E130" s="13">
        <v>1848</v>
      </c>
    </row>
    <row r="131" spans="1:5" x14ac:dyDescent="0.25">
      <c r="A131" s="11">
        <v>1994</v>
      </c>
      <c r="B131" s="11" t="s">
        <v>256</v>
      </c>
      <c r="C131" s="13">
        <v>855</v>
      </c>
      <c r="D131" s="13">
        <v>433</v>
      </c>
      <c r="E131" s="13">
        <v>422</v>
      </c>
    </row>
    <row r="132" spans="1:5" x14ac:dyDescent="0.25">
      <c r="A132" s="11">
        <v>1994</v>
      </c>
      <c r="B132" s="11" t="s">
        <v>257</v>
      </c>
      <c r="C132" s="13">
        <v>1265</v>
      </c>
      <c r="D132" s="13">
        <v>616</v>
      </c>
      <c r="E132" s="13">
        <v>649</v>
      </c>
    </row>
    <row r="133" spans="1:5" x14ac:dyDescent="0.25">
      <c r="A133" s="11">
        <v>1994</v>
      </c>
      <c r="B133" s="11" t="s">
        <v>258</v>
      </c>
      <c r="C133" s="13">
        <v>2016</v>
      </c>
      <c r="D133" s="13">
        <v>947</v>
      </c>
      <c r="E133" s="13">
        <v>1069</v>
      </c>
    </row>
    <row r="134" spans="1:5" x14ac:dyDescent="0.25">
      <c r="A134" s="11">
        <v>1995</v>
      </c>
      <c r="B134" s="11" t="s">
        <v>11</v>
      </c>
      <c r="C134" s="13">
        <v>60051</v>
      </c>
      <c r="D134" s="13">
        <v>29399</v>
      </c>
      <c r="E134" s="13">
        <v>30652</v>
      </c>
    </row>
    <row r="135" spans="1:5" x14ac:dyDescent="0.25">
      <c r="A135" s="11">
        <v>1995</v>
      </c>
      <c r="B135" s="11" t="s">
        <v>227</v>
      </c>
      <c r="C135" s="13">
        <v>2363</v>
      </c>
      <c r="D135" s="13">
        <v>1159</v>
      </c>
      <c r="E135" s="13">
        <v>1204</v>
      </c>
    </row>
    <row r="136" spans="1:5" x14ac:dyDescent="0.25">
      <c r="A136" s="11">
        <v>1995</v>
      </c>
      <c r="B136" s="11" t="s">
        <v>228</v>
      </c>
      <c r="C136" s="13">
        <v>2697</v>
      </c>
      <c r="D136" s="13">
        <v>1335</v>
      </c>
      <c r="E136" s="13">
        <v>1362</v>
      </c>
    </row>
    <row r="137" spans="1:5" x14ac:dyDescent="0.25">
      <c r="A137" s="11">
        <v>1995</v>
      </c>
      <c r="B137" s="11" t="s">
        <v>229</v>
      </c>
      <c r="C137" s="13">
        <v>1256</v>
      </c>
      <c r="D137" s="13">
        <v>613</v>
      </c>
      <c r="E137" s="13">
        <v>643</v>
      </c>
    </row>
    <row r="138" spans="1:5" x14ac:dyDescent="0.25">
      <c r="A138" s="11">
        <v>1995</v>
      </c>
      <c r="B138" s="11" t="s">
        <v>230</v>
      </c>
      <c r="C138" s="13">
        <v>1011</v>
      </c>
      <c r="D138" s="13">
        <v>489</v>
      </c>
      <c r="E138" s="13">
        <v>522</v>
      </c>
    </row>
    <row r="139" spans="1:5" x14ac:dyDescent="0.25">
      <c r="A139" s="11">
        <v>1995</v>
      </c>
      <c r="B139" s="11" t="s">
        <v>231</v>
      </c>
      <c r="C139" s="13">
        <v>5061</v>
      </c>
      <c r="D139" s="13">
        <v>2495</v>
      </c>
      <c r="E139" s="13">
        <v>2566</v>
      </c>
    </row>
    <row r="140" spans="1:5" x14ac:dyDescent="0.25">
      <c r="A140" s="11">
        <v>1995</v>
      </c>
      <c r="B140" s="11" t="s">
        <v>232</v>
      </c>
      <c r="C140" s="13">
        <v>637</v>
      </c>
      <c r="D140" s="13">
        <v>317</v>
      </c>
      <c r="E140" s="13">
        <v>320</v>
      </c>
    </row>
    <row r="141" spans="1:5" x14ac:dyDescent="0.25">
      <c r="A141" s="11">
        <v>1995</v>
      </c>
      <c r="B141" s="11" t="s">
        <v>233</v>
      </c>
      <c r="C141" s="13">
        <v>1636</v>
      </c>
      <c r="D141" s="13">
        <v>813</v>
      </c>
      <c r="E141" s="13">
        <v>823</v>
      </c>
    </row>
    <row r="142" spans="1:5" x14ac:dyDescent="0.25">
      <c r="A142" s="11">
        <v>1995</v>
      </c>
      <c r="B142" s="11" t="s">
        <v>234</v>
      </c>
      <c r="C142" s="13">
        <v>1744</v>
      </c>
      <c r="D142" s="13">
        <v>848</v>
      </c>
      <c r="E142" s="13">
        <v>896</v>
      </c>
    </row>
    <row r="143" spans="1:5" x14ac:dyDescent="0.25">
      <c r="A143" s="11">
        <v>1995</v>
      </c>
      <c r="B143" s="11" t="s">
        <v>235</v>
      </c>
      <c r="C143" s="13">
        <v>1468</v>
      </c>
      <c r="D143" s="13">
        <v>687</v>
      </c>
      <c r="E143" s="13">
        <v>781</v>
      </c>
    </row>
    <row r="144" spans="1:5" x14ac:dyDescent="0.25">
      <c r="A144" s="11">
        <v>1995</v>
      </c>
      <c r="B144" s="11" t="s">
        <v>236</v>
      </c>
      <c r="C144" s="13">
        <v>1252</v>
      </c>
      <c r="D144" s="13">
        <v>606</v>
      </c>
      <c r="E144" s="13">
        <v>646</v>
      </c>
    </row>
    <row r="145" spans="1:5" x14ac:dyDescent="0.25">
      <c r="A145" s="11">
        <v>1995</v>
      </c>
      <c r="B145" s="11" t="s">
        <v>237</v>
      </c>
      <c r="C145" s="13">
        <v>1088</v>
      </c>
      <c r="D145" s="13">
        <v>511</v>
      </c>
      <c r="E145" s="13">
        <v>577</v>
      </c>
    </row>
    <row r="146" spans="1:5" x14ac:dyDescent="0.25">
      <c r="A146" s="11">
        <v>1995</v>
      </c>
      <c r="B146" s="11" t="s">
        <v>238</v>
      </c>
      <c r="C146" s="13">
        <v>1004</v>
      </c>
      <c r="D146" s="13">
        <v>484</v>
      </c>
      <c r="E146" s="13">
        <v>520</v>
      </c>
    </row>
    <row r="147" spans="1:5" x14ac:dyDescent="0.25">
      <c r="A147" s="11">
        <v>1995</v>
      </c>
      <c r="B147" s="11" t="s">
        <v>239</v>
      </c>
      <c r="C147" s="13">
        <v>1633</v>
      </c>
      <c r="D147" s="13">
        <v>800</v>
      </c>
      <c r="E147" s="13">
        <v>833</v>
      </c>
    </row>
    <row r="148" spans="1:5" x14ac:dyDescent="0.25">
      <c r="A148" s="11">
        <v>1995</v>
      </c>
      <c r="B148" s="11" t="s">
        <v>240</v>
      </c>
      <c r="C148" s="13">
        <v>4033</v>
      </c>
      <c r="D148" s="13">
        <v>2005</v>
      </c>
      <c r="E148" s="13">
        <v>2028</v>
      </c>
    </row>
    <row r="149" spans="1:5" x14ac:dyDescent="0.25">
      <c r="A149" s="11">
        <v>1995</v>
      </c>
      <c r="B149" s="11" t="s">
        <v>241</v>
      </c>
      <c r="C149" s="13">
        <v>7785</v>
      </c>
      <c r="D149" s="13">
        <v>3804</v>
      </c>
      <c r="E149" s="13">
        <v>3981</v>
      </c>
    </row>
    <row r="150" spans="1:5" x14ac:dyDescent="0.25">
      <c r="A150" s="11">
        <v>1995</v>
      </c>
      <c r="B150" s="11" t="s">
        <v>242</v>
      </c>
      <c r="C150" s="13">
        <v>2412</v>
      </c>
      <c r="D150" s="13">
        <v>1209</v>
      </c>
      <c r="E150" s="13">
        <v>1203</v>
      </c>
    </row>
    <row r="151" spans="1:5" x14ac:dyDescent="0.25">
      <c r="A151" s="11">
        <v>1995</v>
      </c>
      <c r="B151" s="11" t="s">
        <v>243</v>
      </c>
      <c r="C151" s="13">
        <v>1086</v>
      </c>
      <c r="D151" s="13">
        <v>515</v>
      </c>
      <c r="E151" s="13">
        <v>571</v>
      </c>
    </row>
    <row r="152" spans="1:5" x14ac:dyDescent="0.25">
      <c r="A152" s="11">
        <v>1995</v>
      </c>
      <c r="B152" s="11" t="s">
        <v>244</v>
      </c>
      <c r="C152" s="13">
        <v>939</v>
      </c>
      <c r="D152" s="13">
        <v>471</v>
      </c>
      <c r="E152" s="13">
        <v>468</v>
      </c>
    </row>
    <row r="153" spans="1:5" x14ac:dyDescent="0.25">
      <c r="A153" s="11">
        <v>1995</v>
      </c>
      <c r="B153" s="11" t="s">
        <v>245</v>
      </c>
      <c r="C153" s="13">
        <v>1076</v>
      </c>
      <c r="D153" s="13">
        <v>508</v>
      </c>
      <c r="E153" s="13">
        <v>568</v>
      </c>
    </row>
    <row r="154" spans="1:5" x14ac:dyDescent="0.25">
      <c r="A154" s="11">
        <v>1995</v>
      </c>
      <c r="B154" s="11" t="s">
        <v>246</v>
      </c>
      <c r="C154" s="13">
        <v>302</v>
      </c>
      <c r="D154" s="13">
        <v>143</v>
      </c>
      <c r="E154" s="13">
        <v>159</v>
      </c>
    </row>
    <row r="155" spans="1:5" x14ac:dyDescent="0.25">
      <c r="A155" s="11">
        <v>1995</v>
      </c>
      <c r="B155" s="11" t="s">
        <v>247</v>
      </c>
      <c r="C155" s="13">
        <v>1628</v>
      </c>
      <c r="D155" s="13">
        <v>806</v>
      </c>
      <c r="E155" s="13">
        <v>822</v>
      </c>
    </row>
    <row r="156" spans="1:5" x14ac:dyDescent="0.25">
      <c r="A156" s="11">
        <v>1995</v>
      </c>
      <c r="B156" s="11" t="s">
        <v>248</v>
      </c>
      <c r="C156" s="13">
        <v>4032</v>
      </c>
      <c r="D156" s="13">
        <v>1956</v>
      </c>
      <c r="E156" s="13">
        <v>2076</v>
      </c>
    </row>
    <row r="157" spans="1:5" x14ac:dyDescent="0.25">
      <c r="A157" s="11">
        <v>1995</v>
      </c>
      <c r="B157" s="11" t="s">
        <v>249</v>
      </c>
      <c r="C157" s="13">
        <v>231</v>
      </c>
      <c r="D157" s="13">
        <v>102</v>
      </c>
      <c r="E157" s="13">
        <v>129</v>
      </c>
    </row>
    <row r="158" spans="1:5" x14ac:dyDescent="0.25">
      <c r="A158" s="11">
        <v>1995</v>
      </c>
      <c r="B158" s="11" t="s">
        <v>250</v>
      </c>
      <c r="C158" s="13">
        <v>1374</v>
      </c>
      <c r="D158" s="13">
        <v>702</v>
      </c>
      <c r="E158" s="13">
        <v>672</v>
      </c>
    </row>
    <row r="159" spans="1:5" x14ac:dyDescent="0.25">
      <c r="A159" s="11">
        <v>1995</v>
      </c>
      <c r="B159" s="11" t="s">
        <v>251</v>
      </c>
      <c r="C159" s="13">
        <v>2104</v>
      </c>
      <c r="D159" s="13">
        <v>1029</v>
      </c>
      <c r="E159" s="13">
        <v>1075</v>
      </c>
    </row>
    <row r="160" spans="1:5" x14ac:dyDescent="0.25">
      <c r="A160" s="11">
        <v>1995</v>
      </c>
      <c r="B160" s="11" t="s">
        <v>252</v>
      </c>
      <c r="C160" s="13">
        <v>1172</v>
      </c>
      <c r="D160" s="13">
        <v>565</v>
      </c>
      <c r="E160" s="13">
        <v>607</v>
      </c>
    </row>
    <row r="161" spans="1:5" x14ac:dyDescent="0.25">
      <c r="A161" s="11">
        <v>1995</v>
      </c>
      <c r="B161" s="11" t="s">
        <v>253</v>
      </c>
      <c r="C161" s="13">
        <v>291</v>
      </c>
      <c r="D161" s="13">
        <v>144</v>
      </c>
      <c r="E161" s="13">
        <v>147</v>
      </c>
    </row>
    <row r="162" spans="1:5" x14ac:dyDescent="0.25">
      <c r="A162" s="11">
        <v>1995</v>
      </c>
      <c r="B162" s="11" t="s">
        <v>254</v>
      </c>
      <c r="C162" s="13">
        <v>1080</v>
      </c>
      <c r="D162" s="13">
        <v>537</v>
      </c>
      <c r="E162" s="13">
        <v>543</v>
      </c>
    </row>
    <row r="163" spans="1:5" x14ac:dyDescent="0.25">
      <c r="A163" s="11">
        <v>1995</v>
      </c>
      <c r="B163" s="11" t="s">
        <v>255</v>
      </c>
      <c r="C163" s="13">
        <v>3507</v>
      </c>
      <c r="D163" s="13">
        <v>1730</v>
      </c>
      <c r="E163" s="13">
        <v>1777</v>
      </c>
    </row>
    <row r="164" spans="1:5" x14ac:dyDescent="0.25">
      <c r="A164" s="11">
        <v>1995</v>
      </c>
      <c r="B164" s="11" t="s">
        <v>256</v>
      </c>
      <c r="C164" s="13">
        <v>913</v>
      </c>
      <c r="D164" s="13">
        <v>445</v>
      </c>
      <c r="E164" s="13">
        <v>468</v>
      </c>
    </row>
    <row r="165" spans="1:5" x14ac:dyDescent="0.25">
      <c r="A165" s="11">
        <v>1995</v>
      </c>
      <c r="B165" s="11" t="s">
        <v>257</v>
      </c>
      <c r="C165" s="13">
        <v>1171</v>
      </c>
      <c r="D165" s="13">
        <v>573</v>
      </c>
      <c r="E165" s="13">
        <v>598</v>
      </c>
    </row>
    <row r="166" spans="1:5" x14ac:dyDescent="0.25">
      <c r="A166" s="11">
        <v>1995</v>
      </c>
      <c r="B166" s="11" t="s">
        <v>258</v>
      </c>
      <c r="C166" s="13">
        <v>2065</v>
      </c>
      <c r="D166" s="13">
        <v>998</v>
      </c>
      <c r="E166" s="13">
        <v>1067</v>
      </c>
    </row>
    <row r="167" spans="1:5" x14ac:dyDescent="0.25">
      <c r="A167" s="11">
        <v>1996</v>
      </c>
      <c r="B167" s="11" t="s">
        <v>11</v>
      </c>
      <c r="C167" s="13">
        <v>59296</v>
      </c>
      <c r="D167" s="13">
        <v>28773</v>
      </c>
      <c r="E167" s="13">
        <v>30523</v>
      </c>
    </row>
    <row r="168" spans="1:5" x14ac:dyDescent="0.25">
      <c r="A168" s="11">
        <v>1996</v>
      </c>
      <c r="B168" s="11" t="s">
        <v>227</v>
      </c>
      <c r="C168" s="13">
        <v>2402</v>
      </c>
      <c r="D168" s="13">
        <v>1125</v>
      </c>
      <c r="E168" s="13">
        <v>1277</v>
      </c>
    </row>
    <row r="169" spans="1:5" x14ac:dyDescent="0.25">
      <c r="A169" s="11">
        <v>1996</v>
      </c>
      <c r="B169" s="11" t="s">
        <v>228</v>
      </c>
      <c r="C169" s="13">
        <v>2627</v>
      </c>
      <c r="D169" s="13">
        <v>1235</v>
      </c>
      <c r="E169" s="13">
        <v>1392</v>
      </c>
    </row>
    <row r="170" spans="1:5" x14ac:dyDescent="0.25">
      <c r="A170" s="11">
        <v>1996</v>
      </c>
      <c r="B170" s="11" t="s">
        <v>229</v>
      </c>
      <c r="C170" s="13">
        <v>1219</v>
      </c>
      <c r="D170" s="13">
        <v>597</v>
      </c>
      <c r="E170" s="13">
        <v>622</v>
      </c>
    </row>
    <row r="171" spans="1:5" x14ac:dyDescent="0.25">
      <c r="A171" s="11">
        <v>1996</v>
      </c>
      <c r="B171" s="11" t="s">
        <v>230</v>
      </c>
      <c r="C171" s="13">
        <v>955</v>
      </c>
      <c r="D171" s="13">
        <v>463</v>
      </c>
      <c r="E171" s="13">
        <v>492</v>
      </c>
    </row>
    <row r="172" spans="1:5" x14ac:dyDescent="0.25">
      <c r="A172" s="11">
        <v>1996</v>
      </c>
      <c r="B172" s="11" t="s">
        <v>231</v>
      </c>
      <c r="C172" s="13">
        <v>5130</v>
      </c>
      <c r="D172" s="13">
        <v>2486</v>
      </c>
      <c r="E172" s="13">
        <v>2644</v>
      </c>
    </row>
    <row r="173" spans="1:5" x14ac:dyDescent="0.25">
      <c r="A173" s="11">
        <v>1996</v>
      </c>
      <c r="B173" s="11" t="s">
        <v>232</v>
      </c>
      <c r="C173" s="13">
        <v>598</v>
      </c>
      <c r="D173" s="13">
        <v>289</v>
      </c>
      <c r="E173" s="13">
        <v>309</v>
      </c>
    </row>
    <row r="174" spans="1:5" x14ac:dyDescent="0.25">
      <c r="A174" s="11">
        <v>1996</v>
      </c>
      <c r="B174" s="11" t="s">
        <v>233</v>
      </c>
      <c r="C174" s="13">
        <v>1610</v>
      </c>
      <c r="D174" s="13">
        <v>785</v>
      </c>
      <c r="E174" s="13">
        <v>825</v>
      </c>
    </row>
    <row r="175" spans="1:5" x14ac:dyDescent="0.25">
      <c r="A175" s="11">
        <v>1996</v>
      </c>
      <c r="B175" s="11" t="s">
        <v>234</v>
      </c>
      <c r="C175" s="13">
        <v>1728</v>
      </c>
      <c r="D175" s="13">
        <v>833</v>
      </c>
      <c r="E175" s="13">
        <v>895</v>
      </c>
    </row>
    <row r="176" spans="1:5" x14ac:dyDescent="0.25">
      <c r="A176" s="11">
        <v>1996</v>
      </c>
      <c r="B176" s="11" t="s">
        <v>235</v>
      </c>
      <c r="C176" s="13">
        <v>1395</v>
      </c>
      <c r="D176" s="13">
        <v>681</v>
      </c>
      <c r="E176" s="13">
        <v>714</v>
      </c>
    </row>
    <row r="177" spans="1:5" x14ac:dyDescent="0.25">
      <c r="A177" s="11">
        <v>1996</v>
      </c>
      <c r="B177" s="11" t="s">
        <v>236</v>
      </c>
      <c r="C177" s="13">
        <v>1167</v>
      </c>
      <c r="D177" s="13">
        <v>577</v>
      </c>
      <c r="E177" s="13">
        <v>590</v>
      </c>
    </row>
    <row r="178" spans="1:5" x14ac:dyDescent="0.25">
      <c r="A178" s="11">
        <v>1996</v>
      </c>
      <c r="B178" s="11" t="s">
        <v>237</v>
      </c>
      <c r="C178" s="13">
        <v>1086</v>
      </c>
      <c r="D178" s="13">
        <v>550</v>
      </c>
      <c r="E178" s="13">
        <v>536</v>
      </c>
    </row>
    <row r="179" spans="1:5" x14ac:dyDescent="0.25">
      <c r="A179" s="11">
        <v>1996</v>
      </c>
      <c r="B179" s="11" t="s">
        <v>238</v>
      </c>
      <c r="C179" s="13">
        <v>1010</v>
      </c>
      <c r="D179" s="13">
        <v>508</v>
      </c>
      <c r="E179" s="13">
        <v>502</v>
      </c>
    </row>
    <row r="180" spans="1:5" x14ac:dyDescent="0.25">
      <c r="A180" s="11">
        <v>1996</v>
      </c>
      <c r="B180" s="11" t="s">
        <v>239</v>
      </c>
      <c r="C180" s="13">
        <v>1677</v>
      </c>
      <c r="D180" s="13">
        <v>805</v>
      </c>
      <c r="E180" s="13">
        <v>872</v>
      </c>
    </row>
    <row r="181" spans="1:5" x14ac:dyDescent="0.25">
      <c r="A181" s="11">
        <v>1996</v>
      </c>
      <c r="B181" s="11" t="s">
        <v>240</v>
      </c>
      <c r="C181" s="13">
        <v>3830</v>
      </c>
      <c r="D181" s="13">
        <v>1877</v>
      </c>
      <c r="E181" s="13">
        <v>1953</v>
      </c>
    </row>
    <row r="182" spans="1:5" x14ac:dyDescent="0.25">
      <c r="A182" s="11">
        <v>1996</v>
      </c>
      <c r="B182" s="11" t="s">
        <v>241</v>
      </c>
      <c r="C182" s="13">
        <v>7696</v>
      </c>
      <c r="D182" s="13">
        <v>3716</v>
      </c>
      <c r="E182" s="13">
        <v>3980</v>
      </c>
    </row>
    <row r="183" spans="1:5" x14ac:dyDescent="0.25">
      <c r="A183" s="11">
        <v>1996</v>
      </c>
      <c r="B183" s="11" t="s">
        <v>242</v>
      </c>
      <c r="C183" s="13">
        <v>2377</v>
      </c>
      <c r="D183" s="13">
        <v>1132</v>
      </c>
      <c r="E183" s="13">
        <v>1245</v>
      </c>
    </row>
    <row r="184" spans="1:5" x14ac:dyDescent="0.25">
      <c r="A184" s="11">
        <v>1996</v>
      </c>
      <c r="B184" s="11" t="s">
        <v>243</v>
      </c>
      <c r="C184" s="13">
        <v>1016</v>
      </c>
      <c r="D184" s="13">
        <v>497</v>
      </c>
      <c r="E184" s="13">
        <v>519</v>
      </c>
    </row>
    <row r="185" spans="1:5" x14ac:dyDescent="0.25">
      <c r="A185" s="11">
        <v>1996</v>
      </c>
      <c r="B185" s="11" t="s">
        <v>244</v>
      </c>
      <c r="C185" s="13">
        <v>899</v>
      </c>
      <c r="D185" s="13">
        <v>424</v>
      </c>
      <c r="E185" s="13">
        <v>475</v>
      </c>
    </row>
    <row r="186" spans="1:5" x14ac:dyDescent="0.25">
      <c r="A186" s="11">
        <v>1996</v>
      </c>
      <c r="B186" s="11" t="s">
        <v>245</v>
      </c>
      <c r="C186" s="13">
        <v>1021</v>
      </c>
      <c r="D186" s="13">
        <v>522</v>
      </c>
      <c r="E186" s="13">
        <v>499</v>
      </c>
    </row>
    <row r="187" spans="1:5" x14ac:dyDescent="0.25">
      <c r="A187" s="11">
        <v>1996</v>
      </c>
      <c r="B187" s="11" t="s">
        <v>246</v>
      </c>
      <c r="C187" s="13">
        <v>281</v>
      </c>
      <c r="D187" s="13">
        <v>141</v>
      </c>
      <c r="E187" s="13">
        <v>140</v>
      </c>
    </row>
    <row r="188" spans="1:5" x14ac:dyDescent="0.25">
      <c r="A188" s="11">
        <v>1996</v>
      </c>
      <c r="B188" s="11" t="s">
        <v>247</v>
      </c>
      <c r="C188" s="13">
        <v>1581</v>
      </c>
      <c r="D188" s="13">
        <v>770</v>
      </c>
      <c r="E188" s="13">
        <v>811</v>
      </c>
    </row>
    <row r="189" spans="1:5" x14ac:dyDescent="0.25">
      <c r="A189" s="11">
        <v>1996</v>
      </c>
      <c r="B189" s="11" t="s">
        <v>248</v>
      </c>
      <c r="C189" s="13">
        <v>4092</v>
      </c>
      <c r="D189" s="13">
        <v>1998</v>
      </c>
      <c r="E189" s="13">
        <v>2094</v>
      </c>
    </row>
    <row r="190" spans="1:5" x14ac:dyDescent="0.25">
      <c r="A190" s="11">
        <v>1996</v>
      </c>
      <c r="B190" s="11" t="s">
        <v>249</v>
      </c>
      <c r="C190" s="13">
        <v>214</v>
      </c>
      <c r="D190" s="13">
        <v>87</v>
      </c>
      <c r="E190" s="13">
        <v>127</v>
      </c>
    </row>
    <row r="191" spans="1:5" x14ac:dyDescent="0.25">
      <c r="A191" s="11">
        <v>1996</v>
      </c>
      <c r="B191" s="11" t="s">
        <v>250</v>
      </c>
      <c r="C191" s="13">
        <v>1386</v>
      </c>
      <c r="D191" s="13">
        <v>708</v>
      </c>
      <c r="E191" s="13">
        <v>678</v>
      </c>
    </row>
    <row r="192" spans="1:5" x14ac:dyDescent="0.25">
      <c r="A192" s="11">
        <v>1996</v>
      </c>
      <c r="B192" s="11" t="s">
        <v>251</v>
      </c>
      <c r="C192" s="13">
        <v>2122</v>
      </c>
      <c r="D192" s="13">
        <v>1005</v>
      </c>
      <c r="E192" s="13">
        <v>1117</v>
      </c>
    </row>
    <row r="193" spans="1:5" x14ac:dyDescent="0.25">
      <c r="A193" s="11">
        <v>1996</v>
      </c>
      <c r="B193" s="11" t="s">
        <v>252</v>
      </c>
      <c r="C193" s="13">
        <v>1132</v>
      </c>
      <c r="D193" s="13">
        <v>574</v>
      </c>
      <c r="E193" s="13">
        <v>558</v>
      </c>
    </row>
    <row r="194" spans="1:5" x14ac:dyDescent="0.25">
      <c r="A194" s="11">
        <v>1996</v>
      </c>
      <c r="B194" s="11" t="s">
        <v>253</v>
      </c>
      <c r="C194" s="13">
        <v>269</v>
      </c>
      <c r="D194" s="13">
        <v>130</v>
      </c>
      <c r="E194" s="13">
        <v>139</v>
      </c>
    </row>
    <row r="195" spans="1:5" x14ac:dyDescent="0.25">
      <c r="A195" s="11">
        <v>1996</v>
      </c>
      <c r="B195" s="11" t="s">
        <v>254</v>
      </c>
      <c r="C195" s="13">
        <v>1159</v>
      </c>
      <c r="D195" s="13">
        <v>584</v>
      </c>
      <c r="E195" s="13">
        <v>575</v>
      </c>
    </row>
    <row r="196" spans="1:5" x14ac:dyDescent="0.25">
      <c r="A196" s="11">
        <v>1996</v>
      </c>
      <c r="B196" s="11" t="s">
        <v>255</v>
      </c>
      <c r="C196" s="13">
        <v>3534</v>
      </c>
      <c r="D196" s="13">
        <v>1717</v>
      </c>
      <c r="E196" s="13">
        <v>1817</v>
      </c>
    </row>
    <row r="197" spans="1:5" x14ac:dyDescent="0.25">
      <c r="A197" s="11">
        <v>1996</v>
      </c>
      <c r="B197" s="11" t="s">
        <v>256</v>
      </c>
      <c r="C197" s="13">
        <v>914</v>
      </c>
      <c r="D197" s="13">
        <v>428</v>
      </c>
      <c r="E197" s="13">
        <v>486</v>
      </c>
    </row>
    <row r="198" spans="1:5" x14ac:dyDescent="0.25">
      <c r="A198" s="11">
        <v>1996</v>
      </c>
      <c r="B198" s="11" t="s">
        <v>257</v>
      </c>
      <c r="C198" s="13">
        <v>1198</v>
      </c>
      <c r="D198" s="13">
        <v>553</v>
      </c>
      <c r="E198" s="13">
        <v>645</v>
      </c>
    </row>
    <row r="199" spans="1:5" x14ac:dyDescent="0.25">
      <c r="A199" s="11">
        <v>1996</v>
      </c>
      <c r="B199" s="11" t="s">
        <v>258</v>
      </c>
      <c r="C199" s="13">
        <v>1971</v>
      </c>
      <c r="D199" s="13">
        <v>976</v>
      </c>
      <c r="E199" s="13">
        <v>995</v>
      </c>
    </row>
    <row r="200" spans="1:5" x14ac:dyDescent="0.25">
      <c r="A200" s="11">
        <v>1997</v>
      </c>
      <c r="B200" s="11" t="s">
        <v>11</v>
      </c>
      <c r="C200" s="13">
        <v>59440</v>
      </c>
      <c r="D200" s="13">
        <v>28924</v>
      </c>
      <c r="E200" s="13">
        <v>30516</v>
      </c>
    </row>
    <row r="201" spans="1:5" x14ac:dyDescent="0.25">
      <c r="A201" s="11">
        <v>1997</v>
      </c>
      <c r="B201" s="11" t="s">
        <v>227</v>
      </c>
      <c r="C201" s="13">
        <v>2366</v>
      </c>
      <c r="D201" s="13">
        <v>1124</v>
      </c>
      <c r="E201" s="13">
        <v>1242</v>
      </c>
    </row>
    <row r="202" spans="1:5" x14ac:dyDescent="0.25">
      <c r="A202" s="11">
        <v>1997</v>
      </c>
      <c r="B202" s="11" t="s">
        <v>228</v>
      </c>
      <c r="C202" s="13">
        <v>2594</v>
      </c>
      <c r="D202" s="13">
        <v>1240</v>
      </c>
      <c r="E202" s="13">
        <v>1354</v>
      </c>
    </row>
    <row r="203" spans="1:5" x14ac:dyDescent="0.25">
      <c r="A203" s="11">
        <v>1997</v>
      </c>
      <c r="B203" s="11" t="s">
        <v>229</v>
      </c>
      <c r="C203" s="13">
        <v>1236</v>
      </c>
      <c r="D203" s="13">
        <v>585</v>
      </c>
      <c r="E203" s="13">
        <v>651</v>
      </c>
    </row>
    <row r="204" spans="1:5" x14ac:dyDescent="0.25">
      <c r="A204" s="11">
        <v>1997</v>
      </c>
      <c r="B204" s="11" t="s">
        <v>230</v>
      </c>
      <c r="C204" s="13">
        <v>948</v>
      </c>
      <c r="D204" s="13">
        <v>451</v>
      </c>
      <c r="E204" s="13">
        <v>497</v>
      </c>
    </row>
    <row r="205" spans="1:5" x14ac:dyDescent="0.25">
      <c r="A205" s="11">
        <v>1997</v>
      </c>
      <c r="B205" s="11" t="s">
        <v>231</v>
      </c>
      <c r="C205" s="13">
        <v>5110</v>
      </c>
      <c r="D205" s="13">
        <v>2523</v>
      </c>
      <c r="E205" s="13">
        <v>2587</v>
      </c>
    </row>
    <row r="206" spans="1:5" x14ac:dyDescent="0.25">
      <c r="A206" s="11">
        <v>1997</v>
      </c>
      <c r="B206" s="11" t="s">
        <v>232</v>
      </c>
      <c r="C206" s="13">
        <v>570</v>
      </c>
      <c r="D206" s="13">
        <v>281</v>
      </c>
      <c r="E206" s="13">
        <v>289</v>
      </c>
    </row>
    <row r="207" spans="1:5" x14ac:dyDescent="0.25">
      <c r="A207" s="11">
        <v>1997</v>
      </c>
      <c r="B207" s="11" t="s">
        <v>233</v>
      </c>
      <c r="C207" s="13">
        <v>1568</v>
      </c>
      <c r="D207" s="13">
        <v>766</v>
      </c>
      <c r="E207" s="13">
        <v>802</v>
      </c>
    </row>
    <row r="208" spans="1:5" x14ac:dyDescent="0.25">
      <c r="A208" s="11">
        <v>1997</v>
      </c>
      <c r="B208" s="11" t="s">
        <v>234</v>
      </c>
      <c r="C208" s="13">
        <v>1732</v>
      </c>
      <c r="D208" s="13">
        <v>864</v>
      </c>
      <c r="E208" s="13">
        <v>868</v>
      </c>
    </row>
    <row r="209" spans="1:5" x14ac:dyDescent="0.25">
      <c r="A209" s="11">
        <v>1997</v>
      </c>
      <c r="B209" s="11" t="s">
        <v>235</v>
      </c>
      <c r="C209" s="13">
        <v>1381</v>
      </c>
      <c r="D209" s="13">
        <v>633</v>
      </c>
      <c r="E209" s="13">
        <v>748</v>
      </c>
    </row>
    <row r="210" spans="1:5" x14ac:dyDescent="0.25">
      <c r="A210" s="11">
        <v>1997</v>
      </c>
      <c r="B210" s="11" t="s">
        <v>236</v>
      </c>
      <c r="C210" s="13">
        <v>1169</v>
      </c>
      <c r="D210" s="13">
        <v>563</v>
      </c>
      <c r="E210" s="13">
        <v>606</v>
      </c>
    </row>
    <row r="211" spans="1:5" x14ac:dyDescent="0.25">
      <c r="A211" s="11">
        <v>1997</v>
      </c>
      <c r="B211" s="11" t="s">
        <v>237</v>
      </c>
      <c r="C211" s="13">
        <v>1085</v>
      </c>
      <c r="D211" s="13">
        <v>529</v>
      </c>
      <c r="E211" s="13">
        <v>556</v>
      </c>
    </row>
    <row r="212" spans="1:5" x14ac:dyDescent="0.25">
      <c r="A212" s="11">
        <v>1997</v>
      </c>
      <c r="B212" s="11" t="s">
        <v>238</v>
      </c>
      <c r="C212" s="13">
        <v>1039</v>
      </c>
      <c r="D212" s="13">
        <v>514</v>
      </c>
      <c r="E212" s="13">
        <v>525</v>
      </c>
    </row>
    <row r="213" spans="1:5" x14ac:dyDescent="0.25">
      <c r="A213" s="11">
        <v>1997</v>
      </c>
      <c r="B213" s="11" t="s">
        <v>239</v>
      </c>
      <c r="C213" s="13">
        <v>1639</v>
      </c>
      <c r="D213" s="13">
        <v>801</v>
      </c>
      <c r="E213" s="13">
        <v>838</v>
      </c>
    </row>
    <row r="214" spans="1:5" x14ac:dyDescent="0.25">
      <c r="A214" s="11">
        <v>1997</v>
      </c>
      <c r="B214" s="11" t="s">
        <v>240</v>
      </c>
      <c r="C214" s="13">
        <v>3824</v>
      </c>
      <c r="D214" s="13">
        <v>1905</v>
      </c>
      <c r="E214" s="13">
        <v>1919</v>
      </c>
    </row>
    <row r="215" spans="1:5" x14ac:dyDescent="0.25">
      <c r="A215" s="11">
        <v>1997</v>
      </c>
      <c r="B215" s="11" t="s">
        <v>241</v>
      </c>
      <c r="C215" s="13">
        <v>7609</v>
      </c>
      <c r="D215" s="13">
        <v>3737</v>
      </c>
      <c r="E215" s="13">
        <v>3872</v>
      </c>
    </row>
    <row r="216" spans="1:5" x14ac:dyDescent="0.25">
      <c r="A216" s="11">
        <v>1997</v>
      </c>
      <c r="B216" s="11" t="s">
        <v>242</v>
      </c>
      <c r="C216" s="13">
        <v>2443</v>
      </c>
      <c r="D216" s="13">
        <v>1175</v>
      </c>
      <c r="E216" s="13">
        <v>1268</v>
      </c>
    </row>
    <row r="217" spans="1:5" x14ac:dyDescent="0.25">
      <c r="A217" s="11">
        <v>1997</v>
      </c>
      <c r="B217" s="11" t="s">
        <v>243</v>
      </c>
      <c r="C217" s="13">
        <v>980</v>
      </c>
      <c r="D217" s="13">
        <v>461</v>
      </c>
      <c r="E217" s="13">
        <v>519</v>
      </c>
    </row>
    <row r="218" spans="1:5" x14ac:dyDescent="0.25">
      <c r="A218" s="11">
        <v>1997</v>
      </c>
      <c r="B218" s="11" t="s">
        <v>244</v>
      </c>
      <c r="C218" s="13">
        <v>942</v>
      </c>
      <c r="D218" s="13">
        <v>468</v>
      </c>
      <c r="E218" s="13">
        <v>474</v>
      </c>
    </row>
    <row r="219" spans="1:5" x14ac:dyDescent="0.25">
      <c r="A219" s="11">
        <v>1997</v>
      </c>
      <c r="B219" s="11" t="s">
        <v>245</v>
      </c>
      <c r="C219" s="13">
        <v>1084</v>
      </c>
      <c r="D219" s="13">
        <v>502</v>
      </c>
      <c r="E219" s="13">
        <v>582</v>
      </c>
    </row>
    <row r="220" spans="1:5" x14ac:dyDescent="0.25">
      <c r="A220" s="11">
        <v>1997</v>
      </c>
      <c r="B220" s="11" t="s">
        <v>246</v>
      </c>
      <c r="C220" s="13">
        <v>252</v>
      </c>
      <c r="D220" s="13">
        <v>128</v>
      </c>
      <c r="E220" s="13">
        <v>124</v>
      </c>
    </row>
    <row r="221" spans="1:5" x14ac:dyDescent="0.25">
      <c r="A221" s="11">
        <v>1997</v>
      </c>
      <c r="B221" s="11" t="s">
        <v>247</v>
      </c>
      <c r="C221" s="13">
        <v>1636</v>
      </c>
      <c r="D221" s="13">
        <v>804</v>
      </c>
      <c r="E221" s="13">
        <v>832</v>
      </c>
    </row>
    <row r="222" spans="1:5" x14ac:dyDescent="0.25">
      <c r="A222" s="11">
        <v>1997</v>
      </c>
      <c r="B222" s="11" t="s">
        <v>248</v>
      </c>
      <c r="C222" s="13">
        <v>4090</v>
      </c>
      <c r="D222" s="13">
        <v>1992</v>
      </c>
      <c r="E222" s="13">
        <v>2098</v>
      </c>
    </row>
    <row r="223" spans="1:5" x14ac:dyDescent="0.25">
      <c r="A223" s="11">
        <v>1997</v>
      </c>
      <c r="B223" s="11" t="s">
        <v>249</v>
      </c>
      <c r="C223" s="13">
        <v>224</v>
      </c>
      <c r="D223" s="13">
        <v>102</v>
      </c>
      <c r="E223" s="13">
        <v>122</v>
      </c>
    </row>
    <row r="224" spans="1:5" x14ac:dyDescent="0.25">
      <c r="A224" s="11">
        <v>1997</v>
      </c>
      <c r="B224" s="11" t="s">
        <v>250</v>
      </c>
      <c r="C224" s="13">
        <v>1436</v>
      </c>
      <c r="D224" s="13">
        <v>701</v>
      </c>
      <c r="E224" s="13">
        <v>735</v>
      </c>
    </row>
    <row r="225" spans="1:5" x14ac:dyDescent="0.25">
      <c r="A225" s="11">
        <v>1997</v>
      </c>
      <c r="B225" s="11" t="s">
        <v>251</v>
      </c>
      <c r="C225" s="13">
        <v>2194</v>
      </c>
      <c r="D225" s="13">
        <v>1058</v>
      </c>
      <c r="E225" s="13">
        <v>1136</v>
      </c>
    </row>
    <row r="226" spans="1:5" x14ac:dyDescent="0.25">
      <c r="A226" s="11">
        <v>1997</v>
      </c>
      <c r="B226" s="11" t="s">
        <v>252</v>
      </c>
      <c r="C226" s="13">
        <v>1132</v>
      </c>
      <c r="D226" s="13">
        <v>567</v>
      </c>
      <c r="E226" s="13">
        <v>565</v>
      </c>
    </row>
    <row r="227" spans="1:5" x14ac:dyDescent="0.25">
      <c r="A227" s="11">
        <v>1997</v>
      </c>
      <c r="B227" s="11" t="s">
        <v>253</v>
      </c>
      <c r="C227" s="13">
        <v>286</v>
      </c>
      <c r="D227" s="13">
        <v>157</v>
      </c>
      <c r="E227" s="13">
        <v>129</v>
      </c>
    </row>
    <row r="228" spans="1:5" x14ac:dyDescent="0.25">
      <c r="A228" s="11">
        <v>1997</v>
      </c>
      <c r="B228" s="11" t="s">
        <v>254</v>
      </c>
      <c r="C228" s="13">
        <v>1150</v>
      </c>
      <c r="D228" s="13">
        <v>570</v>
      </c>
      <c r="E228" s="13">
        <v>580</v>
      </c>
    </row>
    <row r="229" spans="1:5" x14ac:dyDescent="0.25">
      <c r="A229" s="11">
        <v>1997</v>
      </c>
      <c r="B229" s="11" t="s">
        <v>255</v>
      </c>
      <c r="C229" s="13">
        <v>3560</v>
      </c>
      <c r="D229" s="13">
        <v>1676</v>
      </c>
      <c r="E229" s="13">
        <v>1884</v>
      </c>
    </row>
    <row r="230" spans="1:5" x14ac:dyDescent="0.25">
      <c r="A230" s="11">
        <v>1997</v>
      </c>
      <c r="B230" s="11" t="s">
        <v>256</v>
      </c>
      <c r="C230" s="13">
        <v>969</v>
      </c>
      <c r="D230" s="13">
        <v>474</v>
      </c>
      <c r="E230" s="13">
        <v>495</v>
      </c>
    </row>
    <row r="231" spans="1:5" x14ac:dyDescent="0.25">
      <c r="A231" s="11">
        <v>1997</v>
      </c>
      <c r="B231" s="11" t="s">
        <v>257</v>
      </c>
      <c r="C231" s="13">
        <v>1157</v>
      </c>
      <c r="D231" s="13">
        <v>571</v>
      </c>
      <c r="E231" s="13">
        <v>586</v>
      </c>
    </row>
    <row r="232" spans="1:5" x14ac:dyDescent="0.25">
      <c r="A232" s="11">
        <v>1997</v>
      </c>
      <c r="B232" s="11" t="s">
        <v>258</v>
      </c>
      <c r="C232" s="13">
        <v>2035</v>
      </c>
      <c r="D232" s="13">
        <v>1002</v>
      </c>
      <c r="E232" s="13">
        <v>1033</v>
      </c>
    </row>
    <row r="233" spans="1:5" x14ac:dyDescent="0.25">
      <c r="A233" s="11">
        <v>1998</v>
      </c>
      <c r="B233" s="11" t="s">
        <v>11</v>
      </c>
      <c r="C233" s="13">
        <v>57319</v>
      </c>
      <c r="D233" s="13">
        <v>27823</v>
      </c>
      <c r="E233" s="13">
        <v>29496</v>
      </c>
    </row>
    <row r="234" spans="1:5" x14ac:dyDescent="0.25">
      <c r="A234" s="11">
        <v>1998</v>
      </c>
      <c r="B234" s="11" t="s">
        <v>227</v>
      </c>
      <c r="C234" s="13">
        <v>2339</v>
      </c>
      <c r="D234" s="13">
        <v>1130</v>
      </c>
      <c r="E234" s="13">
        <v>1209</v>
      </c>
    </row>
    <row r="235" spans="1:5" x14ac:dyDescent="0.25">
      <c r="A235" s="11">
        <v>1998</v>
      </c>
      <c r="B235" s="11" t="s">
        <v>228</v>
      </c>
      <c r="C235" s="13">
        <v>2594</v>
      </c>
      <c r="D235" s="13">
        <v>1243</v>
      </c>
      <c r="E235" s="13">
        <v>1351</v>
      </c>
    </row>
    <row r="236" spans="1:5" x14ac:dyDescent="0.25">
      <c r="A236" s="11">
        <v>1998</v>
      </c>
      <c r="B236" s="11" t="s">
        <v>229</v>
      </c>
      <c r="C236" s="13">
        <v>1180</v>
      </c>
      <c r="D236" s="13">
        <v>563</v>
      </c>
      <c r="E236" s="13">
        <v>617</v>
      </c>
    </row>
    <row r="237" spans="1:5" x14ac:dyDescent="0.25">
      <c r="A237" s="11">
        <v>1998</v>
      </c>
      <c r="B237" s="11" t="s">
        <v>230</v>
      </c>
      <c r="C237" s="13">
        <v>850</v>
      </c>
      <c r="D237" s="13">
        <v>408</v>
      </c>
      <c r="E237" s="13">
        <v>442</v>
      </c>
    </row>
    <row r="238" spans="1:5" x14ac:dyDescent="0.25">
      <c r="A238" s="11">
        <v>1998</v>
      </c>
      <c r="B238" s="11" t="s">
        <v>231</v>
      </c>
      <c r="C238" s="13">
        <v>4857</v>
      </c>
      <c r="D238" s="13">
        <v>2350</v>
      </c>
      <c r="E238" s="13">
        <v>2507</v>
      </c>
    </row>
    <row r="239" spans="1:5" x14ac:dyDescent="0.25">
      <c r="A239" s="11">
        <v>1998</v>
      </c>
      <c r="B239" s="11" t="s">
        <v>232</v>
      </c>
      <c r="C239" s="13">
        <v>537</v>
      </c>
      <c r="D239" s="13">
        <v>259</v>
      </c>
      <c r="E239" s="13">
        <v>278</v>
      </c>
    </row>
    <row r="240" spans="1:5" x14ac:dyDescent="0.25">
      <c r="A240" s="11">
        <v>1998</v>
      </c>
      <c r="B240" s="11" t="s">
        <v>233</v>
      </c>
      <c r="C240" s="13">
        <v>1514</v>
      </c>
      <c r="D240" s="13">
        <v>734</v>
      </c>
      <c r="E240" s="13">
        <v>780</v>
      </c>
    </row>
    <row r="241" spans="1:5" x14ac:dyDescent="0.25">
      <c r="A241" s="11">
        <v>1998</v>
      </c>
      <c r="B241" s="11" t="s">
        <v>234</v>
      </c>
      <c r="C241" s="13">
        <v>1652</v>
      </c>
      <c r="D241" s="13">
        <v>815</v>
      </c>
      <c r="E241" s="13">
        <v>837</v>
      </c>
    </row>
    <row r="242" spans="1:5" x14ac:dyDescent="0.25">
      <c r="A242" s="11">
        <v>1998</v>
      </c>
      <c r="B242" s="11" t="s">
        <v>235</v>
      </c>
      <c r="C242" s="13">
        <v>1351</v>
      </c>
      <c r="D242" s="13">
        <v>661</v>
      </c>
      <c r="E242" s="13">
        <v>690</v>
      </c>
    </row>
    <row r="243" spans="1:5" x14ac:dyDescent="0.25">
      <c r="A243" s="11">
        <v>1998</v>
      </c>
      <c r="B243" s="11" t="s">
        <v>236</v>
      </c>
      <c r="C243" s="13">
        <v>1117</v>
      </c>
      <c r="D243" s="13">
        <v>536</v>
      </c>
      <c r="E243" s="13">
        <v>581</v>
      </c>
    </row>
    <row r="244" spans="1:5" x14ac:dyDescent="0.25">
      <c r="A244" s="11">
        <v>1998</v>
      </c>
      <c r="B244" s="11" t="s">
        <v>237</v>
      </c>
      <c r="C244" s="13">
        <v>1008</v>
      </c>
      <c r="D244" s="13">
        <v>518</v>
      </c>
      <c r="E244" s="13">
        <v>490</v>
      </c>
    </row>
    <row r="245" spans="1:5" x14ac:dyDescent="0.25">
      <c r="A245" s="11">
        <v>1998</v>
      </c>
      <c r="B245" s="11" t="s">
        <v>238</v>
      </c>
      <c r="C245" s="13">
        <v>1013</v>
      </c>
      <c r="D245" s="13">
        <v>495</v>
      </c>
      <c r="E245" s="13">
        <v>518</v>
      </c>
    </row>
    <row r="246" spans="1:5" x14ac:dyDescent="0.25">
      <c r="A246" s="11">
        <v>1998</v>
      </c>
      <c r="B246" s="11" t="s">
        <v>239</v>
      </c>
      <c r="C246" s="13">
        <v>1700</v>
      </c>
      <c r="D246" s="13">
        <v>813</v>
      </c>
      <c r="E246" s="13">
        <v>887</v>
      </c>
    </row>
    <row r="247" spans="1:5" x14ac:dyDescent="0.25">
      <c r="A247" s="11">
        <v>1998</v>
      </c>
      <c r="B247" s="11" t="s">
        <v>240</v>
      </c>
      <c r="C247" s="13">
        <v>3854</v>
      </c>
      <c r="D247" s="13">
        <v>1886</v>
      </c>
      <c r="E247" s="13">
        <v>1968</v>
      </c>
    </row>
    <row r="248" spans="1:5" x14ac:dyDescent="0.25">
      <c r="A248" s="11">
        <v>1998</v>
      </c>
      <c r="B248" s="11" t="s">
        <v>241</v>
      </c>
      <c r="C248" s="13">
        <v>7146</v>
      </c>
      <c r="D248" s="13">
        <v>3430</v>
      </c>
      <c r="E248" s="13">
        <v>3716</v>
      </c>
    </row>
    <row r="249" spans="1:5" x14ac:dyDescent="0.25">
      <c r="A249" s="11">
        <v>1998</v>
      </c>
      <c r="B249" s="11" t="s">
        <v>242</v>
      </c>
      <c r="C249" s="13">
        <v>2451</v>
      </c>
      <c r="D249" s="13">
        <v>1175</v>
      </c>
      <c r="E249" s="13">
        <v>1276</v>
      </c>
    </row>
    <row r="250" spans="1:5" x14ac:dyDescent="0.25">
      <c r="A250" s="11">
        <v>1998</v>
      </c>
      <c r="B250" s="11" t="s">
        <v>243</v>
      </c>
      <c r="C250" s="13">
        <v>910</v>
      </c>
      <c r="D250" s="13">
        <v>436</v>
      </c>
      <c r="E250" s="13">
        <v>474</v>
      </c>
    </row>
    <row r="251" spans="1:5" x14ac:dyDescent="0.25">
      <c r="A251" s="11">
        <v>1998</v>
      </c>
      <c r="B251" s="11" t="s">
        <v>244</v>
      </c>
      <c r="C251" s="13">
        <v>964</v>
      </c>
      <c r="D251" s="13">
        <v>502</v>
      </c>
      <c r="E251" s="13">
        <v>462</v>
      </c>
    </row>
    <row r="252" spans="1:5" x14ac:dyDescent="0.25">
      <c r="A252" s="11">
        <v>1998</v>
      </c>
      <c r="B252" s="11" t="s">
        <v>245</v>
      </c>
      <c r="C252" s="13">
        <v>1034</v>
      </c>
      <c r="D252" s="13">
        <v>508</v>
      </c>
      <c r="E252" s="13">
        <v>526</v>
      </c>
    </row>
    <row r="253" spans="1:5" x14ac:dyDescent="0.25">
      <c r="A253" s="11">
        <v>1998</v>
      </c>
      <c r="B253" s="11" t="s">
        <v>246</v>
      </c>
      <c r="C253" s="13">
        <v>274</v>
      </c>
      <c r="D253" s="13">
        <v>143</v>
      </c>
      <c r="E253" s="13">
        <v>131</v>
      </c>
    </row>
    <row r="254" spans="1:5" x14ac:dyDescent="0.25">
      <c r="A254" s="11">
        <v>1998</v>
      </c>
      <c r="B254" s="11" t="s">
        <v>247</v>
      </c>
      <c r="C254" s="13">
        <v>1540</v>
      </c>
      <c r="D254" s="13">
        <v>750</v>
      </c>
      <c r="E254" s="13">
        <v>790</v>
      </c>
    </row>
    <row r="255" spans="1:5" x14ac:dyDescent="0.25">
      <c r="A255" s="11">
        <v>1998</v>
      </c>
      <c r="B255" s="11" t="s">
        <v>248</v>
      </c>
      <c r="C255" s="13">
        <v>4078</v>
      </c>
      <c r="D255" s="13">
        <v>1995</v>
      </c>
      <c r="E255" s="13">
        <v>2083</v>
      </c>
    </row>
    <row r="256" spans="1:5" x14ac:dyDescent="0.25">
      <c r="A256" s="11">
        <v>1998</v>
      </c>
      <c r="B256" s="11" t="s">
        <v>249</v>
      </c>
      <c r="C256" s="13">
        <v>194</v>
      </c>
      <c r="D256" s="13">
        <v>91</v>
      </c>
      <c r="E256" s="13">
        <v>103</v>
      </c>
    </row>
    <row r="257" spans="1:5" x14ac:dyDescent="0.25">
      <c r="A257" s="11">
        <v>1998</v>
      </c>
      <c r="B257" s="11" t="s">
        <v>250</v>
      </c>
      <c r="C257" s="13">
        <v>1364</v>
      </c>
      <c r="D257" s="13">
        <v>652</v>
      </c>
      <c r="E257" s="13">
        <v>712</v>
      </c>
    </row>
    <row r="258" spans="1:5" x14ac:dyDescent="0.25">
      <c r="A258" s="11">
        <v>1998</v>
      </c>
      <c r="B258" s="11" t="s">
        <v>251</v>
      </c>
      <c r="C258" s="13">
        <v>2014</v>
      </c>
      <c r="D258" s="13">
        <v>1021</v>
      </c>
      <c r="E258" s="13">
        <v>993</v>
      </c>
    </row>
    <row r="259" spans="1:5" x14ac:dyDescent="0.25">
      <c r="A259" s="11">
        <v>1998</v>
      </c>
      <c r="B259" s="11" t="s">
        <v>252</v>
      </c>
      <c r="C259" s="13">
        <v>1038</v>
      </c>
      <c r="D259" s="13">
        <v>501</v>
      </c>
      <c r="E259" s="13">
        <v>537</v>
      </c>
    </row>
    <row r="260" spans="1:5" x14ac:dyDescent="0.25">
      <c r="A260" s="11">
        <v>1998</v>
      </c>
      <c r="B260" s="11" t="s">
        <v>253</v>
      </c>
      <c r="C260" s="13">
        <v>265</v>
      </c>
      <c r="D260" s="13">
        <v>139</v>
      </c>
      <c r="E260" s="13">
        <v>126</v>
      </c>
    </row>
    <row r="261" spans="1:5" x14ac:dyDescent="0.25">
      <c r="A261" s="11">
        <v>1998</v>
      </c>
      <c r="B261" s="11" t="s">
        <v>254</v>
      </c>
      <c r="C261" s="13">
        <v>1165</v>
      </c>
      <c r="D261" s="13">
        <v>562</v>
      </c>
      <c r="E261" s="13">
        <v>603</v>
      </c>
    </row>
    <row r="262" spans="1:5" x14ac:dyDescent="0.25">
      <c r="A262" s="11">
        <v>1998</v>
      </c>
      <c r="B262" s="11" t="s">
        <v>255</v>
      </c>
      <c r="C262" s="13">
        <v>3303</v>
      </c>
      <c r="D262" s="13">
        <v>1598</v>
      </c>
      <c r="E262" s="13">
        <v>1705</v>
      </c>
    </row>
    <row r="263" spans="1:5" x14ac:dyDescent="0.25">
      <c r="A263" s="11">
        <v>1998</v>
      </c>
      <c r="B263" s="11" t="s">
        <v>256</v>
      </c>
      <c r="C263" s="13">
        <v>921</v>
      </c>
      <c r="D263" s="13">
        <v>432</v>
      </c>
      <c r="E263" s="13">
        <v>489</v>
      </c>
    </row>
    <row r="264" spans="1:5" x14ac:dyDescent="0.25">
      <c r="A264" s="11">
        <v>1998</v>
      </c>
      <c r="B264" s="11" t="s">
        <v>257</v>
      </c>
      <c r="C264" s="13">
        <v>1116</v>
      </c>
      <c r="D264" s="13">
        <v>527</v>
      </c>
      <c r="E264" s="13">
        <v>589</v>
      </c>
    </row>
    <row r="265" spans="1:5" x14ac:dyDescent="0.25">
      <c r="A265" s="11">
        <v>1998</v>
      </c>
      <c r="B265" s="11" t="s">
        <v>258</v>
      </c>
      <c r="C265" s="13">
        <v>1976</v>
      </c>
      <c r="D265" s="13">
        <v>950</v>
      </c>
      <c r="E265" s="13">
        <v>1026</v>
      </c>
    </row>
    <row r="266" spans="1:5" x14ac:dyDescent="0.25">
      <c r="A266" s="11">
        <v>1999</v>
      </c>
      <c r="B266" s="11" t="s">
        <v>11</v>
      </c>
      <c r="C266" s="13">
        <v>55147</v>
      </c>
      <c r="D266" s="13">
        <v>26901</v>
      </c>
      <c r="E266" s="13">
        <v>28246</v>
      </c>
    </row>
    <row r="267" spans="1:5" x14ac:dyDescent="0.25">
      <c r="A267" s="11">
        <v>1999</v>
      </c>
      <c r="B267" s="11" t="s">
        <v>227</v>
      </c>
      <c r="C267" s="13">
        <v>2311</v>
      </c>
      <c r="D267" s="13">
        <v>1130</v>
      </c>
      <c r="E267" s="13">
        <v>1181</v>
      </c>
    </row>
    <row r="268" spans="1:5" x14ac:dyDescent="0.25">
      <c r="A268" s="11">
        <v>1999</v>
      </c>
      <c r="B268" s="11" t="s">
        <v>228</v>
      </c>
      <c r="C268" s="13">
        <v>2501</v>
      </c>
      <c r="D268" s="13">
        <v>1238</v>
      </c>
      <c r="E268" s="13">
        <v>1263</v>
      </c>
    </row>
    <row r="269" spans="1:5" x14ac:dyDescent="0.25">
      <c r="A269" s="11">
        <v>1999</v>
      </c>
      <c r="B269" s="11" t="s">
        <v>229</v>
      </c>
      <c r="C269" s="13">
        <v>1085</v>
      </c>
      <c r="D269" s="13">
        <v>537</v>
      </c>
      <c r="E269" s="13">
        <v>548</v>
      </c>
    </row>
    <row r="270" spans="1:5" x14ac:dyDescent="0.25">
      <c r="A270" s="11">
        <v>1999</v>
      </c>
      <c r="B270" s="11" t="s">
        <v>230</v>
      </c>
      <c r="C270" s="13">
        <v>834</v>
      </c>
      <c r="D270" s="13">
        <v>403</v>
      </c>
      <c r="E270" s="13">
        <v>431</v>
      </c>
    </row>
    <row r="271" spans="1:5" x14ac:dyDescent="0.25">
      <c r="A271" s="11">
        <v>1999</v>
      </c>
      <c r="B271" s="11" t="s">
        <v>231</v>
      </c>
      <c r="C271" s="13">
        <v>4764</v>
      </c>
      <c r="D271" s="13">
        <v>2362</v>
      </c>
      <c r="E271" s="13">
        <v>2402</v>
      </c>
    </row>
    <row r="272" spans="1:5" x14ac:dyDescent="0.25">
      <c r="A272" s="11">
        <v>1999</v>
      </c>
      <c r="B272" s="11" t="s">
        <v>232</v>
      </c>
      <c r="C272" s="13">
        <v>544</v>
      </c>
      <c r="D272" s="13">
        <v>251</v>
      </c>
      <c r="E272" s="13">
        <v>293</v>
      </c>
    </row>
    <row r="273" spans="1:5" x14ac:dyDescent="0.25">
      <c r="A273" s="11">
        <v>1999</v>
      </c>
      <c r="B273" s="11" t="s">
        <v>233</v>
      </c>
      <c r="C273" s="13">
        <v>1402</v>
      </c>
      <c r="D273" s="13">
        <v>684</v>
      </c>
      <c r="E273" s="13">
        <v>718</v>
      </c>
    </row>
    <row r="274" spans="1:5" x14ac:dyDescent="0.25">
      <c r="A274" s="11">
        <v>1999</v>
      </c>
      <c r="B274" s="11" t="s">
        <v>234</v>
      </c>
      <c r="C274" s="13">
        <v>1522</v>
      </c>
      <c r="D274" s="13">
        <v>729</v>
      </c>
      <c r="E274" s="13">
        <v>793</v>
      </c>
    </row>
    <row r="275" spans="1:5" x14ac:dyDescent="0.25">
      <c r="A275" s="11">
        <v>1999</v>
      </c>
      <c r="B275" s="11" t="s">
        <v>235</v>
      </c>
      <c r="C275" s="13">
        <v>1290</v>
      </c>
      <c r="D275" s="13">
        <v>659</v>
      </c>
      <c r="E275" s="13">
        <v>631</v>
      </c>
    </row>
    <row r="276" spans="1:5" x14ac:dyDescent="0.25">
      <c r="A276" s="11">
        <v>1999</v>
      </c>
      <c r="B276" s="11" t="s">
        <v>236</v>
      </c>
      <c r="C276" s="13">
        <v>1057</v>
      </c>
      <c r="D276" s="13">
        <v>505</v>
      </c>
      <c r="E276" s="13">
        <v>552</v>
      </c>
    </row>
    <row r="277" spans="1:5" x14ac:dyDescent="0.25">
      <c r="A277" s="11">
        <v>1999</v>
      </c>
      <c r="B277" s="11" t="s">
        <v>237</v>
      </c>
      <c r="C277" s="13">
        <v>968</v>
      </c>
      <c r="D277" s="13">
        <v>484</v>
      </c>
      <c r="E277" s="13">
        <v>484</v>
      </c>
    </row>
    <row r="278" spans="1:5" x14ac:dyDescent="0.25">
      <c r="A278" s="11">
        <v>1999</v>
      </c>
      <c r="B278" s="11" t="s">
        <v>238</v>
      </c>
      <c r="C278" s="13">
        <v>953</v>
      </c>
      <c r="D278" s="13">
        <v>462</v>
      </c>
      <c r="E278" s="13">
        <v>491</v>
      </c>
    </row>
    <row r="279" spans="1:5" x14ac:dyDescent="0.25">
      <c r="A279" s="11">
        <v>1999</v>
      </c>
      <c r="B279" s="11" t="s">
        <v>239</v>
      </c>
      <c r="C279" s="13">
        <v>1603</v>
      </c>
      <c r="D279" s="13">
        <v>791</v>
      </c>
      <c r="E279" s="13">
        <v>812</v>
      </c>
    </row>
    <row r="280" spans="1:5" x14ac:dyDescent="0.25">
      <c r="A280" s="11">
        <v>1999</v>
      </c>
      <c r="B280" s="11" t="s">
        <v>240</v>
      </c>
      <c r="C280" s="13">
        <v>3655</v>
      </c>
      <c r="D280" s="13">
        <v>1761</v>
      </c>
      <c r="E280" s="13">
        <v>1894</v>
      </c>
    </row>
    <row r="281" spans="1:5" x14ac:dyDescent="0.25">
      <c r="A281" s="11">
        <v>1999</v>
      </c>
      <c r="B281" s="11" t="s">
        <v>241</v>
      </c>
      <c r="C281" s="13">
        <v>6830</v>
      </c>
      <c r="D281" s="13">
        <v>3369</v>
      </c>
      <c r="E281" s="13">
        <v>3461</v>
      </c>
    </row>
    <row r="282" spans="1:5" x14ac:dyDescent="0.25">
      <c r="A282" s="11">
        <v>1999</v>
      </c>
      <c r="B282" s="11" t="s">
        <v>242</v>
      </c>
      <c r="C282" s="13">
        <v>2223</v>
      </c>
      <c r="D282" s="13">
        <v>1016</v>
      </c>
      <c r="E282" s="13">
        <v>1207</v>
      </c>
    </row>
    <row r="283" spans="1:5" x14ac:dyDescent="0.25">
      <c r="A283" s="11">
        <v>1999</v>
      </c>
      <c r="B283" s="11" t="s">
        <v>243</v>
      </c>
      <c r="C283" s="13">
        <v>947</v>
      </c>
      <c r="D283" s="13">
        <v>457</v>
      </c>
      <c r="E283" s="13">
        <v>490</v>
      </c>
    </row>
    <row r="284" spans="1:5" x14ac:dyDescent="0.25">
      <c r="A284" s="11">
        <v>1999</v>
      </c>
      <c r="B284" s="11" t="s">
        <v>244</v>
      </c>
      <c r="C284" s="13">
        <v>962</v>
      </c>
      <c r="D284" s="13">
        <v>500</v>
      </c>
      <c r="E284" s="13">
        <v>462</v>
      </c>
    </row>
    <row r="285" spans="1:5" x14ac:dyDescent="0.25">
      <c r="A285" s="11">
        <v>1999</v>
      </c>
      <c r="B285" s="11" t="s">
        <v>245</v>
      </c>
      <c r="C285" s="13">
        <v>973</v>
      </c>
      <c r="D285" s="13">
        <v>449</v>
      </c>
      <c r="E285" s="13">
        <v>524</v>
      </c>
    </row>
    <row r="286" spans="1:5" x14ac:dyDescent="0.25">
      <c r="A286" s="11">
        <v>1999</v>
      </c>
      <c r="B286" s="11" t="s">
        <v>246</v>
      </c>
      <c r="C286" s="13">
        <v>265</v>
      </c>
      <c r="D286" s="13">
        <v>123</v>
      </c>
      <c r="E286" s="13">
        <v>142</v>
      </c>
    </row>
    <row r="287" spans="1:5" x14ac:dyDescent="0.25">
      <c r="A287" s="11">
        <v>1999</v>
      </c>
      <c r="B287" s="11" t="s">
        <v>247</v>
      </c>
      <c r="C287" s="13">
        <v>1414</v>
      </c>
      <c r="D287" s="13">
        <v>685</v>
      </c>
      <c r="E287" s="13">
        <v>729</v>
      </c>
    </row>
    <row r="288" spans="1:5" x14ac:dyDescent="0.25">
      <c r="A288" s="11">
        <v>1999</v>
      </c>
      <c r="B288" s="11" t="s">
        <v>248</v>
      </c>
      <c r="C288" s="13">
        <v>3859</v>
      </c>
      <c r="D288" s="13">
        <v>1827</v>
      </c>
      <c r="E288" s="13">
        <v>2032</v>
      </c>
    </row>
    <row r="289" spans="1:5" x14ac:dyDescent="0.25">
      <c r="A289" s="11">
        <v>1999</v>
      </c>
      <c r="B289" s="11" t="s">
        <v>249</v>
      </c>
      <c r="C289" s="13">
        <v>188</v>
      </c>
      <c r="D289" s="13">
        <v>93</v>
      </c>
      <c r="E289" s="13">
        <v>95</v>
      </c>
    </row>
    <row r="290" spans="1:5" x14ac:dyDescent="0.25">
      <c r="A290" s="11">
        <v>1999</v>
      </c>
      <c r="B290" s="11" t="s">
        <v>250</v>
      </c>
      <c r="C290" s="13">
        <v>1372</v>
      </c>
      <c r="D290" s="13">
        <v>631</v>
      </c>
      <c r="E290" s="13">
        <v>741</v>
      </c>
    </row>
    <row r="291" spans="1:5" x14ac:dyDescent="0.25">
      <c r="A291" s="11">
        <v>1999</v>
      </c>
      <c r="B291" s="11" t="s">
        <v>251</v>
      </c>
      <c r="C291" s="13">
        <v>1980</v>
      </c>
      <c r="D291" s="13">
        <v>987</v>
      </c>
      <c r="E291" s="13">
        <v>993</v>
      </c>
    </row>
    <row r="292" spans="1:5" x14ac:dyDescent="0.25">
      <c r="A292" s="11">
        <v>1999</v>
      </c>
      <c r="B292" s="11" t="s">
        <v>252</v>
      </c>
      <c r="C292" s="13">
        <v>1054</v>
      </c>
      <c r="D292" s="13">
        <v>523</v>
      </c>
      <c r="E292" s="13">
        <v>531</v>
      </c>
    </row>
    <row r="293" spans="1:5" x14ac:dyDescent="0.25">
      <c r="A293" s="11">
        <v>1999</v>
      </c>
      <c r="B293" s="11" t="s">
        <v>253</v>
      </c>
      <c r="C293" s="13">
        <v>284</v>
      </c>
      <c r="D293" s="13">
        <v>144</v>
      </c>
      <c r="E293" s="13">
        <v>140</v>
      </c>
    </row>
    <row r="294" spans="1:5" x14ac:dyDescent="0.25">
      <c r="A294" s="11">
        <v>1999</v>
      </c>
      <c r="B294" s="11" t="s">
        <v>254</v>
      </c>
      <c r="C294" s="13">
        <v>1036</v>
      </c>
      <c r="D294" s="13">
        <v>471</v>
      </c>
      <c r="E294" s="13">
        <v>565</v>
      </c>
    </row>
    <row r="295" spans="1:5" x14ac:dyDescent="0.25">
      <c r="A295" s="11">
        <v>1999</v>
      </c>
      <c r="B295" s="11" t="s">
        <v>255</v>
      </c>
      <c r="C295" s="13">
        <v>3342</v>
      </c>
      <c r="D295" s="13">
        <v>1675</v>
      </c>
      <c r="E295" s="13">
        <v>1667</v>
      </c>
    </row>
    <row r="296" spans="1:5" x14ac:dyDescent="0.25">
      <c r="A296" s="11">
        <v>1999</v>
      </c>
      <c r="B296" s="11" t="s">
        <v>256</v>
      </c>
      <c r="C296" s="13">
        <v>882</v>
      </c>
      <c r="D296" s="13">
        <v>440</v>
      </c>
      <c r="E296" s="13">
        <v>442</v>
      </c>
    </row>
    <row r="297" spans="1:5" x14ac:dyDescent="0.25">
      <c r="A297" s="11">
        <v>1999</v>
      </c>
      <c r="B297" s="11" t="s">
        <v>257</v>
      </c>
      <c r="C297" s="13">
        <v>1051</v>
      </c>
      <c r="D297" s="13">
        <v>530</v>
      </c>
      <c r="E297" s="13">
        <v>521</v>
      </c>
    </row>
    <row r="298" spans="1:5" x14ac:dyDescent="0.25">
      <c r="A298" s="11">
        <v>1999</v>
      </c>
      <c r="B298" s="11" t="s">
        <v>258</v>
      </c>
      <c r="C298" s="13">
        <v>1996</v>
      </c>
      <c r="D298" s="13">
        <v>985</v>
      </c>
      <c r="E298" s="13">
        <v>1011</v>
      </c>
    </row>
    <row r="299" spans="1:5" x14ac:dyDescent="0.25">
      <c r="A299" s="11">
        <v>2000</v>
      </c>
      <c r="B299" s="11" t="s">
        <v>11</v>
      </c>
      <c r="C299" s="13">
        <v>53076</v>
      </c>
      <c r="D299" s="13">
        <v>25880</v>
      </c>
      <c r="E299" s="13">
        <v>27196</v>
      </c>
    </row>
    <row r="300" spans="1:5" x14ac:dyDescent="0.25">
      <c r="A300" s="11">
        <v>2000</v>
      </c>
      <c r="B300" s="11" t="s">
        <v>227</v>
      </c>
      <c r="C300" s="13">
        <v>2088</v>
      </c>
      <c r="D300" s="13">
        <v>998</v>
      </c>
      <c r="E300" s="13">
        <v>1090</v>
      </c>
    </row>
    <row r="301" spans="1:5" x14ac:dyDescent="0.25">
      <c r="A301" s="11">
        <v>2000</v>
      </c>
      <c r="B301" s="11" t="s">
        <v>228</v>
      </c>
      <c r="C301" s="13">
        <v>2320</v>
      </c>
      <c r="D301" s="13">
        <v>1092</v>
      </c>
      <c r="E301" s="13">
        <v>1228</v>
      </c>
    </row>
    <row r="302" spans="1:5" x14ac:dyDescent="0.25">
      <c r="A302" s="11">
        <v>2000</v>
      </c>
      <c r="B302" s="11" t="s">
        <v>229</v>
      </c>
      <c r="C302" s="13">
        <v>1049</v>
      </c>
      <c r="D302" s="13">
        <v>498</v>
      </c>
      <c r="E302" s="13">
        <v>551</v>
      </c>
    </row>
    <row r="303" spans="1:5" x14ac:dyDescent="0.25">
      <c r="A303" s="11">
        <v>2000</v>
      </c>
      <c r="B303" s="11" t="s">
        <v>230</v>
      </c>
      <c r="C303" s="13">
        <v>792</v>
      </c>
      <c r="D303" s="13">
        <v>376</v>
      </c>
      <c r="E303" s="13">
        <v>416</v>
      </c>
    </row>
    <row r="304" spans="1:5" x14ac:dyDescent="0.25">
      <c r="A304" s="11">
        <v>2000</v>
      </c>
      <c r="B304" s="11" t="s">
        <v>231</v>
      </c>
      <c r="C304" s="13">
        <v>4643</v>
      </c>
      <c r="D304" s="13">
        <v>2273</v>
      </c>
      <c r="E304" s="13">
        <v>2370</v>
      </c>
    </row>
    <row r="305" spans="1:5" x14ac:dyDescent="0.25">
      <c r="A305" s="11">
        <v>2000</v>
      </c>
      <c r="B305" s="11" t="s">
        <v>232</v>
      </c>
      <c r="C305" s="13">
        <v>490</v>
      </c>
      <c r="D305" s="13">
        <v>247</v>
      </c>
      <c r="E305" s="13">
        <v>243</v>
      </c>
    </row>
    <row r="306" spans="1:5" x14ac:dyDescent="0.25">
      <c r="A306" s="11">
        <v>2000</v>
      </c>
      <c r="B306" s="11" t="s">
        <v>233</v>
      </c>
      <c r="C306" s="13">
        <v>1369</v>
      </c>
      <c r="D306" s="13">
        <v>670</v>
      </c>
      <c r="E306" s="13">
        <v>699</v>
      </c>
    </row>
    <row r="307" spans="1:5" x14ac:dyDescent="0.25">
      <c r="A307" s="11">
        <v>2000</v>
      </c>
      <c r="B307" s="11" t="s">
        <v>234</v>
      </c>
      <c r="C307" s="13">
        <v>1462</v>
      </c>
      <c r="D307" s="13">
        <v>723</v>
      </c>
      <c r="E307" s="13">
        <v>739</v>
      </c>
    </row>
    <row r="308" spans="1:5" x14ac:dyDescent="0.25">
      <c r="A308" s="11">
        <v>2000</v>
      </c>
      <c r="B308" s="11" t="s">
        <v>235</v>
      </c>
      <c r="C308" s="13">
        <v>1228</v>
      </c>
      <c r="D308" s="13">
        <v>611</v>
      </c>
      <c r="E308" s="13">
        <v>617</v>
      </c>
    </row>
    <row r="309" spans="1:5" x14ac:dyDescent="0.25">
      <c r="A309" s="11">
        <v>2000</v>
      </c>
      <c r="B309" s="11" t="s">
        <v>236</v>
      </c>
      <c r="C309" s="13">
        <v>972</v>
      </c>
      <c r="D309" s="13">
        <v>474</v>
      </c>
      <c r="E309" s="13">
        <v>498</v>
      </c>
    </row>
    <row r="310" spans="1:5" x14ac:dyDescent="0.25">
      <c r="A310" s="11">
        <v>2000</v>
      </c>
      <c r="B310" s="11" t="s">
        <v>237</v>
      </c>
      <c r="C310" s="13">
        <v>1013</v>
      </c>
      <c r="D310" s="13">
        <v>524</v>
      </c>
      <c r="E310" s="13">
        <v>489</v>
      </c>
    </row>
    <row r="311" spans="1:5" x14ac:dyDescent="0.25">
      <c r="A311" s="11">
        <v>2000</v>
      </c>
      <c r="B311" s="11" t="s">
        <v>238</v>
      </c>
      <c r="C311" s="13">
        <v>931</v>
      </c>
      <c r="D311" s="13">
        <v>427</v>
      </c>
      <c r="E311" s="13">
        <v>504</v>
      </c>
    </row>
    <row r="312" spans="1:5" x14ac:dyDescent="0.25">
      <c r="A312" s="11">
        <v>2000</v>
      </c>
      <c r="B312" s="11" t="s">
        <v>239</v>
      </c>
      <c r="C312" s="13">
        <v>1555</v>
      </c>
      <c r="D312" s="13">
        <v>757</v>
      </c>
      <c r="E312" s="13">
        <v>798</v>
      </c>
    </row>
    <row r="313" spans="1:5" x14ac:dyDescent="0.25">
      <c r="A313" s="11">
        <v>2000</v>
      </c>
      <c r="B313" s="11" t="s">
        <v>240</v>
      </c>
      <c r="C313" s="13">
        <v>3498</v>
      </c>
      <c r="D313" s="13">
        <v>1674</v>
      </c>
      <c r="E313" s="13">
        <v>1824</v>
      </c>
    </row>
    <row r="314" spans="1:5" x14ac:dyDescent="0.25">
      <c r="A314" s="11">
        <v>2000</v>
      </c>
      <c r="B314" s="11" t="s">
        <v>241</v>
      </c>
      <c r="C314" s="13">
        <v>6578</v>
      </c>
      <c r="D314" s="13">
        <v>3165</v>
      </c>
      <c r="E314" s="13">
        <v>3413</v>
      </c>
    </row>
    <row r="315" spans="1:5" x14ac:dyDescent="0.25">
      <c r="A315" s="11">
        <v>2000</v>
      </c>
      <c r="B315" s="11" t="s">
        <v>242</v>
      </c>
      <c r="C315" s="13">
        <v>2153</v>
      </c>
      <c r="D315" s="13">
        <v>1025</v>
      </c>
      <c r="E315" s="13">
        <v>1128</v>
      </c>
    </row>
    <row r="316" spans="1:5" x14ac:dyDescent="0.25">
      <c r="A316" s="11">
        <v>2000</v>
      </c>
      <c r="B316" s="11" t="s">
        <v>243</v>
      </c>
      <c r="C316" s="13">
        <v>863</v>
      </c>
      <c r="D316" s="13">
        <v>418</v>
      </c>
      <c r="E316" s="13">
        <v>445</v>
      </c>
    </row>
    <row r="317" spans="1:5" x14ac:dyDescent="0.25">
      <c r="A317" s="11">
        <v>2000</v>
      </c>
      <c r="B317" s="11" t="s">
        <v>244</v>
      </c>
      <c r="C317" s="13">
        <v>924</v>
      </c>
      <c r="D317" s="13">
        <v>452</v>
      </c>
      <c r="E317" s="13">
        <v>472</v>
      </c>
    </row>
    <row r="318" spans="1:5" x14ac:dyDescent="0.25">
      <c r="A318" s="11">
        <v>2000</v>
      </c>
      <c r="B318" s="11" t="s">
        <v>245</v>
      </c>
      <c r="C318" s="13">
        <v>912</v>
      </c>
      <c r="D318" s="13">
        <v>440</v>
      </c>
      <c r="E318" s="13">
        <v>472</v>
      </c>
    </row>
    <row r="319" spans="1:5" x14ac:dyDescent="0.25">
      <c r="A319" s="11">
        <v>2000</v>
      </c>
      <c r="B319" s="11" t="s">
        <v>246</v>
      </c>
      <c r="C319" s="13">
        <v>228</v>
      </c>
      <c r="D319" s="13">
        <v>108</v>
      </c>
      <c r="E319" s="13">
        <v>120</v>
      </c>
    </row>
    <row r="320" spans="1:5" x14ac:dyDescent="0.25">
      <c r="A320" s="11">
        <v>2000</v>
      </c>
      <c r="B320" s="11" t="s">
        <v>247</v>
      </c>
      <c r="C320" s="13">
        <v>1393</v>
      </c>
      <c r="D320" s="13">
        <v>691</v>
      </c>
      <c r="E320" s="13">
        <v>702</v>
      </c>
    </row>
    <row r="321" spans="1:5" x14ac:dyDescent="0.25">
      <c r="A321" s="11">
        <v>2000</v>
      </c>
      <c r="B321" s="11" t="s">
        <v>248</v>
      </c>
      <c r="C321" s="13">
        <v>3832</v>
      </c>
      <c r="D321" s="13">
        <v>1911</v>
      </c>
      <c r="E321" s="13">
        <v>1921</v>
      </c>
    </row>
    <row r="322" spans="1:5" x14ac:dyDescent="0.25">
      <c r="A322" s="11">
        <v>2000</v>
      </c>
      <c r="B322" s="11" t="s">
        <v>249</v>
      </c>
      <c r="C322" s="13">
        <v>152</v>
      </c>
      <c r="D322" s="13">
        <v>83</v>
      </c>
      <c r="E322" s="13">
        <v>69</v>
      </c>
    </row>
    <row r="323" spans="1:5" x14ac:dyDescent="0.25">
      <c r="A323" s="11">
        <v>2000</v>
      </c>
      <c r="B323" s="11" t="s">
        <v>250</v>
      </c>
      <c r="C323" s="13">
        <v>1335</v>
      </c>
      <c r="D323" s="13">
        <v>652</v>
      </c>
      <c r="E323" s="13">
        <v>683</v>
      </c>
    </row>
    <row r="324" spans="1:5" x14ac:dyDescent="0.25">
      <c r="A324" s="11">
        <v>2000</v>
      </c>
      <c r="B324" s="11" t="s">
        <v>251</v>
      </c>
      <c r="C324" s="13">
        <v>2007</v>
      </c>
      <c r="D324" s="13">
        <v>1004</v>
      </c>
      <c r="E324" s="13">
        <v>1003</v>
      </c>
    </row>
    <row r="325" spans="1:5" x14ac:dyDescent="0.25">
      <c r="A325" s="11">
        <v>2000</v>
      </c>
      <c r="B325" s="11" t="s">
        <v>252</v>
      </c>
      <c r="C325" s="13">
        <v>1068</v>
      </c>
      <c r="D325" s="13">
        <v>529</v>
      </c>
      <c r="E325" s="13">
        <v>539</v>
      </c>
    </row>
    <row r="326" spans="1:5" x14ac:dyDescent="0.25">
      <c r="A326" s="11">
        <v>2000</v>
      </c>
      <c r="B326" s="11" t="s">
        <v>253</v>
      </c>
      <c r="C326" s="13">
        <v>226</v>
      </c>
      <c r="D326" s="13">
        <v>109</v>
      </c>
      <c r="E326" s="13">
        <v>117</v>
      </c>
    </row>
    <row r="327" spans="1:5" x14ac:dyDescent="0.25">
      <c r="A327" s="11">
        <v>2000</v>
      </c>
      <c r="B327" s="11" t="s">
        <v>254</v>
      </c>
      <c r="C327" s="13">
        <v>1050</v>
      </c>
      <c r="D327" s="13">
        <v>519</v>
      </c>
      <c r="E327" s="13">
        <v>531</v>
      </c>
    </row>
    <row r="328" spans="1:5" x14ac:dyDescent="0.25">
      <c r="A328" s="11">
        <v>2000</v>
      </c>
      <c r="B328" s="11" t="s">
        <v>255</v>
      </c>
      <c r="C328" s="13">
        <v>3162</v>
      </c>
      <c r="D328" s="13">
        <v>1572</v>
      </c>
      <c r="E328" s="13">
        <v>1590</v>
      </c>
    </row>
    <row r="329" spans="1:5" x14ac:dyDescent="0.25">
      <c r="A329" s="11">
        <v>2000</v>
      </c>
      <c r="B329" s="11" t="s">
        <v>256</v>
      </c>
      <c r="C329" s="13">
        <v>876</v>
      </c>
      <c r="D329" s="13">
        <v>447</v>
      </c>
      <c r="E329" s="13">
        <v>429</v>
      </c>
    </row>
    <row r="330" spans="1:5" x14ac:dyDescent="0.25">
      <c r="A330" s="11">
        <v>2000</v>
      </c>
      <c r="B330" s="11" t="s">
        <v>257</v>
      </c>
      <c r="C330" s="13">
        <v>1008</v>
      </c>
      <c r="D330" s="13">
        <v>479</v>
      </c>
      <c r="E330" s="13">
        <v>529</v>
      </c>
    </row>
    <row r="331" spans="1:5" x14ac:dyDescent="0.25">
      <c r="A331" s="11">
        <v>2000</v>
      </c>
      <c r="B331" s="11" t="s">
        <v>258</v>
      </c>
      <c r="C331" s="13">
        <v>1899</v>
      </c>
      <c r="D331" s="13">
        <v>932</v>
      </c>
      <c r="E331" s="13">
        <v>967</v>
      </c>
    </row>
    <row r="332" spans="1:5" x14ac:dyDescent="0.25">
      <c r="A332" s="11">
        <v>2001</v>
      </c>
      <c r="B332" s="11" t="s">
        <v>11</v>
      </c>
      <c r="C332" s="13">
        <v>52527</v>
      </c>
      <c r="D332" s="13">
        <v>25741</v>
      </c>
      <c r="E332" s="13">
        <v>26786</v>
      </c>
    </row>
    <row r="333" spans="1:5" x14ac:dyDescent="0.25">
      <c r="A333" s="11">
        <v>2001</v>
      </c>
      <c r="B333" s="11" t="s">
        <v>227</v>
      </c>
      <c r="C333" s="13">
        <v>2097</v>
      </c>
      <c r="D333" s="13">
        <v>1034</v>
      </c>
      <c r="E333" s="13">
        <v>1063</v>
      </c>
    </row>
    <row r="334" spans="1:5" x14ac:dyDescent="0.25">
      <c r="A334" s="11">
        <v>2001</v>
      </c>
      <c r="B334" s="11" t="s">
        <v>228</v>
      </c>
      <c r="C334" s="13">
        <v>2247</v>
      </c>
      <c r="D334" s="13">
        <v>1095</v>
      </c>
      <c r="E334" s="13">
        <v>1152</v>
      </c>
    </row>
    <row r="335" spans="1:5" x14ac:dyDescent="0.25">
      <c r="A335" s="11">
        <v>2001</v>
      </c>
      <c r="B335" s="11" t="s">
        <v>229</v>
      </c>
      <c r="C335" s="13">
        <v>1103</v>
      </c>
      <c r="D335" s="13">
        <v>530</v>
      </c>
      <c r="E335" s="13">
        <v>573</v>
      </c>
    </row>
    <row r="336" spans="1:5" x14ac:dyDescent="0.25">
      <c r="A336" s="11">
        <v>2001</v>
      </c>
      <c r="B336" s="11" t="s">
        <v>230</v>
      </c>
      <c r="C336" s="13">
        <v>780</v>
      </c>
      <c r="D336" s="13">
        <v>381</v>
      </c>
      <c r="E336" s="13">
        <v>399</v>
      </c>
    </row>
    <row r="337" spans="1:5" x14ac:dyDescent="0.25">
      <c r="A337" s="11">
        <v>2001</v>
      </c>
      <c r="B337" s="11" t="s">
        <v>231</v>
      </c>
      <c r="C337" s="13">
        <v>4489</v>
      </c>
      <c r="D337" s="13">
        <v>2209</v>
      </c>
      <c r="E337" s="13">
        <v>2280</v>
      </c>
    </row>
    <row r="338" spans="1:5" x14ac:dyDescent="0.25">
      <c r="A338" s="11">
        <v>2001</v>
      </c>
      <c r="B338" s="11" t="s">
        <v>232</v>
      </c>
      <c r="C338" s="13">
        <v>529</v>
      </c>
      <c r="D338" s="13">
        <v>269</v>
      </c>
      <c r="E338" s="13">
        <v>260</v>
      </c>
    </row>
    <row r="339" spans="1:5" x14ac:dyDescent="0.25">
      <c r="A339" s="11">
        <v>2001</v>
      </c>
      <c r="B339" s="11" t="s">
        <v>233</v>
      </c>
      <c r="C339" s="13">
        <v>1283</v>
      </c>
      <c r="D339" s="13">
        <v>622</v>
      </c>
      <c r="E339" s="13">
        <v>661</v>
      </c>
    </row>
    <row r="340" spans="1:5" x14ac:dyDescent="0.25">
      <c r="A340" s="11">
        <v>2001</v>
      </c>
      <c r="B340" s="11" t="s">
        <v>234</v>
      </c>
      <c r="C340" s="13">
        <v>1468</v>
      </c>
      <c r="D340" s="13">
        <v>712</v>
      </c>
      <c r="E340" s="13">
        <v>756</v>
      </c>
    </row>
    <row r="341" spans="1:5" x14ac:dyDescent="0.25">
      <c r="A341" s="11">
        <v>2001</v>
      </c>
      <c r="B341" s="11" t="s">
        <v>235</v>
      </c>
      <c r="C341" s="13">
        <v>1198</v>
      </c>
      <c r="D341" s="13">
        <v>610</v>
      </c>
      <c r="E341" s="13">
        <v>588</v>
      </c>
    </row>
    <row r="342" spans="1:5" x14ac:dyDescent="0.25">
      <c r="A342" s="11">
        <v>2001</v>
      </c>
      <c r="B342" s="11" t="s">
        <v>236</v>
      </c>
      <c r="C342" s="13">
        <v>983</v>
      </c>
      <c r="D342" s="13">
        <v>448</v>
      </c>
      <c r="E342" s="13">
        <v>535</v>
      </c>
    </row>
    <row r="343" spans="1:5" x14ac:dyDescent="0.25">
      <c r="A343" s="11">
        <v>2001</v>
      </c>
      <c r="B343" s="11" t="s">
        <v>237</v>
      </c>
      <c r="C343" s="13">
        <v>940</v>
      </c>
      <c r="D343" s="13">
        <v>458</v>
      </c>
      <c r="E343" s="13">
        <v>482</v>
      </c>
    </row>
    <row r="344" spans="1:5" x14ac:dyDescent="0.25">
      <c r="A344" s="11">
        <v>2001</v>
      </c>
      <c r="B344" s="11" t="s">
        <v>238</v>
      </c>
      <c r="C344" s="13">
        <v>954</v>
      </c>
      <c r="D344" s="13">
        <v>471</v>
      </c>
      <c r="E344" s="13">
        <v>483</v>
      </c>
    </row>
    <row r="345" spans="1:5" x14ac:dyDescent="0.25">
      <c r="A345" s="11">
        <v>2001</v>
      </c>
      <c r="B345" s="11" t="s">
        <v>239</v>
      </c>
      <c r="C345" s="13">
        <v>1448</v>
      </c>
      <c r="D345" s="13">
        <v>731</v>
      </c>
      <c r="E345" s="13">
        <v>717</v>
      </c>
    </row>
    <row r="346" spans="1:5" x14ac:dyDescent="0.25">
      <c r="A346" s="11">
        <v>2001</v>
      </c>
      <c r="B346" s="11" t="s">
        <v>240</v>
      </c>
      <c r="C346" s="13">
        <v>3642</v>
      </c>
      <c r="D346" s="13">
        <v>1782</v>
      </c>
      <c r="E346" s="13">
        <v>1860</v>
      </c>
    </row>
    <row r="347" spans="1:5" x14ac:dyDescent="0.25">
      <c r="A347" s="11">
        <v>2001</v>
      </c>
      <c r="B347" s="11" t="s">
        <v>241</v>
      </c>
      <c r="C347" s="13">
        <v>6645</v>
      </c>
      <c r="D347" s="13">
        <v>3269</v>
      </c>
      <c r="E347" s="13">
        <v>3376</v>
      </c>
    </row>
    <row r="348" spans="1:5" x14ac:dyDescent="0.25">
      <c r="A348" s="11">
        <v>2001</v>
      </c>
      <c r="B348" s="11" t="s">
        <v>242</v>
      </c>
      <c r="C348" s="13">
        <v>2131</v>
      </c>
      <c r="D348" s="13">
        <v>1021</v>
      </c>
      <c r="E348" s="13">
        <v>1110</v>
      </c>
    </row>
    <row r="349" spans="1:5" x14ac:dyDescent="0.25">
      <c r="A349" s="11">
        <v>2001</v>
      </c>
      <c r="B349" s="11" t="s">
        <v>243</v>
      </c>
      <c r="C349" s="13">
        <v>850</v>
      </c>
      <c r="D349" s="13">
        <v>434</v>
      </c>
      <c r="E349" s="13">
        <v>416</v>
      </c>
    </row>
    <row r="350" spans="1:5" x14ac:dyDescent="0.25">
      <c r="A350" s="11">
        <v>2001</v>
      </c>
      <c r="B350" s="11" t="s">
        <v>244</v>
      </c>
      <c r="C350" s="13">
        <v>922</v>
      </c>
      <c r="D350" s="13">
        <v>458</v>
      </c>
      <c r="E350" s="13">
        <v>464</v>
      </c>
    </row>
    <row r="351" spans="1:5" x14ac:dyDescent="0.25">
      <c r="A351" s="11">
        <v>2001</v>
      </c>
      <c r="B351" s="11" t="s">
        <v>245</v>
      </c>
      <c r="C351" s="13">
        <v>869</v>
      </c>
      <c r="D351" s="13">
        <v>429</v>
      </c>
      <c r="E351" s="13">
        <v>440</v>
      </c>
    </row>
    <row r="352" spans="1:5" x14ac:dyDescent="0.25">
      <c r="A352" s="11">
        <v>2001</v>
      </c>
      <c r="B352" s="11" t="s">
        <v>246</v>
      </c>
      <c r="C352" s="13">
        <v>226</v>
      </c>
      <c r="D352" s="13">
        <v>109</v>
      </c>
      <c r="E352" s="13">
        <v>117</v>
      </c>
    </row>
    <row r="353" spans="1:5" x14ac:dyDescent="0.25">
      <c r="A353" s="11">
        <v>2001</v>
      </c>
      <c r="B353" s="11" t="s">
        <v>247</v>
      </c>
      <c r="C353" s="13">
        <v>1421</v>
      </c>
      <c r="D353" s="13">
        <v>714</v>
      </c>
      <c r="E353" s="13">
        <v>707</v>
      </c>
    </row>
    <row r="354" spans="1:5" x14ac:dyDescent="0.25">
      <c r="A354" s="11">
        <v>2001</v>
      </c>
      <c r="B354" s="11" t="s">
        <v>248</v>
      </c>
      <c r="C354" s="13">
        <v>3676</v>
      </c>
      <c r="D354" s="13">
        <v>1771</v>
      </c>
      <c r="E354" s="13">
        <v>1905</v>
      </c>
    </row>
    <row r="355" spans="1:5" x14ac:dyDescent="0.25">
      <c r="A355" s="11">
        <v>2001</v>
      </c>
      <c r="B355" s="11" t="s">
        <v>249</v>
      </c>
      <c r="C355" s="13">
        <v>174</v>
      </c>
      <c r="D355" s="13">
        <v>93</v>
      </c>
      <c r="E355" s="13">
        <v>81</v>
      </c>
    </row>
    <row r="356" spans="1:5" x14ac:dyDescent="0.25">
      <c r="A356" s="11">
        <v>2001</v>
      </c>
      <c r="B356" s="11" t="s">
        <v>250</v>
      </c>
      <c r="C356" s="13">
        <v>1334</v>
      </c>
      <c r="D356" s="13">
        <v>643</v>
      </c>
      <c r="E356" s="13">
        <v>691</v>
      </c>
    </row>
    <row r="357" spans="1:5" x14ac:dyDescent="0.25">
      <c r="A357" s="11">
        <v>2001</v>
      </c>
      <c r="B357" s="11" t="s">
        <v>251</v>
      </c>
      <c r="C357" s="13">
        <v>1796</v>
      </c>
      <c r="D357" s="13">
        <v>885</v>
      </c>
      <c r="E357" s="13">
        <v>911</v>
      </c>
    </row>
    <row r="358" spans="1:5" x14ac:dyDescent="0.25">
      <c r="A358" s="11">
        <v>2001</v>
      </c>
      <c r="B358" s="11" t="s">
        <v>252</v>
      </c>
      <c r="C358" s="13">
        <v>1066</v>
      </c>
      <c r="D358" s="13">
        <v>537</v>
      </c>
      <c r="E358" s="13">
        <v>529</v>
      </c>
    </row>
    <row r="359" spans="1:5" x14ac:dyDescent="0.25">
      <c r="A359" s="11">
        <v>2001</v>
      </c>
      <c r="B359" s="11" t="s">
        <v>253</v>
      </c>
      <c r="C359" s="13">
        <v>247</v>
      </c>
      <c r="D359" s="13">
        <v>115</v>
      </c>
      <c r="E359" s="13">
        <v>132</v>
      </c>
    </row>
    <row r="360" spans="1:5" x14ac:dyDescent="0.25">
      <c r="A360" s="11">
        <v>2001</v>
      </c>
      <c r="B360" s="11" t="s">
        <v>254</v>
      </c>
      <c r="C360" s="13">
        <v>1056</v>
      </c>
      <c r="D360" s="13">
        <v>483</v>
      </c>
      <c r="E360" s="13">
        <v>573</v>
      </c>
    </row>
    <row r="361" spans="1:5" x14ac:dyDescent="0.25">
      <c r="A361" s="11">
        <v>2001</v>
      </c>
      <c r="B361" s="11" t="s">
        <v>255</v>
      </c>
      <c r="C361" s="13">
        <v>3161</v>
      </c>
      <c r="D361" s="13">
        <v>1534</v>
      </c>
      <c r="E361" s="13">
        <v>1627</v>
      </c>
    </row>
    <row r="362" spans="1:5" x14ac:dyDescent="0.25">
      <c r="A362" s="11">
        <v>2001</v>
      </c>
      <c r="B362" s="11" t="s">
        <v>256</v>
      </c>
      <c r="C362" s="13">
        <v>840</v>
      </c>
      <c r="D362" s="13">
        <v>403</v>
      </c>
      <c r="E362" s="13">
        <v>437</v>
      </c>
    </row>
    <row r="363" spans="1:5" x14ac:dyDescent="0.25">
      <c r="A363" s="11">
        <v>2001</v>
      </c>
      <c r="B363" s="11" t="s">
        <v>257</v>
      </c>
      <c r="C363" s="13">
        <v>972</v>
      </c>
      <c r="D363" s="13">
        <v>493</v>
      </c>
      <c r="E363" s="13">
        <v>479</v>
      </c>
    </row>
    <row r="364" spans="1:5" x14ac:dyDescent="0.25">
      <c r="A364" s="11">
        <v>2001</v>
      </c>
      <c r="B364" s="11" t="s">
        <v>258</v>
      </c>
      <c r="C364" s="13">
        <v>1980</v>
      </c>
      <c r="D364" s="13">
        <v>998</v>
      </c>
      <c r="E364" s="13">
        <v>982</v>
      </c>
    </row>
    <row r="365" spans="1:5" x14ac:dyDescent="0.25">
      <c r="A365" s="11">
        <v>2002</v>
      </c>
      <c r="B365" s="11" t="s">
        <v>11</v>
      </c>
      <c r="C365" s="13">
        <v>51270</v>
      </c>
      <c r="D365" s="13">
        <v>25052</v>
      </c>
      <c r="E365" s="13">
        <v>26218</v>
      </c>
    </row>
    <row r="366" spans="1:5" x14ac:dyDescent="0.25">
      <c r="A366" s="11">
        <v>2002</v>
      </c>
      <c r="B366" s="11" t="s">
        <v>227</v>
      </c>
      <c r="C366" s="13">
        <v>2098</v>
      </c>
      <c r="D366" s="13">
        <v>1018</v>
      </c>
      <c r="E366" s="13">
        <v>1080</v>
      </c>
    </row>
    <row r="367" spans="1:5" x14ac:dyDescent="0.25">
      <c r="A367" s="11">
        <v>2002</v>
      </c>
      <c r="B367" s="11" t="s">
        <v>228</v>
      </c>
      <c r="C367" s="13">
        <v>2326</v>
      </c>
      <c r="D367" s="13">
        <v>1159</v>
      </c>
      <c r="E367" s="13">
        <v>1167</v>
      </c>
    </row>
    <row r="368" spans="1:5" x14ac:dyDescent="0.25">
      <c r="A368" s="11">
        <v>2002</v>
      </c>
      <c r="B368" s="11" t="s">
        <v>229</v>
      </c>
      <c r="C368" s="13">
        <v>1014</v>
      </c>
      <c r="D368" s="13">
        <v>501</v>
      </c>
      <c r="E368" s="13">
        <v>513</v>
      </c>
    </row>
    <row r="369" spans="1:5" x14ac:dyDescent="0.25">
      <c r="A369" s="11">
        <v>2002</v>
      </c>
      <c r="B369" s="11" t="s">
        <v>230</v>
      </c>
      <c r="C369" s="13">
        <v>755</v>
      </c>
      <c r="D369" s="13">
        <v>357</v>
      </c>
      <c r="E369" s="13">
        <v>398</v>
      </c>
    </row>
    <row r="370" spans="1:5" x14ac:dyDescent="0.25">
      <c r="A370" s="11">
        <v>2002</v>
      </c>
      <c r="B370" s="11" t="s">
        <v>231</v>
      </c>
      <c r="C370" s="13">
        <v>4477</v>
      </c>
      <c r="D370" s="13">
        <v>2097</v>
      </c>
      <c r="E370" s="13">
        <v>2380</v>
      </c>
    </row>
    <row r="371" spans="1:5" x14ac:dyDescent="0.25">
      <c r="A371" s="11">
        <v>2002</v>
      </c>
      <c r="B371" s="11" t="s">
        <v>232</v>
      </c>
      <c r="C371" s="13">
        <v>480</v>
      </c>
      <c r="D371" s="13">
        <v>219</v>
      </c>
      <c r="E371" s="13">
        <v>261</v>
      </c>
    </row>
    <row r="372" spans="1:5" x14ac:dyDescent="0.25">
      <c r="A372" s="11">
        <v>2002</v>
      </c>
      <c r="B372" s="11" t="s">
        <v>233</v>
      </c>
      <c r="C372" s="13">
        <v>1343</v>
      </c>
      <c r="D372" s="13">
        <v>639</v>
      </c>
      <c r="E372" s="13">
        <v>704</v>
      </c>
    </row>
    <row r="373" spans="1:5" x14ac:dyDescent="0.25">
      <c r="A373" s="11">
        <v>2002</v>
      </c>
      <c r="B373" s="11" t="s">
        <v>234</v>
      </c>
      <c r="C373" s="13">
        <v>1436</v>
      </c>
      <c r="D373" s="13">
        <v>694</v>
      </c>
      <c r="E373" s="13">
        <v>742</v>
      </c>
    </row>
    <row r="374" spans="1:5" x14ac:dyDescent="0.25">
      <c r="A374" s="11">
        <v>2002</v>
      </c>
      <c r="B374" s="11" t="s">
        <v>235</v>
      </c>
      <c r="C374" s="13">
        <v>1157</v>
      </c>
      <c r="D374" s="13">
        <v>588</v>
      </c>
      <c r="E374" s="13">
        <v>569</v>
      </c>
    </row>
    <row r="375" spans="1:5" x14ac:dyDescent="0.25">
      <c r="A375" s="11">
        <v>2002</v>
      </c>
      <c r="B375" s="11" t="s">
        <v>236</v>
      </c>
      <c r="C375" s="13">
        <v>942</v>
      </c>
      <c r="D375" s="13">
        <v>469</v>
      </c>
      <c r="E375" s="13">
        <v>473</v>
      </c>
    </row>
    <row r="376" spans="1:5" x14ac:dyDescent="0.25">
      <c r="A376" s="11">
        <v>2002</v>
      </c>
      <c r="B376" s="11" t="s">
        <v>237</v>
      </c>
      <c r="C376" s="13">
        <v>910</v>
      </c>
      <c r="D376" s="13">
        <v>443</v>
      </c>
      <c r="E376" s="13">
        <v>467</v>
      </c>
    </row>
    <row r="377" spans="1:5" x14ac:dyDescent="0.25">
      <c r="A377" s="11">
        <v>2002</v>
      </c>
      <c r="B377" s="11" t="s">
        <v>238</v>
      </c>
      <c r="C377" s="13">
        <v>916</v>
      </c>
      <c r="D377" s="13">
        <v>448</v>
      </c>
      <c r="E377" s="13">
        <v>468</v>
      </c>
    </row>
    <row r="378" spans="1:5" x14ac:dyDescent="0.25">
      <c r="A378" s="11">
        <v>2002</v>
      </c>
      <c r="B378" s="11" t="s">
        <v>239</v>
      </c>
      <c r="C378" s="13">
        <v>1507</v>
      </c>
      <c r="D378" s="13">
        <v>742</v>
      </c>
      <c r="E378" s="13">
        <v>765</v>
      </c>
    </row>
    <row r="379" spans="1:5" x14ac:dyDescent="0.25">
      <c r="A379" s="11">
        <v>2002</v>
      </c>
      <c r="B379" s="11" t="s">
        <v>240</v>
      </c>
      <c r="C379" s="13">
        <v>3536</v>
      </c>
      <c r="D379" s="13">
        <v>1711</v>
      </c>
      <c r="E379" s="13">
        <v>1825</v>
      </c>
    </row>
    <row r="380" spans="1:5" x14ac:dyDescent="0.25">
      <c r="A380" s="11">
        <v>2002</v>
      </c>
      <c r="B380" s="11" t="s">
        <v>241</v>
      </c>
      <c r="C380" s="13">
        <v>6386</v>
      </c>
      <c r="D380" s="13">
        <v>3139</v>
      </c>
      <c r="E380" s="13">
        <v>3247</v>
      </c>
    </row>
    <row r="381" spans="1:5" x14ac:dyDescent="0.25">
      <c r="A381" s="11">
        <v>2002</v>
      </c>
      <c r="B381" s="11" t="s">
        <v>242</v>
      </c>
      <c r="C381" s="13">
        <v>1977</v>
      </c>
      <c r="D381" s="13">
        <v>993</v>
      </c>
      <c r="E381" s="13">
        <v>984</v>
      </c>
    </row>
    <row r="382" spans="1:5" x14ac:dyDescent="0.25">
      <c r="A382" s="11">
        <v>2002</v>
      </c>
      <c r="B382" s="11" t="s">
        <v>243</v>
      </c>
      <c r="C382" s="13">
        <v>787</v>
      </c>
      <c r="D382" s="13">
        <v>389</v>
      </c>
      <c r="E382" s="13">
        <v>398</v>
      </c>
    </row>
    <row r="383" spans="1:5" x14ac:dyDescent="0.25">
      <c r="A383" s="11">
        <v>2002</v>
      </c>
      <c r="B383" s="11" t="s">
        <v>244</v>
      </c>
      <c r="C383" s="13">
        <v>863</v>
      </c>
      <c r="D383" s="13">
        <v>413</v>
      </c>
      <c r="E383" s="13">
        <v>450</v>
      </c>
    </row>
    <row r="384" spans="1:5" x14ac:dyDescent="0.25">
      <c r="A384" s="11">
        <v>2002</v>
      </c>
      <c r="B384" s="11" t="s">
        <v>245</v>
      </c>
      <c r="C384" s="13">
        <v>876</v>
      </c>
      <c r="D384" s="13">
        <v>393</v>
      </c>
      <c r="E384" s="13">
        <v>483</v>
      </c>
    </row>
    <row r="385" spans="1:5" x14ac:dyDescent="0.25">
      <c r="A385" s="11">
        <v>2002</v>
      </c>
      <c r="B385" s="11" t="s">
        <v>246</v>
      </c>
      <c r="C385" s="13">
        <v>242</v>
      </c>
      <c r="D385" s="13">
        <v>128</v>
      </c>
      <c r="E385" s="13">
        <v>114</v>
      </c>
    </row>
    <row r="386" spans="1:5" x14ac:dyDescent="0.25">
      <c r="A386" s="11">
        <v>2002</v>
      </c>
      <c r="B386" s="11" t="s">
        <v>247</v>
      </c>
      <c r="C386" s="13">
        <v>1379</v>
      </c>
      <c r="D386" s="13">
        <v>649</v>
      </c>
      <c r="E386" s="13">
        <v>730</v>
      </c>
    </row>
    <row r="387" spans="1:5" x14ac:dyDescent="0.25">
      <c r="A387" s="11">
        <v>2002</v>
      </c>
      <c r="B387" s="11" t="s">
        <v>248</v>
      </c>
      <c r="C387" s="13">
        <v>3664</v>
      </c>
      <c r="D387" s="13">
        <v>1821</v>
      </c>
      <c r="E387" s="13">
        <v>1843</v>
      </c>
    </row>
    <row r="388" spans="1:5" x14ac:dyDescent="0.25">
      <c r="A388" s="11">
        <v>2002</v>
      </c>
      <c r="B388" s="11" t="s">
        <v>249</v>
      </c>
      <c r="C388" s="13">
        <v>164</v>
      </c>
      <c r="D388" s="13">
        <v>91</v>
      </c>
      <c r="E388" s="13">
        <v>73</v>
      </c>
    </row>
    <row r="389" spans="1:5" x14ac:dyDescent="0.25">
      <c r="A389" s="11">
        <v>2002</v>
      </c>
      <c r="B389" s="11" t="s">
        <v>250</v>
      </c>
      <c r="C389" s="13">
        <v>1245</v>
      </c>
      <c r="D389" s="13">
        <v>598</v>
      </c>
      <c r="E389" s="13">
        <v>647</v>
      </c>
    </row>
    <row r="390" spans="1:5" x14ac:dyDescent="0.25">
      <c r="A390" s="11">
        <v>2002</v>
      </c>
      <c r="B390" s="11" t="s">
        <v>251</v>
      </c>
      <c r="C390" s="13">
        <v>1797</v>
      </c>
      <c r="D390" s="13">
        <v>897</v>
      </c>
      <c r="E390" s="13">
        <v>900</v>
      </c>
    </row>
    <row r="391" spans="1:5" x14ac:dyDescent="0.25">
      <c r="A391" s="11">
        <v>2002</v>
      </c>
      <c r="B391" s="11" t="s">
        <v>252</v>
      </c>
      <c r="C391" s="13">
        <v>1021</v>
      </c>
      <c r="D391" s="13">
        <v>499</v>
      </c>
      <c r="E391" s="13">
        <v>522</v>
      </c>
    </row>
    <row r="392" spans="1:5" x14ac:dyDescent="0.25">
      <c r="A392" s="11">
        <v>2002</v>
      </c>
      <c r="B392" s="11" t="s">
        <v>253</v>
      </c>
      <c r="C392" s="13">
        <v>209</v>
      </c>
      <c r="D392" s="13">
        <v>85</v>
      </c>
      <c r="E392" s="13">
        <v>124</v>
      </c>
    </row>
    <row r="393" spans="1:5" x14ac:dyDescent="0.25">
      <c r="A393" s="11">
        <v>2002</v>
      </c>
      <c r="B393" s="11" t="s">
        <v>254</v>
      </c>
      <c r="C393" s="13">
        <v>955</v>
      </c>
      <c r="D393" s="13">
        <v>454</v>
      </c>
      <c r="E393" s="13">
        <v>501</v>
      </c>
    </row>
    <row r="394" spans="1:5" x14ac:dyDescent="0.25">
      <c r="A394" s="11">
        <v>2002</v>
      </c>
      <c r="B394" s="11" t="s">
        <v>255</v>
      </c>
      <c r="C394" s="13">
        <v>3076</v>
      </c>
      <c r="D394" s="13">
        <v>1533</v>
      </c>
      <c r="E394" s="13">
        <v>1543</v>
      </c>
    </row>
    <row r="395" spans="1:5" x14ac:dyDescent="0.25">
      <c r="A395" s="11">
        <v>2002</v>
      </c>
      <c r="B395" s="11" t="s">
        <v>256</v>
      </c>
      <c r="C395" s="13">
        <v>833</v>
      </c>
      <c r="D395" s="13">
        <v>396</v>
      </c>
      <c r="E395" s="13">
        <v>437</v>
      </c>
    </row>
    <row r="396" spans="1:5" x14ac:dyDescent="0.25">
      <c r="A396" s="11">
        <v>2002</v>
      </c>
      <c r="B396" s="11" t="s">
        <v>257</v>
      </c>
      <c r="C396" s="13">
        <v>939</v>
      </c>
      <c r="D396" s="13">
        <v>473</v>
      </c>
      <c r="E396" s="13">
        <v>466</v>
      </c>
    </row>
    <row r="397" spans="1:5" x14ac:dyDescent="0.25">
      <c r="A397" s="11">
        <v>2002</v>
      </c>
      <c r="B397" s="11" t="s">
        <v>258</v>
      </c>
      <c r="C397" s="13">
        <v>1960</v>
      </c>
      <c r="D397" s="13">
        <v>1016</v>
      </c>
      <c r="E397" s="13">
        <v>944</v>
      </c>
    </row>
    <row r="398" spans="1:5" x14ac:dyDescent="0.25">
      <c r="A398" s="11">
        <v>2003</v>
      </c>
      <c r="B398" s="11" t="s">
        <v>11</v>
      </c>
      <c r="C398" s="13">
        <v>52432</v>
      </c>
      <c r="D398" s="13">
        <v>25526</v>
      </c>
      <c r="E398" s="13">
        <v>26906</v>
      </c>
    </row>
    <row r="399" spans="1:5" x14ac:dyDescent="0.25">
      <c r="A399" s="11">
        <v>2003</v>
      </c>
      <c r="B399" s="11" t="s">
        <v>227</v>
      </c>
      <c r="C399" s="13">
        <v>2003</v>
      </c>
      <c r="D399" s="13">
        <v>966</v>
      </c>
      <c r="E399" s="13">
        <v>1037</v>
      </c>
    </row>
    <row r="400" spans="1:5" x14ac:dyDescent="0.25">
      <c r="A400" s="11">
        <v>2003</v>
      </c>
      <c r="B400" s="11" t="s">
        <v>228</v>
      </c>
      <c r="C400" s="13">
        <v>2368</v>
      </c>
      <c r="D400" s="13">
        <v>1157</v>
      </c>
      <c r="E400" s="13">
        <v>1211</v>
      </c>
    </row>
    <row r="401" spans="1:5" x14ac:dyDescent="0.25">
      <c r="A401" s="11">
        <v>2003</v>
      </c>
      <c r="B401" s="11" t="s">
        <v>229</v>
      </c>
      <c r="C401" s="13">
        <v>1089</v>
      </c>
      <c r="D401" s="13">
        <v>528</v>
      </c>
      <c r="E401" s="13">
        <v>561</v>
      </c>
    </row>
    <row r="402" spans="1:5" x14ac:dyDescent="0.25">
      <c r="A402" s="11">
        <v>2003</v>
      </c>
      <c r="B402" s="11" t="s">
        <v>230</v>
      </c>
      <c r="C402" s="13">
        <v>732</v>
      </c>
      <c r="D402" s="13">
        <v>359</v>
      </c>
      <c r="E402" s="13">
        <v>373</v>
      </c>
    </row>
    <row r="403" spans="1:5" x14ac:dyDescent="0.25">
      <c r="A403" s="11">
        <v>2003</v>
      </c>
      <c r="B403" s="11" t="s">
        <v>231</v>
      </c>
      <c r="C403" s="13">
        <v>4577</v>
      </c>
      <c r="D403" s="13">
        <v>2183</v>
      </c>
      <c r="E403" s="13">
        <v>2394</v>
      </c>
    </row>
    <row r="404" spans="1:5" x14ac:dyDescent="0.25">
      <c r="A404" s="11">
        <v>2003</v>
      </c>
      <c r="B404" s="11" t="s">
        <v>232</v>
      </c>
      <c r="C404" s="13">
        <v>468</v>
      </c>
      <c r="D404" s="13">
        <v>222</v>
      </c>
      <c r="E404" s="13">
        <v>246</v>
      </c>
    </row>
    <row r="405" spans="1:5" x14ac:dyDescent="0.25">
      <c r="A405" s="11">
        <v>2003</v>
      </c>
      <c r="B405" s="11" t="s">
        <v>233</v>
      </c>
      <c r="C405" s="13">
        <v>1307</v>
      </c>
      <c r="D405" s="13">
        <v>661</v>
      </c>
      <c r="E405" s="13">
        <v>646</v>
      </c>
    </row>
    <row r="406" spans="1:5" x14ac:dyDescent="0.25">
      <c r="A406" s="11">
        <v>2003</v>
      </c>
      <c r="B406" s="11" t="s">
        <v>234</v>
      </c>
      <c r="C406" s="13">
        <v>1548</v>
      </c>
      <c r="D406" s="13">
        <v>745</v>
      </c>
      <c r="E406" s="13">
        <v>803</v>
      </c>
    </row>
    <row r="407" spans="1:5" x14ac:dyDescent="0.25">
      <c r="A407" s="11">
        <v>2003</v>
      </c>
      <c r="B407" s="11" t="s">
        <v>235</v>
      </c>
      <c r="C407" s="13">
        <v>1236</v>
      </c>
      <c r="D407" s="13">
        <v>590</v>
      </c>
      <c r="E407" s="13">
        <v>646</v>
      </c>
    </row>
    <row r="408" spans="1:5" x14ac:dyDescent="0.25">
      <c r="A408" s="11">
        <v>2003</v>
      </c>
      <c r="B408" s="11" t="s">
        <v>236</v>
      </c>
      <c r="C408" s="13">
        <v>948</v>
      </c>
      <c r="D408" s="13">
        <v>447</v>
      </c>
      <c r="E408" s="13">
        <v>501</v>
      </c>
    </row>
    <row r="409" spans="1:5" x14ac:dyDescent="0.25">
      <c r="A409" s="11">
        <v>2003</v>
      </c>
      <c r="B409" s="11" t="s">
        <v>237</v>
      </c>
      <c r="C409" s="13">
        <v>953</v>
      </c>
      <c r="D409" s="13">
        <v>505</v>
      </c>
      <c r="E409" s="13">
        <v>448</v>
      </c>
    </row>
    <row r="410" spans="1:5" x14ac:dyDescent="0.25">
      <c r="A410" s="11">
        <v>2003</v>
      </c>
      <c r="B410" s="11" t="s">
        <v>238</v>
      </c>
      <c r="C410" s="13">
        <v>883</v>
      </c>
      <c r="D410" s="13">
        <v>438</v>
      </c>
      <c r="E410" s="13">
        <v>445</v>
      </c>
    </row>
    <row r="411" spans="1:5" x14ac:dyDescent="0.25">
      <c r="A411" s="11">
        <v>2003</v>
      </c>
      <c r="B411" s="11" t="s">
        <v>239</v>
      </c>
      <c r="C411" s="13">
        <v>1595</v>
      </c>
      <c r="D411" s="13">
        <v>759</v>
      </c>
      <c r="E411" s="13">
        <v>836</v>
      </c>
    </row>
    <row r="412" spans="1:5" x14ac:dyDescent="0.25">
      <c r="A412" s="11">
        <v>2003</v>
      </c>
      <c r="B412" s="11" t="s">
        <v>240</v>
      </c>
      <c r="C412" s="13">
        <v>3642</v>
      </c>
      <c r="D412" s="13">
        <v>1776</v>
      </c>
      <c r="E412" s="13">
        <v>1866</v>
      </c>
    </row>
    <row r="413" spans="1:5" x14ac:dyDescent="0.25">
      <c r="A413" s="11">
        <v>2003</v>
      </c>
      <c r="B413" s="11" t="s">
        <v>241</v>
      </c>
      <c r="C413" s="13">
        <v>6573</v>
      </c>
      <c r="D413" s="13">
        <v>3128</v>
      </c>
      <c r="E413" s="13">
        <v>3445</v>
      </c>
    </row>
    <row r="414" spans="1:5" x14ac:dyDescent="0.25">
      <c r="A414" s="11">
        <v>2003</v>
      </c>
      <c r="B414" s="11" t="s">
        <v>242</v>
      </c>
      <c r="C414" s="13">
        <v>2085</v>
      </c>
      <c r="D414" s="13">
        <v>1063</v>
      </c>
      <c r="E414" s="13">
        <v>1022</v>
      </c>
    </row>
    <row r="415" spans="1:5" x14ac:dyDescent="0.25">
      <c r="A415" s="11">
        <v>2003</v>
      </c>
      <c r="B415" s="11" t="s">
        <v>243</v>
      </c>
      <c r="C415" s="13">
        <v>830</v>
      </c>
      <c r="D415" s="13">
        <v>403</v>
      </c>
      <c r="E415" s="13">
        <v>427</v>
      </c>
    </row>
    <row r="416" spans="1:5" x14ac:dyDescent="0.25">
      <c r="A416" s="11">
        <v>2003</v>
      </c>
      <c r="B416" s="11" t="s">
        <v>244</v>
      </c>
      <c r="C416" s="13">
        <v>847</v>
      </c>
      <c r="D416" s="13">
        <v>392</v>
      </c>
      <c r="E416" s="13">
        <v>455</v>
      </c>
    </row>
    <row r="417" spans="1:5" x14ac:dyDescent="0.25">
      <c r="A417" s="11">
        <v>2003</v>
      </c>
      <c r="B417" s="11" t="s">
        <v>245</v>
      </c>
      <c r="C417" s="13">
        <v>824</v>
      </c>
      <c r="D417" s="13">
        <v>406</v>
      </c>
      <c r="E417" s="13">
        <v>418</v>
      </c>
    </row>
    <row r="418" spans="1:5" x14ac:dyDescent="0.25">
      <c r="A418" s="11">
        <v>2003</v>
      </c>
      <c r="B418" s="11" t="s">
        <v>246</v>
      </c>
      <c r="C418" s="13">
        <v>255</v>
      </c>
      <c r="D418" s="13">
        <v>129</v>
      </c>
      <c r="E418" s="13">
        <v>126</v>
      </c>
    </row>
    <row r="419" spans="1:5" x14ac:dyDescent="0.25">
      <c r="A419" s="11">
        <v>2003</v>
      </c>
      <c r="B419" s="11" t="s">
        <v>247</v>
      </c>
      <c r="C419" s="13">
        <v>1382</v>
      </c>
      <c r="D419" s="13">
        <v>669</v>
      </c>
      <c r="E419" s="13">
        <v>713</v>
      </c>
    </row>
    <row r="420" spans="1:5" x14ac:dyDescent="0.25">
      <c r="A420" s="11">
        <v>2003</v>
      </c>
      <c r="B420" s="11" t="s">
        <v>248</v>
      </c>
      <c r="C420" s="13">
        <v>3771</v>
      </c>
      <c r="D420" s="13">
        <v>1865</v>
      </c>
      <c r="E420" s="13">
        <v>1906</v>
      </c>
    </row>
    <row r="421" spans="1:5" x14ac:dyDescent="0.25">
      <c r="A421" s="11">
        <v>2003</v>
      </c>
      <c r="B421" s="11" t="s">
        <v>249</v>
      </c>
      <c r="C421" s="13">
        <v>171</v>
      </c>
      <c r="D421" s="13">
        <v>80</v>
      </c>
      <c r="E421" s="13">
        <v>91</v>
      </c>
    </row>
    <row r="422" spans="1:5" x14ac:dyDescent="0.25">
      <c r="A422" s="11">
        <v>2003</v>
      </c>
      <c r="B422" s="11" t="s">
        <v>250</v>
      </c>
      <c r="C422" s="13">
        <v>1292</v>
      </c>
      <c r="D422" s="13">
        <v>624</v>
      </c>
      <c r="E422" s="13">
        <v>668</v>
      </c>
    </row>
    <row r="423" spans="1:5" x14ac:dyDescent="0.25">
      <c r="A423" s="11">
        <v>2003</v>
      </c>
      <c r="B423" s="11" t="s">
        <v>251</v>
      </c>
      <c r="C423" s="13">
        <v>1785</v>
      </c>
      <c r="D423" s="13">
        <v>875</v>
      </c>
      <c r="E423" s="13">
        <v>910</v>
      </c>
    </row>
    <row r="424" spans="1:5" x14ac:dyDescent="0.25">
      <c r="A424" s="11">
        <v>2003</v>
      </c>
      <c r="B424" s="11" t="s">
        <v>252</v>
      </c>
      <c r="C424" s="13">
        <v>1048</v>
      </c>
      <c r="D424" s="13">
        <v>520</v>
      </c>
      <c r="E424" s="13">
        <v>528</v>
      </c>
    </row>
    <row r="425" spans="1:5" x14ac:dyDescent="0.25">
      <c r="A425" s="11">
        <v>2003</v>
      </c>
      <c r="B425" s="11" t="s">
        <v>253</v>
      </c>
      <c r="C425" s="13">
        <v>251</v>
      </c>
      <c r="D425" s="13">
        <v>118</v>
      </c>
      <c r="E425" s="13">
        <v>133</v>
      </c>
    </row>
    <row r="426" spans="1:5" x14ac:dyDescent="0.25">
      <c r="A426" s="11">
        <v>2003</v>
      </c>
      <c r="B426" s="11" t="s">
        <v>254</v>
      </c>
      <c r="C426" s="13">
        <v>984</v>
      </c>
      <c r="D426" s="13">
        <v>497</v>
      </c>
      <c r="E426" s="13">
        <v>487</v>
      </c>
    </row>
    <row r="427" spans="1:5" x14ac:dyDescent="0.25">
      <c r="A427" s="11">
        <v>2003</v>
      </c>
      <c r="B427" s="11" t="s">
        <v>255</v>
      </c>
      <c r="C427" s="13">
        <v>3092</v>
      </c>
      <c r="D427" s="13">
        <v>1522</v>
      </c>
      <c r="E427" s="13">
        <v>1570</v>
      </c>
    </row>
    <row r="428" spans="1:5" x14ac:dyDescent="0.25">
      <c r="A428" s="11">
        <v>2003</v>
      </c>
      <c r="B428" s="11" t="s">
        <v>256</v>
      </c>
      <c r="C428" s="13">
        <v>866</v>
      </c>
      <c r="D428" s="13">
        <v>413</v>
      </c>
      <c r="E428" s="13">
        <v>453</v>
      </c>
    </row>
    <row r="429" spans="1:5" x14ac:dyDescent="0.25">
      <c r="A429" s="11">
        <v>2003</v>
      </c>
      <c r="B429" s="11" t="s">
        <v>257</v>
      </c>
      <c r="C429" s="13">
        <v>984</v>
      </c>
      <c r="D429" s="13">
        <v>472</v>
      </c>
      <c r="E429" s="13">
        <v>512</v>
      </c>
    </row>
    <row r="430" spans="1:5" x14ac:dyDescent="0.25">
      <c r="A430" s="11">
        <v>2003</v>
      </c>
      <c r="B430" s="11" t="s">
        <v>258</v>
      </c>
      <c r="C430" s="13">
        <v>2043</v>
      </c>
      <c r="D430" s="13">
        <v>1014</v>
      </c>
      <c r="E430" s="13">
        <v>1029</v>
      </c>
    </row>
    <row r="431" spans="1:5" x14ac:dyDescent="0.25">
      <c r="A431" s="11">
        <v>2004</v>
      </c>
      <c r="B431" s="11" t="s">
        <v>11</v>
      </c>
      <c r="C431" s="13">
        <v>53957</v>
      </c>
      <c r="D431" s="13">
        <v>26188</v>
      </c>
      <c r="E431" s="13">
        <v>27769</v>
      </c>
    </row>
    <row r="432" spans="1:5" x14ac:dyDescent="0.25">
      <c r="A432" s="11">
        <v>2004</v>
      </c>
      <c r="B432" s="11" t="s">
        <v>227</v>
      </c>
      <c r="C432" s="13">
        <v>2075</v>
      </c>
      <c r="D432" s="13">
        <v>991</v>
      </c>
      <c r="E432" s="13">
        <v>1084</v>
      </c>
    </row>
    <row r="433" spans="1:5" x14ac:dyDescent="0.25">
      <c r="A433" s="11">
        <v>2004</v>
      </c>
      <c r="B433" s="11" t="s">
        <v>228</v>
      </c>
      <c r="C433" s="13">
        <v>2388</v>
      </c>
      <c r="D433" s="13">
        <v>1138</v>
      </c>
      <c r="E433" s="13">
        <v>1250</v>
      </c>
    </row>
    <row r="434" spans="1:5" x14ac:dyDescent="0.25">
      <c r="A434" s="11">
        <v>2004</v>
      </c>
      <c r="B434" s="11" t="s">
        <v>229</v>
      </c>
      <c r="C434" s="13">
        <v>1071</v>
      </c>
      <c r="D434" s="13">
        <v>529</v>
      </c>
      <c r="E434" s="13">
        <v>542</v>
      </c>
    </row>
    <row r="435" spans="1:5" x14ac:dyDescent="0.25">
      <c r="A435" s="11">
        <v>2004</v>
      </c>
      <c r="B435" s="11" t="s">
        <v>230</v>
      </c>
      <c r="C435" s="13">
        <v>807</v>
      </c>
      <c r="D435" s="13">
        <v>382</v>
      </c>
      <c r="E435" s="13">
        <v>425</v>
      </c>
    </row>
    <row r="436" spans="1:5" x14ac:dyDescent="0.25">
      <c r="A436" s="11">
        <v>2004</v>
      </c>
      <c r="B436" s="11" t="s">
        <v>231</v>
      </c>
      <c r="C436" s="13">
        <v>4568</v>
      </c>
      <c r="D436" s="13">
        <v>2156</v>
      </c>
      <c r="E436" s="13">
        <v>2412</v>
      </c>
    </row>
    <row r="437" spans="1:5" x14ac:dyDescent="0.25">
      <c r="A437" s="11">
        <v>2004</v>
      </c>
      <c r="B437" s="11" t="s">
        <v>232</v>
      </c>
      <c r="C437" s="13">
        <v>501</v>
      </c>
      <c r="D437" s="13">
        <v>236</v>
      </c>
      <c r="E437" s="13">
        <v>265</v>
      </c>
    </row>
    <row r="438" spans="1:5" x14ac:dyDescent="0.25">
      <c r="A438" s="11">
        <v>2004</v>
      </c>
      <c r="B438" s="11" t="s">
        <v>233</v>
      </c>
      <c r="C438" s="13">
        <v>1431</v>
      </c>
      <c r="D438" s="13">
        <v>705</v>
      </c>
      <c r="E438" s="13">
        <v>726</v>
      </c>
    </row>
    <row r="439" spans="1:5" x14ac:dyDescent="0.25">
      <c r="A439" s="11">
        <v>2004</v>
      </c>
      <c r="B439" s="11" t="s">
        <v>234</v>
      </c>
      <c r="C439" s="13">
        <v>1539</v>
      </c>
      <c r="D439" s="13">
        <v>731</v>
      </c>
      <c r="E439" s="13">
        <v>808</v>
      </c>
    </row>
    <row r="440" spans="1:5" x14ac:dyDescent="0.25">
      <c r="A440" s="11">
        <v>2004</v>
      </c>
      <c r="B440" s="11" t="s">
        <v>235</v>
      </c>
      <c r="C440" s="13">
        <v>1271</v>
      </c>
      <c r="D440" s="13">
        <v>610</v>
      </c>
      <c r="E440" s="13">
        <v>661</v>
      </c>
    </row>
    <row r="441" spans="1:5" x14ac:dyDescent="0.25">
      <c r="A441" s="11">
        <v>2004</v>
      </c>
      <c r="B441" s="11" t="s">
        <v>236</v>
      </c>
      <c r="C441" s="13">
        <v>889</v>
      </c>
      <c r="D441" s="13">
        <v>436</v>
      </c>
      <c r="E441" s="13">
        <v>453</v>
      </c>
    </row>
    <row r="442" spans="1:5" x14ac:dyDescent="0.25">
      <c r="A442" s="11">
        <v>2004</v>
      </c>
      <c r="B442" s="11" t="s">
        <v>237</v>
      </c>
      <c r="C442" s="13">
        <v>950</v>
      </c>
      <c r="D442" s="13">
        <v>450</v>
      </c>
      <c r="E442" s="13">
        <v>500</v>
      </c>
    </row>
    <row r="443" spans="1:5" x14ac:dyDescent="0.25">
      <c r="A443" s="11">
        <v>2004</v>
      </c>
      <c r="B443" s="11" t="s">
        <v>238</v>
      </c>
      <c r="C443" s="13">
        <v>941</v>
      </c>
      <c r="D443" s="13">
        <v>454</v>
      </c>
      <c r="E443" s="13">
        <v>487</v>
      </c>
    </row>
    <row r="444" spans="1:5" x14ac:dyDescent="0.25">
      <c r="A444" s="11">
        <v>2004</v>
      </c>
      <c r="B444" s="11" t="s">
        <v>239</v>
      </c>
      <c r="C444" s="13">
        <v>1735</v>
      </c>
      <c r="D444" s="13">
        <v>851</v>
      </c>
      <c r="E444" s="13">
        <v>884</v>
      </c>
    </row>
    <row r="445" spans="1:5" x14ac:dyDescent="0.25">
      <c r="A445" s="11">
        <v>2004</v>
      </c>
      <c r="B445" s="11" t="s">
        <v>240</v>
      </c>
      <c r="C445" s="13">
        <v>3735</v>
      </c>
      <c r="D445" s="13">
        <v>1830</v>
      </c>
      <c r="E445" s="13">
        <v>1905</v>
      </c>
    </row>
    <row r="446" spans="1:5" x14ac:dyDescent="0.25">
      <c r="A446" s="11">
        <v>2004</v>
      </c>
      <c r="B446" s="11" t="s">
        <v>241</v>
      </c>
      <c r="C446" s="13">
        <v>6612</v>
      </c>
      <c r="D446" s="13">
        <v>3261</v>
      </c>
      <c r="E446" s="13">
        <v>3351</v>
      </c>
    </row>
    <row r="447" spans="1:5" x14ac:dyDescent="0.25">
      <c r="A447" s="11">
        <v>2004</v>
      </c>
      <c r="B447" s="11" t="s">
        <v>242</v>
      </c>
      <c r="C447" s="13">
        <v>2175</v>
      </c>
      <c r="D447" s="13">
        <v>1043</v>
      </c>
      <c r="E447" s="13">
        <v>1132</v>
      </c>
    </row>
    <row r="448" spans="1:5" x14ac:dyDescent="0.25">
      <c r="A448" s="11">
        <v>2004</v>
      </c>
      <c r="B448" s="11" t="s">
        <v>243</v>
      </c>
      <c r="C448" s="13">
        <v>898</v>
      </c>
      <c r="D448" s="13">
        <v>442</v>
      </c>
      <c r="E448" s="13">
        <v>456</v>
      </c>
    </row>
    <row r="449" spans="1:5" x14ac:dyDescent="0.25">
      <c r="A449" s="11">
        <v>2004</v>
      </c>
      <c r="B449" s="11" t="s">
        <v>244</v>
      </c>
      <c r="C449" s="13">
        <v>881</v>
      </c>
      <c r="D449" s="13">
        <v>427</v>
      </c>
      <c r="E449" s="13">
        <v>454</v>
      </c>
    </row>
    <row r="450" spans="1:5" x14ac:dyDescent="0.25">
      <c r="A450" s="11">
        <v>2004</v>
      </c>
      <c r="B450" s="11" t="s">
        <v>245</v>
      </c>
      <c r="C450" s="13">
        <v>854</v>
      </c>
      <c r="D450" s="13">
        <v>434</v>
      </c>
      <c r="E450" s="13">
        <v>420</v>
      </c>
    </row>
    <row r="451" spans="1:5" x14ac:dyDescent="0.25">
      <c r="A451" s="11">
        <v>2004</v>
      </c>
      <c r="B451" s="11" t="s">
        <v>246</v>
      </c>
      <c r="C451" s="13">
        <v>223</v>
      </c>
      <c r="D451" s="13">
        <v>113</v>
      </c>
      <c r="E451" s="13">
        <v>110</v>
      </c>
    </row>
    <row r="452" spans="1:5" x14ac:dyDescent="0.25">
      <c r="A452" s="11">
        <v>2004</v>
      </c>
      <c r="B452" s="11" t="s">
        <v>247</v>
      </c>
      <c r="C452" s="13">
        <v>1406</v>
      </c>
      <c r="D452" s="13">
        <v>673</v>
      </c>
      <c r="E452" s="13">
        <v>733</v>
      </c>
    </row>
    <row r="453" spans="1:5" x14ac:dyDescent="0.25">
      <c r="A453" s="11">
        <v>2004</v>
      </c>
      <c r="B453" s="11" t="s">
        <v>248</v>
      </c>
      <c r="C453" s="13">
        <v>4005</v>
      </c>
      <c r="D453" s="13">
        <v>1942</v>
      </c>
      <c r="E453" s="13">
        <v>2063</v>
      </c>
    </row>
    <row r="454" spans="1:5" x14ac:dyDescent="0.25">
      <c r="A454" s="11">
        <v>2004</v>
      </c>
      <c r="B454" s="11" t="s">
        <v>249</v>
      </c>
      <c r="C454" s="13">
        <v>171</v>
      </c>
      <c r="D454" s="13">
        <v>78</v>
      </c>
      <c r="E454" s="13">
        <v>93</v>
      </c>
    </row>
    <row r="455" spans="1:5" x14ac:dyDescent="0.25">
      <c r="A455" s="11">
        <v>2004</v>
      </c>
      <c r="B455" s="11" t="s">
        <v>250</v>
      </c>
      <c r="C455" s="13">
        <v>1285</v>
      </c>
      <c r="D455" s="13">
        <v>605</v>
      </c>
      <c r="E455" s="13">
        <v>680</v>
      </c>
    </row>
    <row r="456" spans="1:5" x14ac:dyDescent="0.25">
      <c r="A456" s="11">
        <v>2004</v>
      </c>
      <c r="B456" s="11" t="s">
        <v>251</v>
      </c>
      <c r="C456" s="13">
        <v>1885</v>
      </c>
      <c r="D456" s="13">
        <v>944</v>
      </c>
      <c r="E456" s="13">
        <v>941</v>
      </c>
    </row>
    <row r="457" spans="1:5" x14ac:dyDescent="0.25">
      <c r="A457" s="11">
        <v>2004</v>
      </c>
      <c r="B457" s="11" t="s">
        <v>252</v>
      </c>
      <c r="C457" s="13">
        <v>1052</v>
      </c>
      <c r="D457" s="13">
        <v>500</v>
      </c>
      <c r="E457" s="13">
        <v>552</v>
      </c>
    </row>
    <row r="458" spans="1:5" x14ac:dyDescent="0.25">
      <c r="A458" s="11">
        <v>2004</v>
      </c>
      <c r="B458" s="11" t="s">
        <v>253</v>
      </c>
      <c r="C458" s="13">
        <v>230</v>
      </c>
      <c r="D458" s="13">
        <v>111</v>
      </c>
      <c r="E458" s="13">
        <v>119</v>
      </c>
    </row>
    <row r="459" spans="1:5" x14ac:dyDescent="0.25">
      <c r="A459" s="11">
        <v>2004</v>
      </c>
      <c r="B459" s="11" t="s">
        <v>254</v>
      </c>
      <c r="C459" s="13">
        <v>1030</v>
      </c>
      <c r="D459" s="13">
        <v>510</v>
      </c>
      <c r="E459" s="13">
        <v>520</v>
      </c>
    </row>
    <row r="460" spans="1:5" x14ac:dyDescent="0.25">
      <c r="A460" s="11">
        <v>2004</v>
      </c>
      <c r="B460" s="11" t="s">
        <v>255</v>
      </c>
      <c r="C460" s="13">
        <v>3358</v>
      </c>
      <c r="D460" s="13">
        <v>1677</v>
      </c>
      <c r="E460" s="13">
        <v>1681</v>
      </c>
    </row>
    <row r="461" spans="1:5" x14ac:dyDescent="0.25">
      <c r="A461" s="11">
        <v>2004</v>
      </c>
      <c r="B461" s="11" t="s">
        <v>256</v>
      </c>
      <c r="C461" s="13">
        <v>934</v>
      </c>
      <c r="D461" s="13">
        <v>456</v>
      </c>
      <c r="E461" s="13">
        <v>478</v>
      </c>
    </row>
    <row r="462" spans="1:5" x14ac:dyDescent="0.25">
      <c r="A462" s="11">
        <v>2004</v>
      </c>
      <c r="B462" s="11" t="s">
        <v>257</v>
      </c>
      <c r="C462" s="13">
        <v>999</v>
      </c>
      <c r="D462" s="13">
        <v>479</v>
      </c>
      <c r="E462" s="13">
        <v>520</v>
      </c>
    </row>
    <row r="463" spans="1:5" x14ac:dyDescent="0.25">
      <c r="A463" s="11">
        <v>2004</v>
      </c>
      <c r="B463" s="11" t="s">
        <v>258</v>
      </c>
      <c r="C463" s="13">
        <v>2058</v>
      </c>
      <c r="D463" s="13">
        <v>994</v>
      </c>
      <c r="E463" s="13">
        <v>1064</v>
      </c>
    </row>
    <row r="464" spans="1:5" x14ac:dyDescent="0.25">
      <c r="A464" s="11">
        <v>2005</v>
      </c>
      <c r="B464" s="11" t="s">
        <v>11</v>
      </c>
      <c r="C464" s="13">
        <v>54386</v>
      </c>
      <c r="D464" s="13">
        <v>26303</v>
      </c>
      <c r="E464" s="13">
        <v>28083</v>
      </c>
    </row>
    <row r="465" spans="1:5" x14ac:dyDescent="0.25">
      <c r="A465" s="11">
        <v>2005</v>
      </c>
      <c r="B465" s="11" t="s">
        <v>227</v>
      </c>
      <c r="C465" s="13">
        <v>2061</v>
      </c>
      <c r="D465" s="13">
        <v>1020</v>
      </c>
      <c r="E465" s="13">
        <v>1041</v>
      </c>
    </row>
    <row r="466" spans="1:5" x14ac:dyDescent="0.25">
      <c r="A466" s="11">
        <v>2005</v>
      </c>
      <c r="B466" s="11" t="s">
        <v>228</v>
      </c>
      <c r="C466" s="13">
        <v>2465</v>
      </c>
      <c r="D466" s="13">
        <v>1183</v>
      </c>
      <c r="E466" s="13">
        <v>1282</v>
      </c>
    </row>
    <row r="467" spans="1:5" x14ac:dyDescent="0.25">
      <c r="A467" s="11">
        <v>2005</v>
      </c>
      <c r="B467" s="11" t="s">
        <v>229</v>
      </c>
      <c r="C467" s="13">
        <v>1095</v>
      </c>
      <c r="D467" s="13">
        <v>515</v>
      </c>
      <c r="E467" s="13">
        <v>580</v>
      </c>
    </row>
    <row r="468" spans="1:5" x14ac:dyDescent="0.25">
      <c r="A468" s="11">
        <v>2005</v>
      </c>
      <c r="B468" s="11" t="s">
        <v>230</v>
      </c>
      <c r="C468" s="13">
        <v>773</v>
      </c>
      <c r="D468" s="13">
        <v>373</v>
      </c>
      <c r="E468" s="13">
        <v>400</v>
      </c>
    </row>
    <row r="469" spans="1:5" x14ac:dyDescent="0.25">
      <c r="A469" s="11">
        <v>2005</v>
      </c>
      <c r="B469" s="11" t="s">
        <v>231</v>
      </c>
      <c r="C469" s="13">
        <v>4691</v>
      </c>
      <c r="D469" s="13">
        <v>2231</v>
      </c>
      <c r="E469" s="13">
        <v>2460</v>
      </c>
    </row>
    <row r="470" spans="1:5" x14ac:dyDescent="0.25">
      <c r="A470" s="11">
        <v>2005</v>
      </c>
      <c r="B470" s="11" t="s">
        <v>232</v>
      </c>
      <c r="C470" s="13">
        <v>528</v>
      </c>
      <c r="D470" s="13">
        <v>254</v>
      </c>
      <c r="E470" s="13">
        <v>274</v>
      </c>
    </row>
    <row r="471" spans="1:5" x14ac:dyDescent="0.25">
      <c r="A471" s="11">
        <v>2005</v>
      </c>
      <c r="B471" s="11" t="s">
        <v>233</v>
      </c>
      <c r="C471" s="13">
        <v>1407</v>
      </c>
      <c r="D471" s="13">
        <v>674</v>
      </c>
      <c r="E471" s="13">
        <v>733</v>
      </c>
    </row>
    <row r="472" spans="1:5" x14ac:dyDescent="0.25">
      <c r="A472" s="11">
        <v>2005</v>
      </c>
      <c r="B472" s="11" t="s">
        <v>234</v>
      </c>
      <c r="C472" s="13">
        <v>1545</v>
      </c>
      <c r="D472" s="13">
        <v>766</v>
      </c>
      <c r="E472" s="13">
        <v>779</v>
      </c>
    </row>
    <row r="473" spans="1:5" x14ac:dyDescent="0.25">
      <c r="A473" s="11">
        <v>2005</v>
      </c>
      <c r="B473" s="11" t="s">
        <v>235</v>
      </c>
      <c r="C473" s="13">
        <v>1258</v>
      </c>
      <c r="D473" s="13">
        <v>623</v>
      </c>
      <c r="E473" s="13">
        <v>635</v>
      </c>
    </row>
    <row r="474" spans="1:5" x14ac:dyDescent="0.25">
      <c r="A474" s="11">
        <v>2005</v>
      </c>
      <c r="B474" s="11" t="s">
        <v>236</v>
      </c>
      <c r="C474" s="13">
        <v>930</v>
      </c>
      <c r="D474" s="13">
        <v>440</v>
      </c>
      <c r="E474" s="13">
        <v>490</v>
      </c>
    </row>
    <row r="475" spans="1:5" x14ac:dyDescent="0.25">
      <c r="A475" s="11">
        <v>2005</v>
      </c>
      <c r="B475" s="11" t="s">
        <v>237</v>
      </c>
      <c r="C475" s="13">
        <v>1054</v>
      </c>
      <c r="D475" s="13">
        <v>500</v>
      </c>
      <c r="E475" s="13">
        <v>554</v>
      </c>
    </row>
    <row r="476" spans="1:5" x14ac:dyDescent="0.25">
      <c r="A476" s="11">
        <v>2005</v>
      </c>
      <c r="B476" s="11" t="s">
        <v>238</v>
      </c>
      <c r="C476" s="13">
        <v>898</v>
      </c>
      <c r="D476" s="13">
        <v>449</v>
      </c>
      <c r="E476" s="13">
        <v>449</v>
      </c>
    </row>
    <row r="477" spans="1:5" x14ac:dyDescent="0.25">
      <c r="A477" s="11">
        <v>2005</v>
      </c>
      <c r="B477" s="11" t="s">
        <v>239</v>
      </c>
      <c r="C477" s="13">
        <v>1738</v>
      </c>
      <c r="D477" s="13">
        <v>837</v>
      </c>
      <c r="E477" s="13">
        <v>901</v>
      </c>
    </row>
    <row r="478" spans="1:5" x14ac:dyDescent="0.25">
      <c r="A478" s="11">
        <v>2005</v>
      </c>
      <c r="B478" s="11" t="s">
        <v>240</v>
      </c>
      <c r="C478" s="13">
        <v>3831</v>
      </c>
      <c r="D478" s="13">
        <v>1906</v>
      </c>
      <c r="E478" s="13">
        <v>1925</v>
      </c>
    </row>
    <row r="479" spans="1:5" x14ac:dyDescent="0.25">
      <c r="A479" s="11">
        <v>2005</v>
      </c>
      <c r="B479" s="11" t="s">
        <v>241</v>
      </c>
      <c r="C479" s="13">
        <v>6833</v>
      </c>
      <c r="D479" s="13">
        <v>3288</v>
      </c>
      <c r="E479" s="13">
        <v>3545</v>
      </c>
    </row>
    <row r="480" spans="1:5" x14ac:dyDescent="0.25">
      <c r="A480" s="11">
        <v>2005</v>
      </c>
      <c r="B480" s="11" t="s">
        <v>242</v>
      </c>
      <c r="C480" s="13">
        <v>2233</v>
      </c>
      <c r="D480" s="13">
        <v>1061</v>
      </c>
      <c r="E480" s="13">
        <v>1172</v>
      </c>
    </row>
    <row r="481" spans="1:5" x14ac:dyDescent="0.25">
      <c r="A481" s="11">
        <v>2005</v>
      </c>
      <c r="B481" s="11" t="s">
        <v>243</v>
      </c>
      <c r="C481" s="13">
        <v>902</v>
      </c>
      <c r="D481" s="13">
        <v>431</v>
      </c>
      <c r="E481" s="13">
        <v>471</v>
      </c>
    </row>
    <row r="482" spans="1:5" x14ac:dyDescent="0.25">
      <c r="A482" s="11">
        <v>2005</v>
      </c>
      <c r="B482" s="11" t="s">
        <v>244</v>
      </c>
      <c r="C482" s="13">
        <v>867</v>
      </c>
      <c r="D482" s="13">
        <v>431</v>
      </c>
      <c r="E482" s="13">
        <v>436</v>
      </c>
    </row>
    <row r="483" spans="1:5" x14ac:dyDescent="0.25">
      <c r="A483" s="11">
        <v>2005</v>
      </c>
      <c r="B483" s="11" t="s">
        <v>245</v>
      </c>
      <c r="C483" s="13">
        <v>878</v>
      </c>
      <c r="D483" s="13">
        <v>433</v>
      </c>
      <c r="E483" s="13">
        <v>445</v>
      </c>
    </row>
    <row r="484" spans="1:5" x14ac:dyDescent="0.25">
      <c r="A484" s="11">
        <v>2005</v>
      </c>
      <c r="B484" s="11" t="s">
        <v>246</v>
      </c>
      <c r="C484" s="13">
        <v>233</v>
      </c>
      <c r="D484" s="13">
        <v>123</v>
      </c>
      <c r="E484" s="13">
        <v>110</v>
      </c>
    </row>
    <row r="485" spans="1:5" x14ac:dyDescent="0.25">
      <c r="A485" s="11">
        <v>2005</v>
      </c>
      <c r="B485" s="11" t="s">
        <v>247</v>
      </c>
      <c r="C485" s="13">
        <v>1379</v>
      </c>
      <c r="D485" s="13">
        <v>674</v>
      </c>
      <c r="E485" s="13">
        <v>705</v>
      </c>
    </row>
    <row r="486" spans="1:5" x14ac:dyDescent="0.25">
      <c r="A486" s="11">
        <v>2005</v>
      </c>
      <c r="B486" s="11" t="s">
        <v>248</v>
      </c>
      <c r="C486" s="13">
        <v>3834</v>
      </c>
      <c r="D486" s="13">
        <v>1842</v>
      </c>
      <c r="E486" s="13">
        <v>1992</v>
      </c>
    </row>
    <row r="487" spans="1:5" x14ac:dyDescent="0.25">
      <c r="A487" s="11">
        <v>2005</v>
      </c>
      <c r="B487" s="11" t="s">
        <v>249</v>
      </c>
      <c r="C487" s="13">
        <v>180</v>
      </c>
      <c r="D487" s="13">
        <v>91</v>
      </c>
      <c r="E487" s="13">
        <v>89</v>
      </c>
    </row>
    <row r="488" spans="1:5" x14ac:dyDescent="0.25">
      <c r="A488" s="11">
        <v>2005</v>
      </c>
      <c r="B488" s="11" t="s">
        <v>250</v>
      </c>
      <c r="C488" s="13">
        <v>1347</v>
      </c>
      <c r="D488" s="13">
        <v>659</v>
      </c>
      <c r="E488" s="13">
        <v>688</v>
      </c>
    </row>
    <row r="489" spans="1:5" x14ac:dyDescent="0.25">
      <c r="A489" s="11">
        <v>2005</v>
      </c>
      <c r="B489" s="11" t="s">
        <v>251</v>
      </c>
      <c r="C489" s="13">
        <v>1869</v>
      </c>
      <c r="D489" s="13">
        <v>926</v>
      </c>
      <c r="E489" s="13">
        <v>943</v>
      </c>
    </row>
    <row r="490" spans="1:5" x14ac:dyDescent="0.25">
      <c r="A490" s="11">
        <v>2005</v>
      </c>
      <c r="B490" s="11" t="s">
        <v>252</v>
      </c>
      <c r="C490" s="13">
        <v>1047</v>
      </c>
      <c r="D490" s="13">
        <v>505</v>
      </c>
      <c r="E490" s="13">
        <v>542</v>
      </c>
    </row>
    <row r="491" spans="1:5" x14ac:dyDescent="0.25">
      <c r="A491" s="11">
        <v>2005</v>
      </c>
      <c r="B491" s="11" t="s">
        <v>253</v>
      </c>
      <c r="C491" s="13">
        <v>227</v>
      </c>
      <c r="D491" s="13">
        <v>105</v>
      </c>
      <c r="E491" s="13">
        <v>122</v>
      </c>
    </row>
    <row r="492" spans="1:5" x14ac:dyDescent="0.25">
      <c r="A492" s="11">
        <v>2005</v>
      </c>
      <c r="B492" s="11" t="s">
        <v>254</v>
      </c>
      <c r="C492" s="13">
        <v>976</v>
      </c>
      <c r="D492" s="13">
        <v>485</v>
      </c>
      <c r="E492" s="13">
        <v>491</v>
      </c>
    </row>
    <row r="493" spans="1:5" x14ac:dyDescent="0.25">
      <c r="A493" s="11">
        <v>2005</v>
      </c>
      <c r="B493" s="11" t="s">
        <v>255</v>
      </c>
      <c r="C493" s="13">
        <v>3322</v>
      </c>
      <c r="D493" s="13">
        <v>1594</v>
      </c>
      <c r="E493" s="13">
        <v>1728</v>
      </c>
    </row>
    <row r="494" spans="1:5" x14ac:dyDescent="0.25">
      <c r="A494" s="11">
        <v>2005</v>
      </c>
      <c r="B494" s="11" t="s">
        <v>256</v>
      </c>
      <c r="C494" s="13">
        <v>873</v>
      </c>
      <c r="D494" s="13">
        <v>425</v>
      </c>
      <c r="E494" s="13">
        <v>448</v>
      </c>
    </row>
    <row r="495" spans="1:5" x14ac:dyDescent="0.25">
      <c r="A495" s="11">
        <v>2005</v>
      </c>
      <c r="B495" s="11" t="s">
        <v>257</v>
      </c>
      <c r="C495" s="13">
        <v>1000</v>
      </c>
      <c r="D495" s="13">
        <v>471</v>
      </c>
      <c r="E495" s="13">
        <v>529</v>
      </c>
    </row>
    <row r="496" spans="1:5" x14ac:dyDescent="0.25">
      <c r="A496" s="11">
        <v>2005</v>
      </c>
      <c r="B496" s="11" t="s">
        <v>258</v>
      </c>
      <c r="C496" s="13">
        <v>2112</v>
      </c>
      <c r="D496" s="13">
        <v>988</v>
      </c>
      <c r="E496" s="13">
        <v>1124</v>
      </c>
    </row>
    <row r="497" spans="1:5" x14ac:dyDescent="0.25">
      <c r="A497" s="11">
        <v>2006</v>
      </c>
      <c r="B497" s="11" t="s">
        <v>11</v>
      </c>
      <c r="C497" s="13">
        <v>55690</v>
      </c>
      <c r="D497" s="13">
        <v>27217</v>
      </c>
      <c r="E497" s="13">
        <v>28473</v>
      </c>
    </row>
    <row r="498" spans="1:5" x14ac:dyDescent="0.25">
      <c r="A498" s="11">
        <v>2006</v>
      </c>
      <c r="B498" s="11" t="s">
        <v>227</v>
      </c>
      <c r="C498" s="13">
        <v>2200</v>
      </c>
      <c r="D498" s="13">
        <v>1090</v>
      </c>
      <c r="E498" s="13">
        <v>1110</v>
      </c>
    </row>
    <row r="499" spans="1:5" x14ac:dyDescent="0.25">
      <c r="A499" s="11">
        <v>2006</v>
      </c>
      <c r="B499" s="11" t="s">
        <v>228</v>
      </c>
      <c r="C499" s="13">
        <v>2589</v>
      </c>
      <c r="D499" s="13">
        <v>1249</v>
      </c>
      <c r="E499" s="13">
        <v>1340</v>
      </c>
    </row>
    <row r="500" spans="1:5" x14ac:dyDescent="0.25">
      <c r="A500" s="11">
        <v>2006</v>
      </c>
      <c r="B500" s="11" t="s">
        <v>229</v>
      </c>
      <c r="C500" s="13">
        <v>1110</v>
      </c>
      <c r="D500" s="13">
        <v>555</v>
      </c>
      <c r="E500" s="13">
        <v>555</v>
      </c>
    </row>
    <row r="501" spans="1:5" x14ac:dyDescent="0.25">
      <c r="A501" s="11">
        <v>2006</v>
      </c>
      <c r="B501" s="11" t="s">
        <v>230</v>
      </c>
      <c r="C501" s="13">
        <v>781</v>
      </c>
      <c r="D501" s="13">
        <v>381</v>
      </c>
      <c r="E501" s="13">
        <v>400</v>
      </c>
    </row>
    <row r="502" spans="1:5" x14ac:dyDescent="0.25">
      <c r="A502" s="11">
        <v>2006</v>
      </c>
      <c r="B502" s="11" t="s">
        <v>231</v>
      </c>
      <c r="C502" s="13">
        <v>4894</v>
      </c>
      <c r="D502" s="13">
        <v>2390</v>
      </c>
      <c r="E502" s="13">
        <v>2504</v>
      </c>
    </row>
    <row r="503" spans="1:5" x14ac:dyDescent="0.25">
      <c r="A503" s="11">
        <v>2006</v>
      </c>
      <c r="B503" s="11" t="s">
        <v>232</v>
      </c>
      <c r="C503" s="13">
        <v>546</v>
      </c>
      <c r="D503" s="13">
        <v>252</v>
      </c>
      <c r="E503" s="13">
        <v>294</v>
      </c>
    </row>
    <row r="504" spans="1:5" x14ac:dyDescent="0.25">
      <c r="A504" s="11">
        <v>2006</v>
      </c>
      <c r="B504" s="11" t="s">
        <v>233</v>
      </c>
      <c r="C504" s="13">
        <v>1471</v>
      </c>
      <c r="D504" s="13">
        <v>712</v>
      </c>
      <c r="E504" s="13">
        <v>759</v>
      </c>
    </row>
    <row r="505" spans="1:5" x14ac:dyDescent="0.25">
      <c r="A505" s="11">
        <v>2006</v>
      </c>
      <c r="B505" s="11" t="s">
        <v>234</v>
      </c>
      <c r="C505" s="13">
        <v>1567</v>
      </c>
      <c r="D505" s="13">
        <v>737</v>
      </c>
      <c r="E505" s="13">
        <v>830</v>
      </c>
    </row>
    <row r="506" spans="1:5" x14ac:dyDescent="0.25">
      <c r="A506" s="11">
        <v>2006</v>
      </c>
      <c r="B506" s="11" t="s">
        <v>235</v>
      </c>
      <c r="C506" s="13">
        <v>1316</v>
      </c>
      <c r="D506" s="13">
        <v>652</v>
      </c>
      <c r="E506" s="13">
        <v>664</v>
      </c>
    </row>
    <row r="507" spans="1:5" x14ac:dyDescent="0.25">
      <c r="A507" s="11">
        <v>2006</v>
      </c>
      <c r="B507" s="11" t="s">
        <v>236</v>
      </c>
      <c r="C507" s="13">
        <v>922</v>
      </c>
      <c r="D507" s="13">
        <v>460</v>
      </c>
      <c r="E507" s="13">
        <v>462</v>
      </c>
    </row>
    <row r="508" spans="1:5" x14ac:dyDescent="0.25">
      <c r="A508" s="11">
        <v>2006</v>
      </c>
      <c r="B508" s="11" t="s">
        <v>237</v>
      </c>
      <c r="C508" s="13">
        <v>1056</v>
      </c>
      <c r="D508" s="13">
        <v>495</v>
      </c>
      <c r="E508" s="13">
        <v>561</v>
      </c>
    </row>
    <row r="509" spans="1:5" x14ac:dyDescent="0.25">
      <c r="A509" s="11">
        <v>2006</v>
      </c>
      <c r="B509" s="11" t="s">
        <v>238</v>
      </c>
      <c r="C509" s="13">
        <v>858</v>
      </c>
      <c r="D509" s="13">
        <v>439</v>
      </c>
      <c r="E509" s="13">
        <v>419</v>
      </c>
    </row>
    <row r="510" spans="1:5" x14ac:dyDescent="0.25">
      <c r="A510" s="11">
        <v>2006</v>
      </c>
      <c r="B510" s="11" t="s">
        <v>239</v>
      </c>
      <c r="C510" s="13">
        <v>1757</v>
      </c>
      <c r="D510" s="13">
        <v>836</v>
      </c>
      <c r="E510" s="13">
        <v>921</v>
      </c>
    </row>
    <row r="511" spans="1:5" x14ac:dyDescent="0.25">
      <c r="A511" s="11">
        <v>2006</v>
      </c>
      <c r="B511" s="11" t="s">
        <v>240</v>
      </c>
      <c r="C511" s="13">
        <v>3999</v>
      </c>
      <c r="D511" s="13">
        <v>1993</v>
      </c>
      <c r="E511" s="13">
        <v>2006</v>
      </c>
    </row>
    <row r="512" spans="1:5" x14ac:dyDescent="0.25">
      <c r="A512" s="11">
        <v>2006</v>
      </c>
      <c r="B512" s="11" t="s">
        <v>241</v>
      </c>
      <c r="C512" s="13">
        <v>6617</v>
      </c>
      <c r="D512" s="13">
        <v>3244</v>
      </c>
      <c r="E512" s="13">
        <v>3373</v>
      </c>
    </row>
    <row r="513" spans="1:5" x14ac:dyDescent="0.25">
      <c r="A513" s="11">
        <v>2006</v>
      </c>
      <c r="B513" s="11" t="s">
        <v>242</v>
      </c>
      <c r="C513" s="13">
        <v>2159</v>
      </c>
      <c r="D513" s="13">
        <v>1063</v>
      </c>
      <c r="E513" s="13">
        <v>1096</v>
      </c>
    </row>
    <row r="514" spans="1:5" x14ac:dyDescent="0.25">
      <c r="A514" s="11">
        <v>2006</v>
      </c>
      <c r="B514" s="11" t="s">
        <v>243</v>
      </c>
      <c r="C514" s="13">
        <v>846</v>
      </c>
      <c r="D514" s="13">
        <v>404</v>
      </c>
      <c r="E514" s="13">
        <v>442</v>
      </c>
    </row>
    <row r="515" spans="1:5" x14ac:dyDescent="0.25">
      <c r="A515" s="11">
        <v>2006</v>
      </c>
      <c r="B515" s="11" t="s">
        <v>244</v>
      </c>
      <c r="C515" s="13">
        <v>887</v>
      </c>
      <c r="D515" s="13">
        <v>459</v>
      </c>
      <c r="E515" s="13">
        <v>428</v>
      </c>
    </row>
    <row r="516" spans="1:5" x14ac:dyDescent="0.25">
      <c r="A516" s="11">
        <v>2006</v>
      </c>
      <c r="B516" s="11" t="s">
        <v>245</v>
      </c>
      <c r="C516" s="13">
        <v>899</v>
      </c>
      <c r="D516" s="13">
        <v>415</v>
      </c>
      <c r="E516" s="13">
        <v>484</v>
      </c>
    </row>
    <row r="517" spans="1:5" x14ac:dyDescent="0.25">
      <c r="A517" s="11">
        <v>2006</v>
      </c>
      <c r="B517" s="11" t="s">
        <v>246</v>
      </c>
      <c r="C517" s="13">
        <v>274</v>
      </c>
      <c r="D517" s="13">
        <v>138</v>
      </c>
      <c r="E517" s="13">
        <v>136</v>
      </c>
    </row>
    <row r="518" spans="1:5" x14ac:dyDescent="0.25">
      <c r="A518" s="11">
        <v>2006</v>
      </c>
      <c r="B518" s="11" t="s">
        <v>247</v>
      </c>
      <c r="C518" s="13">
        <v>1501</v>
      </c>
      <c r="D518" s="13">
        <v>734</v>
      </c>
      <c r="E518" s="13">
        <v>767</v>
      </c>
    </row>
    <row r="519" spans="1:5" x14ac:dyDescent="0.25">
      <c r="A519" s="11">
        <v>2006</v>
      </c>
      <c r="B519" s="11" t="s">
        <v>248</v>
      </c>
      <c r="C519" s="13">
        <v>4001</v>
      </c>
      <c r="D519" s="13">
        <v>1902</v>
      </c>
      <c r="E519" s="13">
        <v>2099</v>
      </c>
    </row>
    <row r="520" spans="1:5" x14ac:dyDescent="0.25">
      <c r="A520" s="11">
        <v>2006</v>
      </c>
      <c r="B520" s="11" t="s">
        <v>249</v>
      </c>
      <c r="C520" s="13">
        <v>213</v>
      </c>
      <c r="D520" s="13">
        <v>108</v>
      </c>
      <c r="E520" s="13">
        <v>105</v>
      </c>
    </row>
    <row r="521" spans="1:5" x14ac:dyDescent="0.25">
      <c r="A521" s="11">
        <v>2006</v>
      </c>
      <c r="B521" s="11" t="s">
        <v>250</v>
      </c>
      <c r="C521" s="13">
        <v>1331</v>
      </c>
      <c r="D521" s="13">
        <v>679</v>
      </c>
      <c r="E521" s="13">
        <v>652</v>
      </c>
    </row>
    <row r="522" spans="1:5" x14ac:dyDescent="0.25">
      <c r="A522" s="11">
        <v>2006</v>
      </c>
      <c r="B522" s="11" t="s">
        <v>251</v>
      </c>
      <c r="C522" s="13">
        <v>1838</v>
      </c>
      <c r="D522" s="13">
        <v>886</v>
      </c>
      <c r="E522" s="13">
        <v>952</v>
      </c>
    </row>
    <row r="523" spans="1:5" x14ac:dyDescent="0.25">
      <c r="A523" s="11">
        <v>2006</v>
      </c>
      <c r="B523" s="11" t="s">
        <v>252</v>
      </c>
      <c r="C523" s="13">
        <v>1111</v>
      </c>
      <c r="D523" s="13">
        <v>535</v>
      </c>
      <c r="E523" s="13">
        <v>576</v>
      </c>
    </row>
    <row r="524" spans="1:5" x14ac:dyDescent="0.25">
      <c r="A524" s="11">
        <v>2006</v>
      </c>
      <c r="B524" s="11" t="s">
        <v>253</v>
      </c>
      <c r="C524" s="13">
        <v>268</v>
      </c>
      <c r="D524" s="13">
        <v>142</v>
      </c>
      <c r="E524" s="13">
        <v>126</v>
      </c>
    </row>
    <row r="525" spans="1:5" x14ac:dyDescent="0.25">
      <c r="A525" s="11">
        <v>2006</v>
      </c>
      <c r="B525" s="11" t="s">
        <v>254</v>
      </c>
      <c r="C525" s="13">
        <v>1012</v>
      </c>
      <c r="D525" s="13">
        <v>512</v>
      </c>
      <c r="E525" s="13">
        <v>500</v>
      </c>
    </row>
    <row r="526" spans="1:5" x14ac:dyDescent="0.25">
      <c r="A526" s="11">
        <v>2006</v>
      </c>
      <c r="B526" s="11" t="s">
        <v>255</v>
      </c>
      <c r="C526" s="13">
        <v>3524</v>
      </c>
      <c r="D526" s="13">
        <v>1747</v>
      </c>
      <c r="E526" s="13">
        <v>1777</v>
      </c>
    </row>
    <row r="527" spans="1:5" x14ac:dyDescent="0.25">
      <c r="A527" s="11">
        <v>2006</v>
      </c>
      <c r="B527" s="11" t="s">
        <v>256</v>
      </c>
      <c r="C527" s="13">
        <v>908</v>
      </c>
      <c r="D527" s="13">
        <v>447</v>
      </c>
      <c r="E527" s="13">
        <v>461</v>
      </c>
    </row>
    <row r="528" spans="1:5" x14ac:dyDescent="0.25">
      <c r="A528" s="11">
        <v>2006</v>
      </c>
      <c r="B528" s="11" t="s">
        <v>257</v>
      </c>
      <c r="C528" s="13">
        <v>1044</v>
      </c>
      <c r="D528" s="13">
        <v>501</v>
      </c>
      <c r="E528" s="13">
        <v>543</v>
      </c>
    </row>
    <row r="529" spans="1:5" x14ac:dyDescent="0.25">
      <c r="A529" s="11">
        <v>2006</v>
      </c>
      <c r="B529" s="11" t="s">
        <v>258</v>
      </c>
      <c r="C529" s="13">
        <v>2191</v>
      </c>
      <c r="D529" s="13">
        <v>1060</v>
      </c>
      <c r="E529" s="13">
        <v>1131</v>
      </c>
    </row>
    <row r="530" spans="1:5" x14ac:dyDescent="0.25">
      <c r="A530" s="11">
        <v>2007</v>
      </c>
      <c r="B530" s="11" t="s">
        <v>11</v>
      </c>
      <c r="C530" s="13">
        <v>57781</v>
      </c>
      <c r="D530" s="13">
        <v>28087</v>
      </c>
      <c r="E530" s="13">
        <v>29694</v>
      </c>
    </row>
    <row r="531" spans="1:5" x14ac:dyDescent="0.25">
      <c r="A531" s="11">
        <v>2007</v>
      </c>
      <c r="B531" s="11" t="s">
        <v>227</v>
      </c>
      <c r="C531" s="13">
        <v>2417</v>
      </c>
      <c r="D531" s="13">
        <v>1194</v>
      </c>
      <c r="E531" s="13">
        <v>1223</v>
      </c>
    </row>
    <row r="532" spans="1:5" x14ac:dyDescent="0.25">
      <c r="A532" s="11">
        <v>2007</v>
      </c>
      <c r="B532" s="11" t="s">
        <v>228</v>
      </c>
      <c r="C532" s="13">
        <v>2690</v>
      </c>
      <c r="D532" s="13">
        <v>1252</v>
      </c>
      <c r="E532" s="13">
        <v>1438</v>
      </c>
    </row>
    <row r="533" spans="1:5" x14ac:dyDescent="0.25">
      <c r="A533" s="11">
        <v>2007</v>
      </c>
      <c r="B533" s="11" t="s">
        <v>229</v>
      </c>
      <c r="C533" s="13">
        <v>1152</v>
      </c>
      <c r="D533" s="13">
        <v>552</v>
      </c>
      <c r="E533" s="13">
        <v>600</v>
      </c>
    </row>
    <row r="534" spans="1:5" x14ac:dyDescent="0.25">
      <c r="A534" s="11">
        <v>2007</v>
      </c>
      <c r="B534" s="11" t="s">
        <v>230</v>
      </c>
      <c r="C534" s="13">
        <v>741</v>
      </c>
      <c r="D534" s="13">
        <v>364</v>
      </c>
      <c r="E534" s="13">
        <v>377</v>
      </c>
    </row>
    <row r="535" spans="1:5" x14ac:dyDescent="0.25">
      <c r="A535" s="11">
        <v>2007</v>
      </c>
      <c r="B535" s="11" t="s">
        <v>231</v>
      </c>
      <c r="C535" s="13">
        <v>5056</v>
      </c>
      <c r="D535" s="13">
        <v>2460</v>
      </c>
      <c r="E535" s="13">
        <v>2596</v>
      </c>
    </row>
    <row r="536" spans="1:5" x14ac:dyDescent="0.25">
      <c r="A536" s="11">
        <v>2007</v>
      </c>
      <c r="B536" s="11" t="s">
        <v>232</v>
      </c>
      <c r="C536" s="13">
        <v>634</v>
      </c>
      <c r="D536" s="13">
        <v>313</v>
      </c>
      <c r="E536" s="13">
        <v>321</v>
      </c>
    </row>
    <row r="537" spans="1:5" x14ac:dyDescent="0.25">
      <c r="A537" s="11">
        <v>2007</v>
      </c>
      <c r="B537" s="11" t="s">
        <v>233</v>
      </c>
      <c r="C537" s="13">
        <v>1507</v>
      </c>
      <c r="D537" s="13">
        <v>741</v>
      </c>
      <c r="E537" s="13">
        <v>766</v>
      </c>
    </row>
    <row r="538" spans="1:5" x14ac:dyDescent="0.25">
      <c r="A538" s="11">
        <v>2007</v>
      </c>
      <c r="B538" s="11" t="s">
        <v>234</v>
      </c>
      <c r="C538" s="13">
        <v>1668</v>
      </c>
      <c r="D538" s="13">
        <v>849</v>
      </c>
      <c r="E538" s="13">
        <v>819</v>
      </c>
    </row>
    <row r="539" spans="1:5" x14ac:dyDescent="0.25">
      <c r="A539" s="11">
        <v>2007</v>
      </c>
      <c r="B539" s="11" t="s">
        <v>235</v>
      </c>
      <c r="C539" s="13">
        <v>1304</v>
      </c>
      <c r="D539" s="13">
        <v>599</v>
      </c>
      <c r="E539" s="13">
        <v>705</v>
      </c>
    </row>
    <row r="540" spans="1:5" x14ac:dyDescent="0.25">
      <c r="A540" s="11">
        <v>2007</v>
      </c>
      <c r="B540" s="11" t="s">
        <v>236</v>
      </c>
      <c r="C540" s="13">
        <v>892</v>
      </c>
      <c r="D540" s="13">
        <v>442</v>
      </c>
      <c r="E540" s="13">
        <v>450</v>
      </c>
    </row>
    <row r="541" spans="1:5" x14ac:dyDescent="0.25">
      <c r="A541" s="11">
        <v>2007</v>
      </c>
      <c r="B541" s="11" t="s">
        <v>237</v>
      </c>
      <c r="C541" s="13">
        <v>1101</v>
      </c>
      <c r="D541" s="13">
        <v>552</v>
      </c>
      <c r="E541" s="13">
        <v>549</v>
      </c>
    </row>
    <row r="542" spans="1:5" x14ac:dyDescent="0.25">
      <c r="A542" s="11">
        <v>2007</v>
      </c>
      <c r="B542" s="11" t="s">
        <v>238</v>
      </c>
      <c r="C542" s="13">
        <v>893</v>
      </c>
      <c r="D542" s="13">
        <v>416</v>
      </c>
      <c r="E542" s="13">
        <v>477</v>
      </c>
    </row>
    <row r="543" spans="1:5" x14ac:dyDescent="0.25">
      <c r="A543" s="11">
        <v>2007</v>
      </c>
      <c r="B543" s="11" t="s">
        <v>239</v>
      </c>
      <c r="C543" s="13">
        <v>1892</v>
      </c>
      <c r="D543" s="13">
        <v>960</v>
      </c>
      <c r="E543" s="13">
        <v>932</v>
      </c>
    </row>
    <row r="544" spans="1:5" x14ac:dyDescent="0.25">
      <c r="A544" s="11">
        <v>2007</v>
      </c>
      <c r="B544" s="11" t="s">
        <v>240</v>
      </c>
      <c r="C544" s="13">
        <v>4076</v>
      </c>
      <c r="D544" s="13">
        <v>1976</v>
      </c>
      <c r="E544" s="13">
        <v>2100</v>
      </c>
    </row>
    <row r="545" spans="1:5" x14ac:dyDescent="0.25">
      <c r="A545" s="11">
        <v>2007</v>
      </c>
      <c r="B545" s="11" t="s">
        <v>241</v>
      </c>
      <c r="C545" s="13">
        <v>7154</v>
      </c>
      <c r="D545" s="13">
        <v>3525</v>
      </c>
      <c r="E545" s="13">
        <v>3629</v>
      </c>
    </row>
    <row r="546" spans="1:5" x14ac:dyDescent="0.25">
      <c r="A546" s="11">
        <v>2007</v>
      </c>
      <c r="B546" s="11" t="s">
        <v>242</v>
      </c>
      <c r="C546" s="13">
        <v>2332</v>
      </c>
      <c r="D546" s="13">
        <v>1099</v>
      </c>
      <c r="E546" s="13">
        <v>1233</v>
      </c>
    </row>
    <row r="547" spans="1:5" x14ac:dyDescent="0.25">
      <c r="A547" s="11">
        <v>2007</v>
      </c>
      <c r="B547" s="11" t="s">
        <v>243</v>
      </c>
      <c r="C547" s="13">
        <v>857</v>
      </c>
      <c r="D547" s="13">
        <v>406</v>
      </c>
      <c r="E547" s="13">
        <v>451</v>
      </c>
    </row>
    <row r="548" spans="1:5" x14ac:dyDescent="0.25">
      <c r="A548" s="11">
        <v>2007</v>
      </c>
      <c r="B548" s="11" t="s">
        <v>244</v>
      </c>
      <c r="C548" s="13">
        <v>937</v>
      </c>
      <c r="D548" s="13">
        <v>459</v>
      </c>
      <c r="E548" s="13">
        <v>478</v>
      </c>
    </row>
    <row r="549" spans="1:5" x14ac:dyDescent="0.25">
      <c r="A549" s="11">
        <v>2007</v>
      </c>
      <c r="B549" s="11" t="s">
        <v>245</v>
      </c>
      <c r="C549" s="13">
        <v>1001</v>
      </c>
      <c r="D549" s="13">
        <v>478</v>
      </c>
      <c r="E549" s="13">
        <v>523</v>
      </c>
    </row>
    <row r="550" spans="1:5" x14ac:dyDescent="0.25">
      <c r="A550" s="11">
        <v>2007</v>
      </c>
      <c r="B550" s="11" t="s">
        <v>246</v>
      </c>
      <c r="C550" s="13">
        <v>263</v>
      </c>
      <c r="D550" s="13">
        <v>117</v>
      </c>
      <c r="E550" s="13">
        <v>146</v>
      </c>
    </row>
    <row r="551" spans="1:5" x14ac:dyDescent="0.25">
      <c r="A551" s="11">
        <v>2007</v>
      </c>
      <c r="B551" s="11" t="s">
        <v>247</v>
      </c>
      <c r="C551" s="13">
        <v>1528</v>
      </c>
      <c r="D551" s="13">
        <v>744</v>
      </c>
      <c r="E551" s="13">
        <v>784</v>
      </c>
    </row>
    <row r="552" spans="1:5" x14ac:dyDescent="0.25">
      <c r="A552" s="11">
        <v>2007</v>
      </c>
      <c r="B552" s="11" t="s">
        <v>248</v>
      </c>
      <c r="C552" s="13">
        <v>4045</v>
      </c>
      <c r="D552" s="13">
        <v>1929</v>
      </c>
      <c r="E552" s="13">
        <v>2116</v>
      </c>
    </row>
    <row r="553" spans="1:5" x14ac:dyDescent="0.25">
      <c r="A553" s="11">
        <v>2007</v>
      </c>
      <c r="B553" s="11" t="s">
        <v>249</v>
      </c>
      <c r="C553" s="13">
        <v>190</v>
      </c>
      <c r="D553" s="13">
        <v>96</v>
      </c>
      <c r="E553" s="13">
        <v>94</v>
      </c>
    </row>
    <row r="554" spans="1:5" x14ac:dyDescent="0.25">
      <c r="A554" s="11">
        <v>2007</v>
      </c>
      <c r="B554" s="11" t="s">
        <v>250</v>
      </c>
      <c r="C554" s="13">
        <v>1391</v>
      </c>
      <c r="D554" s="13">
        <v>674</v>
      </c>
      <c r="E554" s="13">
        <v>717</v>
      </c>
    </row>
    <row r="555" spans="1:5" x14ac:dyDescent="0.25">
      <c r="A555" s="11">
        <v>2007</v>
      </c>
      <c r="B555" s="11" t="s">
        <v>251</v>
      </c>
      <c r="C555" s="13">
        <v>1898</v>
      </c>
      <c r="D555" s="13">
        <v>940</v>
      </c>
      <c r="E555" s="13">
        <v>958</v>
      </c>
    </row>
    <row r="556" spans="1:5" x14ac:dyDescent="0.25">
      <c r="A556" s="11">
        <v>2007</v>
      </c>
      <c r="B556" s="11" t="s">
        <v>252</v>
      </c>
      <c r="C556" s="13">
        <v>1170</v>
      </c>
      <c r="D556" s="13">
        <v>593</v>
      </c>
      <c r="E556" s="13">
        <v>577</v>
      </c>
    </row>
    <row r="557" spans="1:5" x14ac:dyDescent="0.25">
      <c r="A557" s="11">
        <v>2007</v>
      </c>
      <c r="B557" s="11" t="s">
        <v>253</v>
      </c>
      <c r="C557" s="13">
        <v>244</v>
      </c>
      <c r="D557" s="13">
        <v>115</v>
      </c>
      <c r="E557" s="13">
        <v>129</v>
      </c>
    </row>
    <row r="558" spans="1:5" x14ac:dyDescent="0.25">
      <c r="A558" s="11">
        <v>2007</v>
      </c>
      <c r="B558" s="11" t="s">
        <v>254</v>
      </c>
      <c r="C558" s="13">
        <v>1029</v>
      </c>
      <c r="D558" s="13">
        <v>514</v>
      </c>
      <c r="E558" s="13">
        <v>515</v>
      </c>
    </row>
    <row r="559" spans="1:5" x14ac:dyDescent="0.25">
      <c r="A559" s="11">
        <v>2007</v>
      </c>
      <c r="B559" s="11" t="s">
        <v>255</v>
      </c>
      <c r="C559" s="13">
        <v>3452</v>
      </c>
      <c r="D559" s="13">
        <v>1665</v>
      </c>
      <c r="E559" s="13">
        <v>1787</v>
      </c>
    </row>
    <row r="560" spans="1:5" x14ac:dyDescent="0.25">
      <c r="A560" s="11">
        <v>2007</v>
      </c>
      <c r="B560" s="11" t="s">
        <v>256</v>
      </c>
      <c r="C560" s="13">
        <v>878</v>
      </c>
      <c r="D560" s="13">
        <v>418</v>
      </c>
      <c r="E560" s="13">
        <v>460</v>
      </c>
    </row>
    <row r="561" spans="1:5" x14ac:dyDescent="0.25">
      <c r="A561" s="11">
        <v>2007</v>
      </c>
      <c r="B561" s="11" t="s">
        <v>257</v>
      </c>
      <c r="C561" s="13">
        <v>1105</v>
      </c>
      <c r="D561" s="13">
        <v>543</v>
      </c>
      <c r="E561" s="13">
        <v>562</v>
      </c>
    </row>
    <row r="562" spans="1:5" x14ac:dyDescent="0.25">
      <c r="A562" s="11">
        <v>2007</v>
      </c>
      <c r="B562" s="11" t="s">
        <v>258</v>
      </c>
      <c r="C562" s="13">
        <v>2284</v>
      </c>
      <c r="D562" s="13">
        <v>1102</v>
      </c>
      <c r="E562" s="13">
        <v>1182</v>
      </c>
    </row>
    <row r="563" spans="1:5" x14ac:dyDescent="0.25">
      <c r="A563" s="11">
        <v>2008</v>
      </c>
      <c r="B563" s="11" t="s">
        <v>11</v>
      </c>
      <c r="C563" s="13">
        <v>60041</v>
      </c>
      <c r="D563" s="13">
        <v>29471</v>
      </c>
      <c r="E563" s="13">
        <v>30570</v>
      </c>
    </row>
    <row r="564" spans="1:5" x14ac:dyDescent="0.25">
      <c r="A564" s="11">
        <v>2008</v>
      </c>
      <c r="B564" s="11" t="s">
        <v>227</v>
      </c>
      <c r="C564" s="13">
        <v>2596</v>
      </c>
      <c r="D564" s="13">
        <v>1298</v>
      </c>
      <c r="E564" s="13">
        <v>1298</v>
      </c>
    </row>
    <row r="565" spans="1:5" x14ac:dyDescent="0.25">
      <c r="A565" s="11">
        <v>2008</v>
      </c>
      <c r="B565" s="11" t="s">
        <v>228</v>
      </c>
      <c r="C565" s="13">
        <v>2771</v>
      </c>
      <c r="D565" s="13">
        <v>1363</v>
      </c>
      <c r="E565" s="13">
        <v>1408</v>
      </c>
    </row>
    <row r="566" spans="1:5" x14ac:dyDescent="0.25">
      <c r="A566" s="11">
        <v>2008</v>
      </c>
      <c r="B566" s="11" t="s">
        <v>229</v>
      </c>
      <c r="C566" s="13">
        <v>1194</v>
      </c>
      <c r="D566" s="13">
        <v>617</v>
      </c>
      <c r="E566" s="13">
        <v>577</v>
      </c>
    </row>
    <row r="567" spans="1:5" x14ac:dyDescent="0.25">
      <c r="A567" s="11">
        <v>2008</v>
      </c>
      <c r="B567" s="11" t="s">
        <v>230</v>
      </c>
      <c r="C567" s="13">
        <v>807</v>
      </c>
      <c r="D567" s="13">
        <v>380</v>
      </c>
      <c r="E567" s="13">
        <v>427</v>
      </c>
    </row>
    <row r="568" spans="1:5" x14ac:dyDescent="0.25">
      <c r="A568" s="11">
        <v>2008</v>
      </c>
      <c r="B568" s="11" t="s">
        <v>231</v>
      </c>
      <c r="C568" s="13">
        <v>5440</v>
      </c>
      <c r="D568" s="13">
        <v>2667</v>
      </c>
      <c r="E568" s="13">
        <v>2773</v>
      </c>
    </row>
    <row r="569" spans="1:5" x14ac:dyDescent="0.25">
      <c r="A569" s="11">
        <v>2008</v>
      </c>
      <c r="B569" s="11" t="s">
        <v>232</v>
      </c>
      <c r="C569" s="13">
        <v>644</v>
      </c>
      <c r="D569" s="13">
        <v>312</v>
      </c>
      <c r="E569" s="13">
        <v>332</v>
      </c>
    </row>
    <row r="570" spans="1:5" x14ac:dyDescent="0.25">
      <c r="A570" s="11">
        <v>2008</v>
      </c>
      <c r="B570" s="11" t="s">
        <v>233</v>
      </c>
      <c r="C570" s="13">
        <v>1430</v>
      </c>
      <c r="D570" s="13">
        <v>713</v>
      </c>
      <c r="E570" s="13">
        <v>717</v>
      </c>
    </row>
    <row r="571" spans="1:5" x14ac:dyDescent="0.25">
      <c r="A571" s="11">
        <v>2008</v>
      </c>
      <c r="B571" s="11" t="s">
        <v>234</v>
      </c>
      <c r="C571" s="13">
        <v>1801</v>
      </c>
      <c r="D571" s="13">
        <v>871</v>
      </c>
      <c r="E571" s="13">
        <v>930</v>
      </c>
    </row>
    <row r="572" spans="1:5" x14ac:dyDescent="0.25">
      <c r="A572" s="11">
        <v>2008</v>
      </c>
      <c r="B572" s="11" t="s">
        <v>235</v>
      </c>
      <c r="C572" s="13">
        <v>1371</v>
      </c>
      <c r="D572" s="13">
        <v>647</v>
      </c>
      <c r="E572" s="13">
        <v>724</v>
      </c>
    </row>
    <row r="573" spans="1:5" x14ac:dyDescent="0.25">
      <c r="A573" s="11">
        <v>2008</v>
      </c>
      <c r="B573" s="11" t="s">
        <v>236</v>
      </c>
      <c r="C573" s="13">
        <v>970</v>
      </c>
      <c r="D573" s="13">
        <v>453</v>
      </c>
      <c r="E573" s="13">
        <v>517</v>
      </c>
    </row>
    <row r="574" spans="1:5" x14ac:dyDescent="0.25">
      <c r="A574" s="11">
        <v>2008</v>
      </c>
      <c r="B574" s="11" t="s">
        <v>237</v>
      </c>
      <c r="C574" s="13">
        <v>1182</v>
      </c>
      <c r="D574" s="13">
        <v>570</v>
      </c>
      <c r="E574" s="13">
        <v>612</v>
      </c>
    </row>
    <row r="575" spans="1:5" x14ac:dyDescent="0.25">
      <c r="A575" s="11">
        <v>2008</v>
      </c>
      <c r="B575" s="11" t="s">
        <v>238</v>
      </c>
      <c r="C575" s="13">
        <v>868</v>
      </c>
      <c r="D575" s="13">
        <v>427</v>
      </c>
      <c r="E575" s="13">
        <v>441</v>
      </c>
    </row>
    <row r="576" spans="1:5" x14ac:dyDescent="0.25">
      <c r="A576" s="11">
        <v>2008</v>
      </c>
      <c r="B576" s="11" t="s">
        <v>239</v>
      </c>
      <c r="C576" s="13">
        <v>1949</v>
      </c>
      <c r="D576" s="13">
        <v>997</v>
      </c>
      <c r="E576" s="13">
        <v>952</v>
      </c>
    </row>
    <row r="577" spans="1:5" x14ac:dyDescent="0.25">
      <c r="A577" s="11">
        <v>2008</v>
      </c>
      <c r="B577" s="11" t="s">
        <v>240</v>
      </c>
      <c r="C577" s="13">
        <v>4349</v>
      </c>
      <c r="D577" s="13">
        <v>2129</v>
      </c>
      <c r="E577" s="13">
        <v>2220</v>
      </c>
    </row>
    <row r="578" spans="1:5" x14ac:dyDescent="0.25">
      <c r="A578" s="11">
        <v>2008</v>
      </c>
      <c r="B578" s="11" t="s">
        <v>241</v>
      </c>
      <c r="C578" s="13">
        <v>7371</v>
      </c>
      <c r="D578" s="13">
        <v>3628</v>
      </c>
      <c r="E578" s="13">
        <v>3743</v>
      </c>
    </row>
    <row r="579" spans="1:5" x14ac:dyDescent="0.25">
      <c r="A579" s="11">
        <v>2008</v>
      </c>
      <c r="B579" s="11" t="s">
        <v>242</v>
      </c>
      <c r="C579" s="13">
        <v>2482</v>
      </c>
      <c r="D579" s="13">
        <v>1196</v>
      </c>
      <c r="E579" s="13">
        <v>1286</v>
      </c>
    </row>
    <row r="580" spans="1:5" x14ac:dyDescent="0.25">
      <c r="A580" s="11">
        <v>2008</v>
      </c>
      <c r="B580" s="11" t="s">
        <v>243</v>
      </c>
      <c r="C580" s="13">
        <v>860</v>
      </c>
      <c r="D580" s="13">
        <v>403</v>
      </c>
      <c r="E580" s="13">
        <v>457</v>
      </c>
    </row>
    <row r="581" spans="1:5" x14ac:dyDescent="0.25">
      <c r="A581" s="11">
        <v>2008</v>
      </c>
      <c r="B581" s="11" t="s">
        <v>244</v>
      </c>
      <c r="C581" s="13">
        <v>938</v>
      </c>
      <c r="D581" s="13">
        <v>472</v>
      </c>
      <c r="E581" s="13">
        <v>466</v>
      </c>
    </row>
    <row r="582" spans="1:5" x14ac:dyDescent="0.25">
      <c r="A582" s="11">
        <v>2008</v>
      </c>
      <c r="B582" s="11" t="s">
        <v>245</v>
      </c>
      <c r="C582" s="13">
        <v>956</v>
      </c>
      <c r="D582" s="13">
        <v>469</v>
      </c>
      <c r="E582" s="13">
        <v>487</v>
      </c>
    </row>
    <row r="583" spans="1:5" x14ac:dyDescent="0.25">
      <c r="A583" s="11">
        <v>2008</v>
      </c>
      <c r="B583" s="11" t="s">
        <v>246</v>
      </c>
      <c r="C583" s="13">
        <v>257</v>
      </c>
      <c r="D583" s="13">
        <v>116</v>
      </c>
      <c r="E583" s="13">
        <v>141</v>
      </c>
    </row>
    <row r="584" spans="1:5" x14ac:dyDescent="0.25">
      <c r="A584" s="11">
        <v>2008</v>
      </c>
      <c r="B584" s="11" t="s">
        <v>247</v>
      </c>
      <c r="C584" s="13">
        <v>1481</v>
      </c>
      <c r="D584" s="13">
        <v>715</v>
      </c>
      <c r="E584" s="13">
        <v>766</v>
      </c>
    </row>
    <row r="585" spans="1:5" x14ac:dyDescent="0.25">
      <c r="A585" s="11">
        <v>2008</v>
      </c>
      <c r="B585" s="11" t="s">
        <v>248</v>
      </c>
      <c r="C585" s="13">
        <v>4182</v>
      </c>
      <c r="D585" s="13">
        <v>2051</v>
      </c>
      <c r="E585" s="13">
        <v>2131</v>
      </c>
    </row>
    <row r="586" spans="1:5" x14ac:dyDescent="0.25">
      <c r="A586" s="11">
        <v>2008</v>
      </c>
      <c r="B586" s="11" t="s">
        <v>249</v>
      </c>
      <c r="C586" s="13">
        <v>214</v>
      </c>
      <c r="D586" s="13">
        <v>95</v>
      </c>
      <c r="E586" s="13">
        <v>119</v>
      </c>
    </row>
    <row r="587" spans="1:5" x14ac:dyDescent="0.25">
      <c r="A587" s="11">
        <v>2008</v>
      </c>
      <c r="B587" s="11" t="s">
        <v>250</v>
      </c>
      <c r="C587" s="13">
        <v>1443</v>
      </c>
      <c r="D587" s="13">
        <v>678</v>
      </c>
      <c r="E587" s="13">
        <v>765</v>
      </c>
    </row>
    <row r="588" spans="1:5" x14ac:dyDescent="0.25">
      <c r="A588" s="11">
        <v>2008</v>
      </c>
      <c r="B588" s="11" t="s">
        <v>251</v>
      </c>
      <c r="C588" s="13">
        <v>2012</v>
      </c>
      <c r="D588" s="13">
        <v>978</v>
      </c>
      <c r="E588" s="13">
        <v>1034</v>
      </c>
    </row>
    <row r="589" spans="1:5" x14ac:dyDescent="0.25">
      <c r="A589" s="11">
        <v>2008</v>
      </c>
      <c r="B589" s="11" t="s">
        <v>252</v>
      </c>
      <c r="C589" s="13">
        <v>1138</v>
      </c>
      <c r="D589" s="13">
        <v>580</v>
      </c>
      <c r="E589" s="13">
        <v>558</v>
      </c>
    </row>
    <row r="590" spans="1:5" x14ac:dyDescent="0.25">
      <c r="A590" s="11">
        <v>2008</v>
      </c>
      <c r="B590" s="11" t="s">
        <v>253</v>
      </c>
      <c r="C590" s="13">
        <v>278</v>
      </c>
      <c r="D590" s="13">
        <v>133</v>
      </c>
      <c r="E590" s="13">
        <v>145</v>
      </c>
    </row>
    <row r="591" spans="1:5" x14ac:dyDescent="0.25">
      <c r="A591" s="11">
        <v>2008</v>
      </c>
      <c r="B591" s="11" t="s">
        <v>254</v>
      </c>
      <c r="C591" s="13">
        <v>1067</v>
      </c>
      <c r="D591" s="13">
        <v>493</v>
      </c>
      <c r="E591" s="13">
        <v>574</v>
      </c>
    </row>
    <row r="592" spans="1:5" x14ac:dyDescent="0.25">
      <c r="A592" s="11">
        <v>2008</v>
      </c>
      <c r="B592" s="11" t="s">
        <v>255</v>
      </c>
      <c r="C592" s="13">
        <v>3689</v>
      </c>
      <c r="D592" s="13">
        <v>1856</v>
      </c>
      <c r="E592" s="13">
        <v>1833</v>
      </c>
    </row>
    <row r="593" spans="1:5" x14ac:dyDescent="0.25">
      <c r="A593" s="11">
        <v>2008</v>
      </c>
      <c r="B593" s="11" t="s">
        <v>256</v>
      </c>
      <c r="C593" s="13">
        <v>862</v>
      </c>
      <c r="D593" s="13">
        <v>437</v>
      </c>
      <c r="E593" s="13">
        <v>425</v>
      </c>
    </row>
    <row r="594" spans="1:5" x14ac:dyDescent="0.25">
      <c r="A594" s="11">
        <v>2008</v>
      </c>
      <c r="B594" s="11" t="s">
        <v>257</v>
      </c>
      <c r="C594" s="13">
        <v>1104</v>
      </c>
      <c r="D594" s="13">
        <v>580</v>
      </c>
      <c r="E594" s="13">
        <v>524</v>
      </c>
    </row>
    <row r="595" spans="1:5" x14ac:dyDescent="0.25">
      <c r="A595" s="11">
        <v>2008</v>
      </c>
      <c r="B595" s="11" t="s">
        <v>258</v>
      </c>
      <c r="C595" s="13">
        <v>2335</v>
      </c>
      <c r="D595" s="13">
        <v>1147</v>
      </c>
      <c r="E595" s="13">
        <v>1188</v>
      </c>
    </row>
    <row r="596" spans="1:5" x14ac:dyDescent="0.25">
      <c r="A596" s="11">
        <v>2009</v>
      </c>
      <c r="B596" s="11" t="s">
        <v>11</v>
      </c>
      <c r="C596" s="13">
        <v>59046</v>
      </c>
      <c r="D596" s="13">
        <v>28881</v>
      </c>
      <c r="E596" s="13">
        <v>30165</v>
      </c>
    </row>
    <row r="597" spans="1:5" x14ac:dyDescent="0.25">
      <c r="A597" s="11">
        <v>2009</v>
      </c>
      <c r="B597" s="11" t="s">
        <v>227</v>
      </c>
      <c r="C597" s="13">
        <v>2564</v>
      </c>
      <c r="D597" s="13">
        <v>1199</v>
      </c>
      <c r="E597" s="13">
        <v>1365</v>
      </c>
    </row>
    <row r="598" spans="1:5" x14ac:dyDescent="0.25">
      <c r="A598" s="11">
        <v>2009</v>
      </c>
      <c r="B598" s="11" t="s">
        <v>228</v>
      </c>
      <c r="C598" s="13">
        <v>2903</v>
      </c>
      <c r="D598" s="13">
        <v>1413</v>
      </c>
      <c r="E598" s="13">
        <v>1490</v>
      </c>
    </row>
    <row r="599" spans="1:5" x14ac:dyDescent="0.25">
      <c r="A599" s="11">
        <v>2009</v>
      </c>
      <c r="B599" s="11" t="s">
        <v>229</v>
      </c>
      <c r="C599" s="13">
        <v>1165</v>
      </c>
      <c r="D599" s="13">
        <v>590</v>
      </c>
      <c r="E599" s="13">
        <v>575</v>
      </c>
    </row>
    <row r="600" spans="1:5" x14ac:dyDescent="0.25">
      <c r="A600" s="11">
        <v>2009</v>
      </c>
      <c r="B600" s="11" t="s">
        <v>230</v>
      </c>
      <c r="C600" s="13">
        <v>815</v>
      </c>
      <c r="D600" s="13">
        <v>429</v>
      </c>
      <c r="E600" s="13">
        <v>386</v>
      </c>
    </row>
    <row r="601" spans="1:5" x14ac:dyDescent="0.25">
      <c r="A601" s="11">
        <v>2009</v>
      </c>
      <c r="B601" s="11" t="s">
        <v>231</v>
      </c>
      <c r="C601" s="13">
        <v>5475</v>
      </c>
      <c r="D601" s="13">
        <v>2716</v>
      </c>
      <c r="E601" s="13">
        <v>2759</v>
      </c>
    </row>
    <row r="602" spans="1:5" x14ac:dyDescent="0.25">
      <c r="A602" s="11">
        <v>2009</v>
      </c>
      <c r="B602" s="11" t="s">
        <v>232</v>
      </c>
      <c r="C602" s="13">
        <v>610</v>
      </c>
      <c r="D602" s="13">
        <v>296</v>
      </c>
      <c r="E602" s="13">
        <v>314</v>
      </c>
    </row>
    <row r="603" spans="1:5" x14ac:dyDescent="0.25">
      <c r="A603" s="11">
        <v>2009</v>
      </c>
      <c r="B603" s="11" t="s">
        <v>233</v>
      </c>
      <c r="C603" s="13">
        <v>1507</v>
      </c>
      <c r="D603" s="13">
        <v>755</v>
      </c>
      <c r="E603" s="13">
        <v>752</v>
      </c>
    </row>
    <row r="604" spans="1:5" x14ac:dyDescent="0.25">
      <c r="A604" s="11">
        <v>2009</v>
      </c>
      <c r="B604" s="11" t="s">
        <v>234</v>
      </c>
      <c r="C604" s="13">
        <v>1768</v>
      </c>
      <c r="D604" s="13">
        <v>839</v>
      </c>
      <c r="E604" s="13">
        <v>929</v>
      </c>
    </row>
    <row r="605" spans="1:5" x14ac:dyDescent="0.25">
      <c r="A605" s="11">
        <v>2009</v>
      </c>
      <c r="B605" s="11" t="s">
        <v>235</v>
      </c>
      <c r="C605" s="13">
        <v>1362</v>
      </c>
      <c r="D605" s="13">
        <v>685</v>
      </c>
      <c r="E605" s="13">
        <v>677</v>
      </c>
    </row>
    <row r="606" spans="1:5" x14ac:dyDescent="0.25">
      <c r="A606" s="11">
        <v>2009</v>
      </c>
      <c r="B606" s="11" t="s">
        <v>236</v>
      </c>
      <c r="C606" s="13">
        <v>929</v>
      </c>
      <c r="D606" s="13">
        <v>439</v>
      </c>
      <c r="E606" s="13">
        <v>490</v>
      </c>
    </row>
    <row r="607" spans="1:5" x14ac:dyDescent="0.25">
      <c r="A607" s="11">
        <v>2009</v>
      </c>
      <c r="B607" s="11" t="s">
        <v>237</v>
      </c>
      <c r="C607" s="13">
        <v>1062</v>
      </c>
      <c r="D607" s="13">
        <v>519</v>
      </c>
      <c r="E607" s="13">
        <v>543</v>
      </c>
    </row>
    <row r="608" spans="1:5" x14ac:dyDescent="0.25">
      <c r="A608" s="11">
        <v>2009</v>
      </c>
      <c r="B608" s="11" t="s">
        <v>238</v>
      </c>
      <c r="C608" s="13">
        <v>848</v>
      </c>
      <c r="D608" s="13">
        <v>411</v>
      </c>
      <c r="E608" s="13">
        <v>437</v>
      </c>
    </row>
    <row r="609" spans="1:5" x14ac:dyDescent="0.25">
      <c r="A609" s="11">
        <v>2009</v>
      </c>
      <c r="B609" s="11" t="s">
        <v>239</v>
      </c>
      <c r="C609" s="13">
        <v>1874</v>
      </c>
      <c r="D609" s="13">
        <v>948</v>
      </c>
      <c r="E609" s="13">
        <v>926</v>
      </c>
    </row>
    <row r="610" spans="1:5" x14ac:dyDescent="0.25">
      <c r="A610" s="11">
        <v>2009</v>
      </c>
      <c r="B610" s="11" t="s">
        <v>240</v>
      </c>
      <c r="C610" s="13">
        <v>4135</v>
      </c>
      <c r="D610" s="13">
        <v>1986</v>
      </c>
      <c r="E610" s="13">
        <v>2149</v>
      </c>
    </row>
    <row r="611" spans="1:5" x14ac:dyDescent="0.25">
      <c r="A611" s="11">
        <v>2009</v>
      </c>
      <c r="B611" s="11" t="s">
        <v>241</v>
      </c>
      <c r="C611" s="13">
        <v>7512</v>
      </c>
      <c r="D611" s="13">
        <v>3705</v>
      </c>
      <c r="E611" s="13">
        <v>3807</v>
      </c>
    </row>
    <row r="612" spans="1:5" x14ac:dyDescent="0.25">
      <c r="A612" s="11">
        <v>2009</v>
      </c>
      <c r="B612" s="11" t="s">
        <v>242</v>
      </c>
      <c r="C612" s="13">
        <v>2374</v>
      </c>
      <c r="D612" s="13">
        <v>1124</v>
      </c>
      <c r="E612" s="13">
        <v>1250</v>
      </c>
    </row>
    <row r="613" spans="1:5" x14ac:dyDescent="0.25">
      <c r="A613" s="11">
        <v>2009</v>
      </c>
      <c r="B613" s="11" t="s">
        <v>243</v>
      </c>
      <c r="C613" s="13">
        <v>813</v>
      </c>
      <c r="D613" s="13">
        <v>365</v>
      </c>
      <c r="E613" s="13">
        <v>448</v>
      </c>
    </row>
    <row r="614" spans="1:5" x14ac:dyDescent="0.25">
      <c r="A614" s="11">
        <v>2009</v>
      </c>
      <c r="B614" s="11" t="s">
        <v>244</v>
      </c>
      <c r="C614" s="13">
        <v>947</v>
      </c>
      <c r="D614" s="13">
        <v>440</v>
      </c>
      <c r="E614" s="13">
        <v>507</v>
      </c>
    </row>
    <row r="615" spans="1:5" x14ac:dyDescent="0.25">
      <c r="A615" s="11">
        <v>2009</v>
      </c>
      <c r="B615" s="11" t="s">
        <v>245</v>
      </c>
      <c r="C615" s="13">
        <v>966</v>
      </c>
      <c r="D615" s="13">
        <v>468</v>
      </c>
      <c r="E615" s="13">
        <v>498</v>
      </c>
    </row>
    <row r="616" spans="1:5" x14ac:dyDescent="0.25">
      <c r="A616" s="11">
        <v>2009</v>
      </c>
      <c r="B616" s="11" t="s">
        <v>246</v>
      </c>
      <c r="C616" s="13">
        <v>227</v>
      </c>
      <c r="D616" s="13">
        <v>108</v>
      </c>
      <c r="E616" s="13">
        <v>119</v>
      </c>
    </row>
    <row r="617" spans="1:5" x14ac:dyDescent="0.25">
      <c r="A617" s="11">
        <v>2009</v>
      </c>
      <c r="B617" s="11" t="s">
        <v>247</v>
      </c>
      <c r="C617" s="13">
        <v>1498</v>
      </c>
      <c r="D617" s="13">
        <v>756</v>
      </c>
      <c r="E617" s="13">
        <v>742</v>
      </c>
    </row>
    <row r="618" spans="1:5" x14ac:dyDescent="0.25">
      <c r="A618" s="11">
        <v>2009</v>
      </c>
      <c r="B618" s="11" t="s">
        <v>248</v>
      </c>
      <c r="C618" s="13">
        <v>4067</v>
      </c>
      <c r="D618" s="13">
        <v>2006</v>
      </c>
      <c r="E618" s="13">
        <v>2061</v>
      </c>
    </row>
    <row r="619" spans="1:5" x14ac:dyDescent="0.25">
      <c r="A619" s="11">
        <v>2009</v>
      </c>
      <c r="B619" s="11" t="s">
        <v>249</v>
      </c>
      <c r="C619" s="13">
        <v>199</v>
      </c>
      <c r="D619" s="13">
        <v>95</v>
      </c>
      <c r="E619" s="13">
        <v>104</v>
      </c>
    </row>
    <row r="620" spans="1:5" x14ac:dyDescent="0.25">
      <c r="A620" s="11">
        <v>2009</v>
      </c>
      <c r="B620" s="11" t="s">
        <v>250</v>
      </c>
      <c r="C620" s="13">
        <v>1425</v>
      </c>
      <c r="D620" s="13">
        <v>714</v>
      </c>
      <c r="E620" s="13">
        <v>711</v>
      </c>
    </row>
    <row r="621" spans="1:5" x14ac:dyDescent="0.25">
      <c r="A621" s="11">
        <v>2009</v>
      </c>
      <c r="B621" s="11" t="s">
        <v>251</v>
      </c>
      <c r="C621" s="13">
        <v>1869</v>
      </c>
      <c r="D621" s="13">
        <v>906</v>
      </c>
      <c r="E621" s="13">
        <v>963</v>
      </c>
    </row>
    <row r="622" spans="1:5" x14ac:dyDescent="0.25">
      <c r="A622" s="11">
        <v>2009</v>
      </c>
      <c r="B622" s="11" t="s">
        <v>252</v>
      </c>
      <c r="C622" s="13">
        <v>1159</v>
      </c>
      <c r="D622" s="13">
        <v>590</v>
      </c>
      <c r="E622" s="13">
        <v>569</v>
      </c>
    </row>
    <row r="623" spans="1:5" x14ac:dyDescent="0.25">
      <c r="A623" s="11">
        <v>2009</v>
      </c>
      <c r="B623" s="11" t="s">
        <v>253</v>
      </c>
      <c r="C623" s="13">
        <v>273</v>
      </c>
      <c r="D623" s="13">
        <v>131</v>
      </c>
      <c r="E623" s="13">
        <v>142</v>
      </c>
    </row>
    <row r="624" spans="1:5" x14ac:dyDescent="0.25">
      <c r="A624" s="11">
        <v>2009</v>
      </c>
      <c r="B624" s="11" t="s">
        <v>254</v>
      </c>
      <c r="C624" s="13">
        <v>1054</v>
      </c>
      <c r="D624" s="13">
        <v>506</v>
      </c>
      <c r="E624" s="13">
        <v>548</v>
      </c>
    </row>
    <row r="625" spans="1:5" x14ac:dyDescent="0.25">
      <c r="A625" s="11">
        <v>2009</v>
      </c>
      <c r="B625" s="11" t="s">
        <v>255</v>
      </c>
      <c r="C625" s="13">
        <v>3467</v>
      </c>
      <c r="D625" s="13">
        <v>1729</v>
      </c>
      <c r="E625" s="13">
        <v>1738</v>
      </c>
    </row>
    <row r="626" spans="1:5" x14ac:dyDescent="0.25">
      <c r="A626" s="11">
        <v>2009</v>
      </c>
      <c r="B626" s="11" t="s">
        <v>256</v>
      </c>
      <c r="C626" s="13">
        <v>863</v>
      </c>
      <c r="D626" s="13">
        <v>431</v>
      </c>
      <c r="E626" s="13">
        <v>432</v>
      </c>
    </row>
    <row r="627" spans="1:5" x14ac:dyDescent="0.25">
      <c r="A627" s="11">
        <v>2009</v>
      </c>
      <c r="B627" s="11" t="s">
        <v>257</v>
      </c>
      <c r="C627" s="13">
        <v>1082</v>
      </c>
      <c r="D627" s="13">
        <v>511</v>
      </c>
      <c r="E627" s="13">
        <v>571</v>
      </c>
    </row>
    <row r="628" spans="1:5" x14ac:dyDescent="0.25">
      <c r="A628" s="11">
        <v>2009</v>
      </c>
      <c r="B628" s="11" t="s">
        <v>258</v>
      </c>
      <c r="C628" s="13">
        <v>2234</v>
      </c>
      <c r="D628" s="13">
        <v>1071</v>
      </c>
      <c r="E628" s="13">
        <v>1163</v>
      </c>
    </row>
    <row r="629" spans="1:5" x14ac:dyDescent="0.25">
      <c r="A629" s="11">
        <v>2010</v>
      </c>
      <c r="B629" s="11" t="s">
        <v>11</v>
      </c>
      <c r="C629" s="13">
        <v>58791</v>
      </c>
      <c r="D629" s="13">
        <v>28919</v>
      </c>
      <c r="E629" s="13">
        <v>29872</v>
      </c>
    </row>
    <row r="630" spans="1:5" x14ac:dyDescent="0.25">
      <c r="A630" s="11">
        <v>2010</v>
      </c>
      <c r="B630" s="11" t="s">
        <v>227</v>
      </c>
      <c r="C630" s="13">
        <v>2599</v>
      </c>
      <c r="D630" s="13">
        <v>1278</v>
      </c>
      <c r="E630" s="13">
        <v>1321</v>
      </c>
    </row>
    <row r="631" spans="1:5" x14ac:dyDescent="0.25">
      <c r="A631" s="11">
        <v>2010</v>
      </c>
      <c r="B631" s="11" t="s">
        <v>228</v>
      </c>
      <c r="C631" s="13">
        <v>2727</v>
      </c>
      <c r="D631" s="13">
        <v>1366</v>
      </c>
      <c r="E631" s="13">
        <v>1361</v>
      </c>
    </row>
    <row r="632" spans="1:5" x14ac:dyDescent="0.25">
      <c r="A632" s="11">
        <v>2010</v>
      </c>
      <c r="B632" s="11" t="s">
        <v>229</v>
      </c>
      <c r="C632" s="13">
        <v>1096</v>
      </c>
      <c r="D632" s="13">
        <v>556</v>
      </c>
      <c r="E632" s="13">
        <v>540</v>
      </c>
    </row>
    <row r="633" spans="1:5" x14ac:dyDescent="0.25">
      <c r="A633" s="11">
        <v>2010</v>
      </c>
      <c r="B633" s="11" t="s">
        <v>230</v>
      </c>
      <c r="C633" s="13">
        <v>763</v>
      </c>
      <c r="D633" s="13">
        <v>371</v>
      </c>
      <c r="E633" s="13">
        <v>392</v>
      </c>
    </row>
    <row r="634" spans="1:5" x14ac:dyDescent="0.25">
      <c r="A634" s="11">
        <v>2010</v>
      </c>
      <c r="B634" s="11" t="s">
        <v>231</v>
      </c>
      <c r="C634" s="13">
        <v>5552</v>
      </c>
      <c r="D634" s="13">
        <v>2792</v>
      </c>
      <c r="E634" s="13">
        <v>2760</v>
      </c>
    </row>
    <row r="635" spans="1:5" x14ac:dyDescent="0.25">
      <c r="A635" s="11">
        <v>2010</v>
      </c>
      <c r="B635" s="11" t="s">
        <v>232</v>
      </c>
      <c r="C635" s="13">
        <v>620</v>
      </c>
      <c r="D635" s="13">
        <v>333</v>
      </c>
      <c r="E635" s="13">
        <v>287</v>
      </c>
    </row>
    <row r="636" spans="1:5" x14ac:dyDescent="0.25">
      <c r="A636" s="11">
        <v>2010</v>
      </c>
      <c r="B636" s="11" t="s">
        <v>233</v>
      </c>
      <c r="C636" s="13">
        <v>1445</v>
      </c>
      <c r="D636" s="13">
        <v>697</v>
      </c>
      <c r="E636" s="13">
        <v>748</v>
      </c>
    </row>
    <row r="637" spans="1:5" x14ac:dyDescent="0.25">
      <c r="A637" s="11">
        <v>2010</v>
      </c>
      <c r="B637" s="11" t="s">
        <v>234</v>
      </c>
      <c r="C637" s="13">
        <v>1745</v>
      </c>
      <c r="D637" s="13">
        <v>834</v>
      </c>
      <c r="E637" s="13">
        <v>911</v>
      </c>
    </row>
    <row r="638" spans="1:5" x14ac:dyDescent="0.25">
      <c r="A638" s="11">
        <v>2010</v>
      </c>
      <c r="B638" s="11" t="s">
        <v>235</v>
      </c>
      <c r="C638" s="13">
        <v>1334</v>
      </c>
      <c r="D638" s="13">
        <v>653</v>
      </c>
      <c r="E638" s="13">
        <v>681</v>
      </c>
    </row>
    <row r="639" spans="1:5" x14ac:dyDescent="0.25">
      <c r="A639" s="11">
        <v>2010</v>
      </c>
      <c r="B639" s="11" t="s">
        <v>236</v>
      </c>
      <c r="C639" s="13">
        <v>924</v>
      </c>
      <c r="D639" s="13">
        <v>457</v>
      </c>
      <c r="E639" s="13">
        <v>467</v>
      </c>
    </row>
    <row r="640" spans="1:5" x14ac:dyDescent="0.25">
      <c r="A640" s="11">
        <v>2010</v>
      </c>
      <c r="B640" s="11" t="s">
        <v>237</v>
      </c>
      <c r="C640" s="13">
        <v>1123</v>
      </c>
      <c r="D640" s="13">
        <v>560</v>
      </c>
      <c r="E640" s="13">
        <v>563</v>
      </c>
    </row>
    <row r="641" spans="1:5" x14ac:dyDescent="0.25">
      <c r="A641" s="11">
        <v>2010</v>
      </c>
      <c r="B641" s="11" t="s">
        <v>238</v>
      </c>
      <c r="C641" s="13">
        <v>872</v>
      </c>
      <c r="D641" s="13">
        <v>430</v>
      </c>
      <c r="E641" s="13">
        <v>442</v>
      </c>
    </row>
    <row r="642" spans="1:5" x14ac:dyDescent="0.25">
      <c r="A642" s="11">
        <v>2010</v>
      </c>
      <c r="B642" s="11" t="s">
        <v>239</v>
      </c>
      <c r="C642" s="13">
        <v>1874</v>
      </c>
      <c r="D642" s="13">
        <v>925</v>
      </c>
      <c r="E642" s="13">
        <v>949</v>
      </c>
    </row>
    <row r="643" spans="1:5" x14ac:dyDescent="0.25">
      <c r="A643" s="11">
        <v>2010</v>
      </c>
      <c r="B643" s="11" t="s">
        <v>240</v>
      </c>
      <c r="C643" s="13">
        <v>4172</v>
      </c>
      <c r="D643" s="13">
        <v>1981</v>
      </c>
      <c r="E643" s="13">
        <v>2191</v>
      </c>
    </row>
    <row r="644" spans="1:5" x14ac:dyDescent="0.25">
      <c r="A644" s="11">
        <v>2010</v>
      </c>
      <c r="B644" s="11" t="s">
        <v>241</v>
      </c>
      <c r="C644" s="13">
        <v>7565</v>
      </c>
      <c r="D644" s="13">
        <v>3731</v>
      </c>
      <c r="E644" s="13">
        <v>3834</v>
      </c>
    </row>
    <row r="645" spans="1:5" x14ac:dyDescent="0.25">
      <c r="A645" s="11">
        <v>2010</v>
      </c>
      <c r="B645" s="11" t="s">
        <v>242</v>
      </c>
      <c r="C645" s="13">
        <v>2467</v>
      </c>
      <c r="D645" s="13">
        <v>1217</v>
      </c>
      <c r="E645" s="13">
        <v>1250</v>
      </c>
    </row>
    <row r="646" spans="1:5" x14ac:dyDescent="0.25">
      <c r="A646" s="11">
        <v>2010</v>
      </c>
      <c r="B646" s="11" t="s">
        <v>243</v>
      </c>
      <c r="C646" s="13">
        <v>791</v>
      </c>
      <c r="D646" s="13">
        <v>380</v>
      </c>
      <c r="E646" s="13">
        <v>411</v>
      </c>
    </row>
    <row r="647" spans="1:5" x14ac:dyDescent="0.25">
      <c r="A647" s="11">
        <v>2010</v>
      </c>
      <c r="B647" s="11" t="s">
        <v>244</v>
      </c>
      <c r="C647" s="13">
        <v>994</v>
      </c>
      <c r="D647" s="13">
        <v>499</v>
      </c>
      <c r="E647" s="13">
        <v>495</v>
      </c>
    </row>
    <row r="648" spans="1:5" x14ac:dyDescent="0.25">
      <c r="A648" s="11">
        <v>2010</v>
      </c>
      <c r="B648" s="11" t="s">
        <v>245</v>
      </c>
      <c r="C648" s="13">
        <v>928</v>
      </c>
      <c r="D648" s="13">
        <v>452</v>
      </c>
      <c r="E648" s="13">
        <v>476</v>
      </c>
    </row>
    <row r="649" spans="1:5" x14ac:dyDescent="0.25">
      <c r="A649" s="11">
        <v>2010</v>
      </c>
      <c r="B649" s="11" t="s">
        <v>246</v>
      </c>
      <c r="C649" s="13">
        <v>235</v>
      </c>
      <c r="D649" s="13">
        <v>104</v>
      </c>
      <c r="E649" s="13">
        <v>131</v>
      </c>
    </row>
    <row r="650" spans="1:5" x14ac:dyDescent="0.25">
      <c r="A650" s="11">
        <v>2010</v>
      </c>
      <c r="B650" s="11" t="s">
        <v>247</v>
      </c>
      <c r="C650" s="13">
        <v>1450</v>
      </c>
      <c r="D650" s="13">
        <v>721</v>
      </c>
      <c r="E650" s="13">
        <v>729</v>
      </c>
    </row>
    <row r="651" spans="1:5" x14ac:dyDescent="0.25">
      <c r="A651" s="11">
        <v>2010</v>
      </c>
      <c r="B651" s="11" t="s">
        <v>248</v>
      </c>
      <c r="C651" s="13">
        <v>3929</v>
      </c>
      <c r="D651" s="13">
        <v>1943</v>
      </c>
      <c r="E651" s="13">
        <v>1986</v>
      </c>
    </row>
    <row r="652" spans="1:5" x14ac:dyDescent="0.25">
      <c r="A652" s="11">
        <v>2010</v>
      </c>
      <c r="B652" s="11" t="s">
        <v>249</v>
      </c>
      <c r="C652" s="13">
        <v>197</v>
      </c>
      <c r="D652" s="13">
        <v>86</v>
      </c>
      <c r="E652" s="13">
        <v>111</v>
      </c>
    </row>
    <row r="653" spans="1:5" x14ac:dyDescent="0.25">
      <c r="A653" s="11">
        <v>2010</v>
      </c>
      <c r="B653" s="11" t="s">
        <v>250</v>
      </c>
      <c r="C653" s="13">
        <v>1466</v>
      </c>
      <c r="D653" s="13">
        <v>729</v>
      </c>
      <c r="E653" s="13">
        <v>737</v>
      </c>
    </row>
    <row r="654" spans="1:5" x14ac:dyDescent="0.25">
      <c r="A654" s="11">
        <v>2010</v>
      </c>
      <c r="B654" s="11" t="s">
        <v>251</v>
      </c>
      <c r="C654" s="13">
        <v>1995</v>
      </c>
      <c r="D654" s="13">
        <v>980</v>
      </c>
      <c r="E654" s="13">
        <v>1015</v>
      </c>
    </row>
    <row r="655" spans="1:5" x14ac:dyDescent="0.25">
      <c r="A655" s="11">
        <v>2010</v>
      </c>
      <c r="B655" s="11" t="s">
        <v>252</v>
      </c>
      <c r="C655" s="13">
        <v>1161</v>
      </c>
      <c r="D655" s="13">
        <v>565</v>
      </c>
      <c r="E655" s="13">
        <v>596</v>
      </c>
    </row>
    <row r="656" spans="1:5" x14ac:dyDescent="0.25">
      <c r="A656" s="11">
        <v>2010</v>
      </c>
      <c r="B656" s="11" t="s">
        <v>253</v>
      </c>
      <c r="C656" s="13">
        <v>266</v>
      </c>
      <c r="D656" s="13">
        <v>122</v>
      </c>
      <c r="E656" s="13">
        <v>144</v>
      </c>
    </row>
    <row r="657" spans="1:5" x14ac:dyDescent="0.25">
      <c r="A657" s="11">
        <v>2010</v>
      </c>
      <c r="B657" s="11" t="s">
        <v>254</v>
      </c>
      <c r="C657" s="13">
        <v>1035</v>
      </c>
      <c r="D657" s="13">
        <v>516</v>
      </c>
      <c r="E657" s="13">
        <v>519</v>
      </c>
    </row>
    <row r="658" spans="1:5" x14ac:dyDescent="0.25">
      <c r="A658" s="11">
        <v>2010</v>
      </c>
      <c r="B658" s="11" t="s">
        <v>255</v>
      </c>
      <c r="C658" s="13">
        <v>3418</v>
      </c>
      <c r="D658" s="13">
        <v>1687</v>
      </c>
      <c r="E658" s="13">
        <v>1731</v>
      </c>
    </row>
    <row r="659" spans="1:5" x14ac:dyDescent="0.25">
      <c r="A659" s="11">
        <v>2010</v>
      </c>
      <c r="B659" s="11" t="s">
        <v>256</v>
      </c>
      <c r="C659" s="13">
        <v>836</v>
      </c>
      <c r="D659" s="13">
        <v>400</v>
      </c>
      <c r="E659" s="13">
        <v>436</v>
      </c>
    </row>
    <row r="660" spans="1:5" x14ac:dyDescent="0.25">
      <c r="A660" s="11">
        <v>2010</v>
      </c>
      <c r="B660" s="11" t="s">
        <v>257</v>
      </c>
      <c r="C660" s="13">
        <v>1044</v>
      </c>
      <c r="D660" s="13">
        <v>497</v>
      </c>
      <c r="E660" s="13">
        <v>547</v>
      </c>
    </row>
    <row r="661" spans="1:5" x14ac:dyDescent="0.25">
      <c r="A661" s="11">
        <v>2010</v>
      </c>
      <c r="B661" s="11" t="s">
        <v>258</v>
      </c>
      <c r="C661" s="13">
        <v>2168</v>
      </c>
      <c r="D661" s="13">
        <v>1057</v>
      </c>
      <c r="E661" s="13">
        <v>1111</v>
      </c>
    </row>
    <row r="662" spans="1:5" x14ac:dyDescent="0.25">
      <c r="A662" s="11">
        <v>2011</v>
      </c>
      <c r="B662" s="11" t="s">
        <v>11</v>
      </c>
      <c r="C662" s="13">
        <v>58590</v>
      </c>
      <c r="D662" s="13">
        <v>28479</v>
      </c>
      <c r="E662" s="13">
        <v>30111</v>
      </c>
    </row>
    <row r="663" spans="1:5" x14ac:dyDescent="0.25">
      <c r="A663" s="11">
        <v>2011</v>
      </c>
      <c r="B663" s="11" t="s">
        <v>227</v>
      </c>
      <c r="C663" s="13">
        <v>2608</v>
      </c>
      <c r="D663" s="13">
        <v>1253</v>
      </c>
      <c r="E663" s="13">
        <v>1355</v>
      </c>
    </row>
    <row r="664" spans="1:5" x14ac:dyDescent="0.25">
      <c r="A664" s="11">
        <v>2011</v>
      </c>
      <c r="B664" s="11" t="s">
        <v>228</v>
      </c>
      <c r="C664" s="13">
        <v>2695</v>
      </c>
      <c r="D664" s="13">
        <v>1292</v>
      </c>
      <c r="E664" s="13">
        <v>1403</v>
      </c>
    </row>
    <row r="665" spans="1:5" x14ac:dyDescent="0.25">
      <c r="A665" s="11">
        <v>2011</v>
      </c>
      <c r="B665" s="11" t="s">
        <v>229</v>
      </c>
      <c r="C665" s="13">
        <v>1155</v>
      </c>
      <c r="D665" s="13">
        <v>586</v>
      </c>
      <c r="E665" s="13">
        <v>569</v>
      </c>
    </row>
    <row r="666" spans="1:5" x14ac:dyDescent="0.25">
      <c r="A666" s="11">
        <v>2011</v>
      </c>
      <c r="B666" s="11" t="s">
        <v>230</v>
      </c>
      <c r="C666" s="13">
        <v>745</v>
      </c>
      <c r="D666" s="13">
        <v>367</v>
      </c>
      <c r="E666" s="13">
        <v>378</v>
      </c>
    </row>
    <row r="667" spans="1:5" x14ac:dyDescent="0.25">
      <c r="A667" s="11">
        <v>2011</v>
      </c>
      <c r="B667" s="11" t="s">
        <v>231</v>
      </c>
      <c r="C667" s="13">
        <v>5560</v>
      </c>
      <c r="D667" s="13">
        <v>2733</v>
      </c>
      <c r="E667" s="13">
        <v>2827</v>
      </c>
    </row>
    <row r="668" spans="1:5" x14ac:dyDescent="0.25">
      <c r="A668" s="11">
        <v>2011</v>
      </c>
      <c r="B668" s="11" t="s">
        <v>232</v>
      </c>
      <c r="C668" s="13">
        <v>564</v>
      </c>
      <c r="D668" s="13">
        <v>264</v>
      </c>
      <c r="E668" s="13">
        <v>300</v>
      </c>
    </row>
    <row r="669" spans="1:5" x14ac:dyDescent="0.25">
      <c r="A669" s="11">
        <v>2011</v>
      </c>
      <c r="B669" s="11" t="s">
        <v>233</v>
      </c>
      <c r="C669" s="13">
        <v>1396</v>
      </c>
      <c r="D669" s="13">
        <v>697</v>
      </c>
      <c r="E669" s="13">
        <v>699</v>
      </c>
    </row>
    <row r="670" spans="1:5" x14ac:dyDescent="0.25">
      <c r="A670" s="11">
        <v>2011</v>
      </c>
      <c r="B670" s="11" t="s">
        <v>234</v>
      </c>
      <c r="C670" s="13">
        <v>1765</v>
      </c>
      <c r="D670" s="13">
        <v>889</v>
      </c>
      <c r="E670" s="13">
        <v>876</v>
      </c>
    </row>
    <row r="671" spans="1:5" x14ac:dyDescent="0.25">
      <c r="A671" s="11">
        <v>2011</v>
      </c>
      <c r="B671" s="11" t="s">
        <v>235</v>
      </c>
      <c r="C671" s="13">
        <v>1362</v>
      </c>
      <c r="D671" s="13">
        <v>667</v>
      </c>
      <c r="E671" s="13">
        <v>695</v>
      </c>
    </row>
    <row r="672" spans="1:5" x14ac:dyDescent="0.25">
      <c r="A672" s="11">
        <v>2011</v>
      </c>
      <c r="B672" s="11" t="s">
        <v>236</v>
      </c>
      <c r="C672" s="13">
        <v>924</v>
      </c>
      <c r="D672" s="13">
        <v>426</v>
      </c>
      <c r="E672" s="13">
        <v>498</v>
      </c>
    </row>
    <row r="673" spans="1:5" x14ac:dyDescent="0.25">
      <c r="A673" s="11">
        <v>2011</v>
      </c>
      <c r="B673" s="11" t="s">
        <v>237</v>
      </c>
      <c r="C673" s="13">
        <v>1126</v>
      </c>
      <c r="D673" s="13">
        <v>566</v>
      </c>
      <c r="E673" s="13">
        <v>560</v>
      </c>
    </row>
    <row r="674" spans="1:5" x14ac:dyDescent="0.25">
      <c r="A674" s="11">
        <v>2011</v>
      </c>
      <c r="B674" s="11" t="s">
        <v>238</v>
      </c>
      <c r="C674" s="13">
        <v>807</v>
      </c>
      <c r="D674" s="13">
        <v>384</v>
      </c>
      <c r="E674" s="13">
        <v>423</v>
      </c>
    </row>
    <row r="675" spans="1:5" x14ac:dyDescent="0.25">
      <c r="A675" s="11">
        <v>2011</v>
      </c>
      <c r="B675" s="11" t="s">
        <v>239</v>
      </c>
      <c r="C675" s="13">
        <v>1757</v>
      </c>
      <c r="D675" s="13">
        <v>854</v>
      </c>
      <c r="E675" s="13">
        <v>903</v>
      </c>
    </row>
    <row r="676" spans="1:5" x14ac:dyDescent="0.25">
      <c r="A676" s="11">
        <v>2011</v>
      </c>
      <c r="B676" s="11" t="s">
        <v>240</v>
      </c>
      <c r="C676" s="13">
        <v>4268</v>
      </c>
      <c r="D676" s="13">
        <v>2057</v>
      </c>
      <c r="E676" s="13">
        <v>2211</v>
      </c>
    </row>
    <row r="677" spans="1:5" x14ac:dyDescent="0.25">
      <c r="A677" s="11">
        <v>2011</v>
      </c>
      <c r="B677" s="11" t="s">
        <v>241</v>
      </c>
      <c r="C677" s="13">
        <v>7631</v>
      </c>
      <c r="D677" s="13">
        <v>3744</v>
      </c>
      <c r="E677" s="13">
        <v>3887</v>
      </c>
    </row>
    <row r="678" spans="1:5" x14ac:dyDescent="0.25">
      <c r="A678" s="11">
        <v>2011</v>
      </c>
      <c r="B678" s="11" t="s">
        <v>242</v>
      </c>
      <c r="C678" s="13">
        <v>2345</v>
      </c>
      <c r="D678" s="13">
        <v>1141</v>
      </c>
      <c r="E678" s="13">
        <v>1204</v>
      </c>
    </row>
    <row r="679" spans="1:5" x14ac:dyDescent="0.25">
      <c r="A679" s="11">
        <v>2011</v>
      </c>
      <c r="B679" s="11" t="s">
        <v>243</v>
      </c>
      <c r="C679" s="13">
        <v>814</v>
      </c>
      <c r="D679" s="13">
        <v>377</v>
      </c>
      <c r="E679" s="13">
        <v>437</v>
      </c>
    </row>
    <row r="680" spans="1:5" x14ac:dyDescent="0.25">
      <c r="A680" s="11">
        <v>2011</v>
      </c>
      <c r="B680" s="11" t="s">
        <v>244</v>
      </c>
      <c r="C680" s="13">
        <v>979</v>
      </c>
      <c r="D680" s="13">
        <v>469</v>
      </c>
      <c r="E680" s="13">
        <v>510</v>
      </c>
    </row>
    <row r="681" spans="1:5" x14ac:dyDescent="0.25">
      <c r="A681" s="11">
        <v>2011</v>
      </c>
      <c r="B681" s="11" t="s">
        <v>245</v>
      </c>
      <c r="C681" s="13">
        <v>973</v>
      </c>
      <c r="D681" s="13">
        <v>471</v>
      </c>
      <c r="E681" s="13">
        <v>502</v>
      </c>
    </row>
    <row r="682" spans="1:5" x14ac:dyDescent="0.25">
      <c r="A682" s="11">
        <v>2011</v>
      </c>
      <c r="B682" s="11" t="s">
        <v>246</v>
      </c>
      <c r="C682" s="13">
        <v>235</v>
      </c>
      <c r="D682" s="13">
        <v>103</v>
      </c>
      <c r="E682" s="13">
        <v>132</v>
      </c>
    </row>
    <row r="683" spans="1:5" x14ac:dyDescent="0.25">
      <c r="A683" s="11">
        <v>2011</v>
      </c>
      <c r="B683" s="11" t="s">
        <v>247</v>
      </c>
      <c r="C683" s="13">
        <v>1452</v>
      </c>
      <c r="D683" s="13">
        <v>709</v>
      </c>
      <c r="E683" s="13">
        <v>743</v>
      </c>
    </row>
    <row r="684" spans="1:5" x14ac:dyDescent="0.25">
      <c r="A684" s="11">
        <v>2011</v>
      </c>
      <c r="B684" s="11" t="s">
        <v>248</v>
      </c>
      <c r="C684" s="13">
        <v>3993</v>
      </c>
      <c r="D684" s="13">
        <v>1926</v>
      </c>
      <c r="E684" s="13">
        <v>2067</v>
      </c>
    </row>
    <row r="685" spans="1:5" x14ac:dyDescent="0.25">
      <c r="A685" s="11">
        <v>2011</v>
      </c>
      <c r="B685" s="11" t="s">
        <v>249</v>
      </c>
      <c r="C685" s="13">
        <v>205</v>
      </c>
      <c r="D685" s="13">
        <v>107</v>
      </c>
      <c r="E685" s="13">
        <v>98</v>
      </c>
    </row>
    <row r="686" spans="1:5" x14ac:dyDescent="0.25">
      <c r="A686" s="11">
        <v>2011</v>
      </c>
      <c r="B686" s="11" t="s">
        <v>250</v>
      </c>
      <c r="C686" s="13">
        <v>1447</v>
      </c>
      <c r="D686" s="13">
        <v>695</v>
      </c>
      <c r="E686" s="13">
        <v>752</v>
      </c>
    </row>
    <row r="687" spans="1:5" x14ac:dyDescent="0.25">
      <c r="A687" s="11">
        <v>2011</v>
      </c>
      <c r="B687" s="11" t="s">
        <v>251</v>
      </c>
      <c r="C687" s="13">
        <v>1828</v>
      </c>
      <c r="D687" s="13">
        <v>918</v>
      </c>
      <c r="E687" s="13">
        <v>910</v>
      </c>
    </row>
    <row r="688" spans="1:5" x14ac:dyDescent="0.25">
      <c r="A688" s="11">
        <v>2011</v>
      </c>
      <c r="B688" s="11" t="s">
        <v>252</v>
      </c>
      <c r="C688" s="13">
        <v>1108</v>
      </c>
      <c r="D688" s="13">
        <v>514</v>
      </c>
      <c r="E688" s="13">
        <v>594</v>
      </c>
    </row>
    <row r="689" spans="1:5" x14ac:dyDescent="0.25">
      <c r="A689" s="11">
        <v>2011</v>
      </c>
      <c r="B689" s="11" t="s">
        <v>253</v>
      </c>
      <c r="C689" s="13">
        <v>242</v>
      </c>
      <c r="D689" s="13">
        <v>111</v>
      </c>
      <c r="E689" s="13">
        <v>131</v>
      </c>
    </row>
    <row r="690" spans="1:5" x14ac:dyDescent="0.25">
      <c r="A690" s="11">
        <v>2011</v>
      </c>
      <c r="B690" s="11" t="s">
        <v>254</v>
      </c>
      <c r="C690" s="13">
        <v>1073</v>
      </c>
      <c r="D690" s="13">
        <v>531</v>
      </c>
      <c r="E690" s="13">
        <v>542</v>
      </c>
    </row>
    <row r="691" spans="1:5" x14ac:dyDescent="0.25">
      <c r="A691" s="11">
        <v>2011</v>
      </c>
      <c r="B691" s="11" t="s">
        <v>255</v>
      </c>
      <c r="C691" s="13">
        <v>3502</v>
      </c>
      <c r="D691" s="13">
        <v>1672</v>
      </c>
      <c r="E691" s="13">
        <v>1830</v>
      </c>
    </row>
    <row r="692" spans="1:5" x14ac:dyDescent="0.25">
      <c r="A692" s="11">
        <v>2011</v>
      </c>
      <c r="B692" s="11" t="s">
        <v>256</v>
      </c>
      <c r="C692" s="13">
        <v>833</v>
      </c>
      <c r="D692" s="13">
        <v>421</v>
      </c>
      <c r="E692" s="13">
        <v>412</v>
      </c>
    </row>
    <row r="693" spans="1:5" x14ac:dyDescent="0.25">
      <c r="A693" s="11">
        <v>2011</v>
      </c>
      <c r="B693" s="11" t="s">
        <v>257</v>
      </c>
      <c r="C693" s="13">
        <v>1064</v>
      </c>
      <c r="D693" s="13">
        <v>530</v>
      </c>
      <c r="E693" s="13">
        <v>534</v>
      </c>
    </row>
    <row r="694" spans="1:5" x14ac:dyDescent="0.25">
      <c r="A694" s="11">
        <v>2011</v>
      </c>
      <c r="B694" s="11" t="s">
        <v>258</v>
      </c>
      <c r="C694" s="13">
        <v>2134</v>
      </c>
      <c r="D694" s="13">
        <v>1005</v>
      </c>
      <c r="E694" s="13">
        <v>1129</v>
      </c>
    </row>
    <row r="695" spans="1:5" x14ac:dyDescent="0.25">
      <c r="A695" s="11">
        <v>2012</v>
      </c>
      <c r="B695" s="11" t="s">
        <v>11</v>
      </c>
      <c r="C695" s="13">
        <v>58027</v>
      </c>
      <c r="D695" s="13">
        <v>28314</v>
      </c>
      <c r="E695" s="13">
        <v>29713</v>
      </c>
    </row>
    <row r="696" spans="1:5" x14ac:dyDescent="0.25">
      <c r="A696" s="11">
        <v>2012</v>
      </c>
      <c r="B696" s="11" t="s">
        <v>227</v>
      </c>
      <c r="C696" s="13">
        <v>2688</v>
      </c>
      <c r="D696" s="13">
        <v>1334</v>
      </c>
      <c r="E696" s="13">
        <v>1354</v>
      </c>
    </row>
    <row r="697" spans="1:5" x14ac:dyDescent="0.25">
      <c r="A697" s="11">
        <v>2012</v>
      </c>
      <c r="B697" s="11" t="s">
        <v>228</v>
      </c>
      <c r="C697" s="13">
        <v>2867</v>
      </c>
      <c r="D697" s="13">
        <v>1425</v>
      </c>
      <c r="E697" s="13">
        <v>1442</v>
      </c>
    </row>
    <row r="698" spans="1:5" x14ac:dyDescent="0.25">
      <c r="A698" s="11">
        <v>2012</v>
      </c>
      <c r="B698" s="11" t="s">
        <v>229</v>
      </c>
      <c r="C698" s="13">
        <v>1156</v>
      </c>
      <c r="D698" s="13">
        <v>556</v>
      </c>
      <c r="E698" s="13">
        <v>600</v>
      </c>
    </row>
    <row r="699" spans="1:5" x14ac:dyDescent="0.25">
      <c r="A699" s="11">
        <v>2012</v>
      </c>
      <c r="B699" s="11" t="s">
        <v>230</v>
      </c>
      <c r="C699" s="13">
        <v>765</v>
      </c>
      <c r="D699" s="13">
        <v>383</v>
      </c>
      <c r="E699" s="13">
        <v>382</v>
      </c>
    </row>
    <row r="700" spans="1:5" x14ac:dyDescent="0.25">
      <c r="A700" s="11">
        <v>2012</v>
      </c>
      <c r="B700" s="11" t="s">
        <v>231</v>
      </c>
      <c r="C700" s="13">
        <v>5606</v>
      </c>
      <c r="D700" s="13">
        <v>2702</v>
      </c>
      <c r="E700" s="13">
        <v>2904</v>
      </c>
    </row>
    <row r="701" spans="1:5" x14ac:dyDescent="0.25">
      <c r="A701" s="11">
        <v>2012</v>
      </c>
      <c r="B701" s="11" t="s">
        <v>232</v>
      </c>
      <c r="C701" s="13">
        <v>627</v>
      </c>
      <c r="D701" s="13">
        <v>292</v>
      </c>
      <c r="E701" s="13">
        <v>335</v>
      </c>
    </row>
    <row r="702" spans="1:5" x14ac:dyDescent="0.25">
      <c r="A702" s="11">
        <v>2012</v>
      </c>
      <c r="B702" s="11" t="s">
        <v>233</v>
      </c>
      <c r="C702" s="13">
        <v>1390</v>
      </c>
      <c r="D702" s="13">
        <v>656</v>
      </c>
      <c r="E702" s="13">
        <v>734</v>
      </c>
    </row>
    <row r="703" spans="1:5" x14ac:dyDescent="0.25">
      <c r="A703" s="11">
        <v>2012</v>
      </c>
      <c r="B703" s="11" t="s">
        <v>234</v>
      </c>
      <c r="C703" s="13">
        <v>1718</v>
      </c>
      <c r="D703" s="13">
        <v>839</v>
      </c>
      <c r="E703" s="13">
        <v>879</v>
      </c>
    </row>
    <row r="704" spans="1:5" x14ac:dyDescent="0.25">
      <c r="A704" s="11">
        <v>2012</v>
      </c>
      <c r="B704" s="11" t="s">
        <v>235</v>
      </c>
      <c r="C704" s="13">
        <v>1358</v>
      </c>
      <c r="D704" s="13">
        <v>636</v>
      </c>
      <c r="E704" s="13">
        <v>722</v>
      </c>
    </row>
    <row r="705" spans="1:5" x14ac:dyDescent="0.25">
      <c r="A705" s="11">
        <v>2012</v>
      </c>
      <c r="B705" s="11" t="s">
        <v>236</v>
      </c>
      <c r="C705" s="13">
        <v>894</v>
      </c>
      <c r="D705" s="13">
        <v>442</v>
      </c>
      <c r="E705" s="13">
        <v>452</v>
      </c>
    </row>
    <row r="706" spans="1:5" x14ac:dyDescent="0.25">
      <c r="A706" s="11">
        <v>2012</v>
      </c>
      <c r="B706" s="11" t="s">
        <v>237</v>
      </c>
      <c r="C706" s="13">
        <v>1079</v>
      </c>
      <c r="D706" s="13">
        <v>525</v>
      </c>
      <c r="E706" s="13">
        <v>554</v>
      </c>
    </row>
    <row r="707" spans="1:5" x14ac:dyDescent="0.25">
      <c r="A707" s="11">
        <v>2012</v>
      </c>
      <c r="B707" s="11" t="s">
        <v>238</v>
      </c>
      <c r="C707" s="13">
        <v>881</v>
      </c>
      <c r="D707" s="13">
        <v>411</v>
      </c>
      <c r="E707" s="13">
        <v>470</v>
      </c>
    </row>
    <row r="708" spans="1:5" x14ac:dyDescent="0.25">
      <c r="A708" s="11">
        <v>2012</v>
      </c>
      <c r="B708" s="11" t="s">
        <v>239</v>
      </c>
      <c r="C708" s="13">
        <v>1806</v>
      </c>
      <c r="D708" s="13">
        <v>863</v>
      </c>
      <c r="E708" s="13">
        <v>943</v>
      </c>
    </row>
    <row r="709" spans="1:5" x14ac:dyDescent="0.25">
      <c r="A709" s="11">
        <v>2012</v>
      </c>
      <c r="B709" s="11" t="s">
        <v>240</v>
      </c>
      <c r="C709" s="13">
        <v>4019</v>
      </c>
      <c r="D709" s="13">
        <v>1893</v>
      </c>
      <c r="E709" s="13">
        <v>2126</v>
      </c>
    </row>
    <row r="710" spans="1:5" x14ac:dyDescent="0.25">
      <c r="A710" s="11">
        <v>2012</v>
      </c>
      <c r="B710" s="11" t="s">
        <v>241</v>
      </c>
      <c r="C710" s="13">
        <v>7543</v>
      </c>
      <c r="D710" s="13">
        <v>3762</v>
      </c>
      <c r="E710" s="13">
        <v>3781</v>
      </c>
    </row>
    <row r="711" spans="1:5" x14ac:dyDescent="0.25">
      <c r="A711" s="11">
        <v>2012</v>
      </c>
      <c r="B711" s="11" t="s">
        <v>242</v>
      </c>
      <c r="C711" s="13">
        <v>2380</v>
      </c>
      <c r="D711" s="13">
        <v>1164</v>
      </c>
      <c r="E711" s="13">
        <v>1216</v>
      </c>
    </row>
    <row r="712" spans="1:5" x14ac:dyDescent="0.25">
      <c r="A712" s="11">
        <v>2012</v>
      </c>
      <c r="B712" s="11" t="s">
        <v>243</v>
      </c>
      <c r="C712" s="13">
        <v>766</v>
      </c>
      <c r="D712" s="13">
        <v>364</v>
      </c>
      <c r="E712" s="13">
        <v>402</v>
      </c>
    </row>
    <row r="713" spans="1:5" x14ac:dyDescent="0.25">
      <c r="A713" s="11">
        <v>2012</v>
      </c>
      <c r="B713" s="11" t="s">
        <v>244</v>
      </c>
      <c r="C713" s="13">
        <v>1060</v>
      </c>
      <c r="D713" s="13">
        <v>533</v>
      </c>
      <c r="E713" s="13">
        <v>527</v>
      </c>
    </row>
    <row r="714" spans="1:5" x14ac:dyDescent="0.25">
      <c r="A714" s="11">
        <v>2012</v>
      </c>
      <c r="B714" s="11" t="s">
        <v>245</v>
      </c>
      <c r="C714" s="13">
        <v>915</v>
      </c>
      <c r="D714" s="13">
        <v>459</v>
      </c>
      <c r="E714" s="13">
        <v>456</v>
      </c>
    </row>
    <row r="715" spans="1:5" x14ac:dyDescent="0.25">
      <c r="A715" s="11">
        <v>2012</v>
      </c>
      <c r="B715" s="11" t="s">
        <v>246</v>
      </c>
      <c r="C715" s="13">
        <v>237</v>
      </c>
      <c r="D715" s="13">
        <v>113</v>
      </c>
      <c r="E715" s="13">
        <v>124</v>
      </c>
    </row>
    <row r="716" spans="1:5" x14ac:dyDescent="0.25">
      <c r="A716" s="11">
        <v>2012</v>
      </c>
      <c r="B716" s="11" t="s">
        <v>247</v>
      </c>
      <c r="C716" s="13">
        <v>1346</v>
      </c>
      <c r="D716" s="13">
        <v>670</v>
      </c>
      <c r="E716" s="13">
        <v>676</v>
      </c>
    </row>
    <row r="717" spans="1:5" x14ac:dyDescent="0.25">
      <c r="A717" s="11">
        <v>2012</v>
      </c>
      <c r="B717" s="11" t="s">
        <v>248</v>
      </c>
      <c r="C717" s="13">
        <v>3740</v>
      </c>
      <c r="D717" s="13">
        <v>1846</v>
      </c>
      <c r="E717" s="13">
        <v>1894</v>
      </c>
    </row>
    <row r="718" spans="1:5" x14ac:dyDescent="0.25">
      <c r="A718" s="11">
        <v>2012</v>
      </c>
      <c r="B718" s="11" t="s">
        <v>249</v>
      </c>
      <c r="C718" s="13">
        <v>201</v>
      </c>
      <c r="D718" s="13">
        <v>81</v>
      </c>
      <c r="E718" s="13">
        <v>120</v>
      </c>
    </row>
    <row r="719" spans="1:5" x14ac:dyDescent="0.25">
      <c r="A719" s="11">
        <v>2012</v>
      </c>
      <c r="B719" s="11" t="s">
        <v>250</v>
      </c>
      <c r="C719" s="13">
        <v>1277</v>
      </c>
      <c r="D719" s="13">
        <v>644</v>
      </c>
      <c r="E719" s="13">
        <v>633</v>
      </c>
    </row>
    <row r="720" spans="1:5" x14ac:dyDescent="0.25">
      <c r="A720" s="11">
        <v>2012</v>
      </c>
      <c r="B720" s="11" t="s">
        <v>251</v>
      </c>
      <c r="C720" s="13">
        <v>1960</v>
      </c>
      <c r="D720" s="13">
        <v>939</v>
      </c>
      <c r="E720" s="13">
        <v>1021</v>
      </c>
    </row>
    <row r="721" spans="1:5" x14ac:dyDescent="0.25">
      <c r="A721" s="11">
        <v>2012</v>
      </c>
      <c r="B721" s="11" t="s">
        <v>252</v>
      </c>
      <c r="C721" s="13">
        <v>1140</v>
      </c>
      <c r="D721" s="13">
        <v>560</v>
      </c>
      <c r="E721" s="13">
        <v>580</v>
      </c>
    </row>
    <row r="722" spans="1:5" x14ac:dyDescent="0.25">
      <c r="A722" s="11">
        <v>2012</v>
      </c>
      <c r="B722" s="11" t="s">
        <v>253</v>
      </c>
      <c r="C722" s="13">
        <v>276</v>
      </c>
      <c r="D722" s="13">
        <v>124</v>
      </c>
      <c r="E722" s="13">
        <v>152</v>
      </c>
    </row>
    <row r="723" spans="1:5" x14ac:dyDescent="0.25">
      <c r="A723" s="11">
        <v>2012</v>
      </c>
      <c r="B723" s="11" t="s">
        <v>254</v>
      </c>
      <c r="C723" s="13">
        <v>997</v>
      </c>
      <c r="D723" s="13">
        <v>500</v>
      </c>
      <c r="E723" s="13">
        <v>497</v>
      </c>
    </row>
    <row r="724" spans="1:5" x14ac:dyDescent="0.25">
      <c r="A724" s="11">
        <v>2012</v>
      </c>
      <c r="B724" s="11" t="s">
        <v>255</v>
      </c>
      <c r="C724" s="13">
        <v>3375</v>
      </c>
      <c r="D724" s="13">
        <v>1633</v>
      </c>
      <c r="E724" s="13">
        <v>1742</v>
      </c>
    </row>
    <row r="725" spans="1:5" x14ac:dyDescent="0.25">
      <c r="A725" s="11">
        <v>2012</v>
      </c>
      <c r="B725" s="11" t="s">
        <v>256</v>
      </c>
      <c r="C725" s="13">
        <v>821</v>
      </c>
      <c r="D725" s="13">
        <v>422</v>
      </c>
      <c r="E725" s="13">
        <v>399</v>
      </c>
    </row>
    <row r="726" spans="1:5" x14ac:dyDescent="0.25">
      <c r="A726" s="11">
        <v>2012</v>
      </c>
      <c r="B726" s="11" t="s">
        <v>257</v>
      </c>
      <c r="C726" s="13">
        <v>1054</v>
      </c>
      <c r="D726" s="13">
        <v>504</v>
      </c>
      <c r="E726" s="13">
        <v>550</v>
      </c>
    </row>
    <row r="727" spans="1:5" x14ac:dyDescent="0.25">
      <c r="A727" s="11">
        <v>2012</v>
      </c>
      <c r="B727" s="11" t="s">
        <v>258</v>
      </c>
      <c r="C727" s="13">
        <v>2085</v>
      </c>
      <c r="D727" s="13">
        <v>1039</v>
      </c>
      <c r="E727" s="13">
        <v>1046</v>
      </c>
    </row>
    <row r="728" spans="1:5" x14ac:dyDescent="0.25">
      <c r="A728" s="11">
        <v>2013</v>
      </c>
      <c r="B728" s="11" t="s">
        <v>11</v>
      </c>
      <c r="C728" s="13">
        <v>56014</v>
      </c>
      <c r="D728" s="13">
        <v>27186</v>
      </c>
      <c r="E728" s="13">
        <v>28828</v>
      </c>
    </row>
    <row r="729" spans="1:5" x14ac:dyDescent="0.25">
      <c r="A729" s="11">
        <v>2013</v>
      </c>
      <c r="B729" s="11" t="s">
        <v>227</v>
      </c>
      <c r="C729" s="13">
        <v>2500</v>
      </c>
      <c r="D729" s="13">
        <v>1209</v>
      </c>
      <c r="E729" s="13">
        <v>1291</v>
      </c>
    </row>
    <row r="730" spans="1:5" x14ac:dyDescent="0.25">
      <c r="A730" s="11">
        <v>2013</v>
      </c>
      <c r="B730" s="11" t="s">
        <v>228</v>
      </c>
      <c r="C730" s="13">
        <v>2697</v>
      </c>
      <c r="D730" s="13">
        <v>1328</v>
      </c>
      <c r="E730" s="13">
        <v>1369</v>
      </c>
    </row>
    <row r="731" spans="1:5" x14ac:dyDescent="0.25">
      <c r="A731" s="11">
        <v>2013</v>
      </c>
      <c r="B731" s="11" t="s">
        <v>229</v>
      </c>
      <c r="C731" s="13">
        <v>1111</v>
      </c>
      <c r="D731" s="13">
        <v>554</v>
      </c>
      <c r="E731" s="13">
        <v>557</v>
      </c>
    </row>
    <row r="732" spans="1:5" x14ac:dyDescent="0.25">
      <c r="A732" s="11">
        <v>2013</v>
      </c>
      <c r="B732" s="11" t="s">
        <v>230</v>
      </c>
      <c r="C732" s="13">
        <v>709</v>
      </c>
      <c r="D732" s="13">
        <v>346</v>
      </c>
      <c r="E732" s="13">
        <v>363</v>
      </c>
    </row>
    <row r="733" spans="1:5" x14ac:dyDescent="0.25">
      <c r="A733" s="11">
        <v>2013</v>
      </c>
      <c r="B733" s="11" t="s">
        <v>231</v>
      </c>
      <c r="C733" s="13">
        <v>5486</v>
      </c>
      <c r="D733" s="13">
        <v>2630</v>
      </c>
      <c r="E733" s="13">
        <v>2856</v>
      </c>
    </row>
    <row r="734" spans="1:5" x14ac:dyDescent="0.25">
      <c r="A734" s="11">
        <v>2013</v>
      </c>
      <c r="B734" s="11" t="s">
        <v>232</v>
      </c>
      <c r="C734" s="13">
        <v>550</v>
      </c>
      <c r="D734" s="13">
        <v>263</v>
      </c>
      <c r="E734" s="13">
        <v>287</v>
      </c>
    </row>
    <row r="735" spans="1:5" x14ac:dyDescent="0.25">
      <c r="A735" s="11">
        <v>2013</v>
      </c>
      <c r="B735" s="11" t="s">
        <v>233</v>
      </c>
      <c r="C735" s="13">
        <v>1327</v>
      </c>
      <c r="D735" s="13">
        <v>633</v>
      </c>
      <c r="E735" s="13">
        <v>694</v>
      </c>
    </row>
    <row r="736" spans="1:5" x14ac:dyDescent="0.25">
      <c r="A736" s="11">
        <v>2013</v>
      </c>
      <c r="B736" s="11" t="s">
        <v>234</v>
      </c>
      <c r="C736" s="13">
        <v>1590</v>
      </c>
      <c r="D736" s="13">
        <v>770</v>
      </c>
      <c r="E736" s="13">
        <v>820</v>
      </c>
    </row>
    <row r="737" spans="1:5" x14ac:dyDescent="0.25">
      <c r="A737" s="11">
        <v>2013</v>
      </c>
      <c r="B737" s="11" t="s">
        <v>235</v>
      </c>
      <c r="C737" s="13">
        <v>1342</v>
      </c>
      <c r="D737" s="13">
        <v>652</v>
      </c>
      <c r="E737" s="13">
        <v>690</v>
      </c>
    </row>
    <row r="738" spans="1:5" x14ac:dyDescent="0.25">
      <c r="A738" s="11">
        <v>2013</v>
      </c>
      <c r="B738" s="11" t="s">
        <v>236</v>
      </c>
      <c r="C738" s="13">
        <v>925</v>
      </c>
      <c r="D738" s="13">
        <v>457</v>
      </c>
      <c r="E738" s="13">
        <v>468</v>
      </c>
    </row>
    <row r="739" spans="1:5" x14ac:dyDescent="0.25">
      <c r="A739" s="11">
        <v>2013</v>
      </c>
      <c r="B739" s="11" t="s">
        <v>237</v>
      </c>
      <c r="C739" s="13">
        <v>1057</v>
      </c>
      <c r="D739" s="13">
        <v>521</v>
      </c>
      <c r="E739" s="13">
        <v>536</v>
      </c>
    </row>
    <row r="740" spans="1:5" x14ac:dyDescent="0.25">
      <c r="A740" s="11">
        <v>2013</v>
      </c>
      <c r="B740" s="11" t="s">
        <v>238</v>
      </c>
      <c r="C740" s="13">
        <v>880</v>
      </c>
      <c r="D740" s="13">
        <v>453</v>
      </c>
      <c r="E740" s="13">
        <v>427</v>
      </c>
    </row>
    <row r="741" spans="1:5" x14ac:dyDescent="0.25">
      <c r="A741" s="11">
        <v>2013</v>
      </c>
      <c r="B741" s="11" t="s">
        <v>239</v>
      </c>
      <c r="C741" s="13">
        <v>1668</v>
      </c>
      <c r="D741" s="13">
        <v>812</v>
      </c>
      <c r="E741" s="13">
        <v>856</v>
      </c>
    </row>
    <row r="742" spans="1:5" x14ac:dyDescent="0.25">
      <c r="A742" s="11">
        <v>2013</v>
      </c>
      <c r="B742" s="11" t="s">
        <v>240</v>
      </c>
      <c r="C742" s="13">
        <v>3872</v>
      </c>
      <c r="D742" s="13">
        <v>1911</v>
      </c>
      <c r="E742" s="13">
        <v>1961</v>
      </c>
    </row>
    <row r="743" spans="1:5" x14ac:dyDescent="0.25">
      <c r="A743" s="11">
        <v>2013</v>
      </c>
      <c r="B743" s="11" t="s">
        <v>241</v>
      </c>
      <c r="C743" s="13">
        <v>7254</v>
      </c>
      <c r="D743" s="13">
        <v>3451</v>
      </c>
      <c r="E743" s="13">
        <v>3803</v>
      </c>
    </row>
    <row r="744" spans="1:5" x14ac:dyDescent="0.25">
      <c r="A744" s="11">
        <v>2013</v>
      </c>
      <c r="B744" s="11" t="s">
        <v>242</v>
      </c>
      <c r="C744" s="13">
        <v>2233</v>
      </c>
      <c r="D744" s="13">
        <v>1092</v>
      </c>
      <c r="E744" s="13">
        <v>1141</v>
      </c>
    </row>
    <row r="745" spans="1:5" x14ac:dyDescent="0.25">
      <c r="A745" s="11">
        <v>2013</v>
      </c>
      <c r="B745" s="11" t="s">
        <v>243</v>
      </c>
      <c r="C745" s="13">
        <v>754</v>
      </c>
      <c r="D745" s="13">
        <v>398</v>
      </c>
      <c r="E745" s="13">
        <v>356</v>
      </c>
    </row>
    <row r="746" spans="1:5" x14ac:dyDescent="0.25">
      <c r="A746" s="11">
        <v>2013</v>
      </c>
      <c r="B746" s="11" t="s">
        <v>244</v>
      </c>
      <c r="C746" s="13">
        <v>1016</v>
      </c>
      <c r="D746" s="13">
        <v>526</v>
      </c>
      <c r="E746" s="13">
        <v>490</v>
      </c>
    </row>
    <row r="747" spans="1:5" x14ac:dyDescent="0.25">
      <c r="A747" s="11">
        <v>2013</v>
      </c>
      <c r="B747" s="11" t="s">
        <v>245</v>
      </c>
      <c r="C747" s="13">
        <v>956</v>
      </c>
      <c r="D747" s="13">
        <v>462</v>
      </c>
      <c r="E747" s="13">
        <v>494</v>
      </c>
    </row>
    <row r="748" spans="1:5" x14ac:dyDescent="0.25">
      <c r="A748" s="11">
        <v>2013</v>
      </c>
      <c r="B748" s="11" t="s">
        <v>246</v>
      </c>
      <c r="C748" s="13">
        <v>246</v>
      </c>
      <c r="D748" s="13">
        <v>116</v>
      </c>
      <c r="E748" s="13">
        <v>130</v>
      </c>
    </row>
    <row r="749" spans="1:5" x14ac:dyDescent="0.25">
      <c r="A749" s="11">
        <v>2013</v>
      </c>
      <c r="B749" s="11" t="s">
        <v>247</v>
      </c>
      <c r="C749" s="13">
        <v>1307</v>
      </c>
      <c r="D749" s="13">
        <v>609</v>
      </c>
      <c r="E749" s="13">
        <v>698</v>
      </c>
    </row>
    <row r="750" spans="1:5" x14ac:dyDescent="0.25">
      <c r="A750" s="11">
        <v>2013</v>
      </c>
      <c r="B750" s="11" t="s">
        <v>248</v>
      </c>
      <c r="C750" s="13">
        <v>3738</v>
      </c>
      <c r="D750" s="13">
        <v>1794</v>
      </c>
      <c r="E750" s="13">
        <v>1944</v>
      </c>
    </row>
    <row r="751" spans="1:5" x14ac:dyDescent="0.25">
      <c r="A751" s="11">
        <v>2013</v>
      </c>
      <c r="B751" s="11" t="s">
        <v>249</v>
      </c>
      <c r="C751" s="13">
        <v>201</v>
      </c>
      <c r="D751" s="13">
        <v>91</v>
      </c>
      <c r="E751" s="13">
        <v>110</v>
      </c>
    </row>
    <row r="752" spans="1:5" x14ac:dyDescent="0.25">
      <c r="A752" s="11">
        <v>2013</v>
      </c>
      <c r="B752" s="11" t="s">
        <v>250</v>
      </c>
      <c r="C752" s="13">
        <v>1320</v>
      </c>
      <c r="D752" s="13">
        <v>635</v>
      </c>
      <c r="E752" s="13">
        <v>685</v>
      </c>
    </row>
    <row r="753" spans="1:5" x14ac:dyDescent="0.25">
      <c r="A753" s="11">
        <v>2013</v>
      </c>
      <c r="B753" s="11" t="s">
        <v>251</v>
      </c>
      <c r="C753" s="13">
        <v>1791</v>
      </c>
      <c r="D753" s="13">
        <v>853</v>
      </c>
      <c r="E753" s="13">
        <v>938</v>
      </c>
    </row>
    <row r="754" spans="1:5" x14ac:dyDescent="0.25">
      <c r="A754" s="11">
        <v>2013</v>
      </c>
      <c r="B754" s="11" t="s">
        <v>252</v>
      </c>
      <c r="C754" s="13">
        <v>1138</v>
      </c>
      <c r="D754" s="13">
        <v>567</v>
      </c>
      <c r="E754" s="13">
        <v>571</v>
      </c>
    </row>
    <row r="755" spans="1:5" x14ac:dyDescent="0.25">
      <c r="A755" s="11">
        <v>2013</v>
      </c>
      <c r="B755" s="11" t="s">
        <v>253</v>
      </c>
      <c r="C755" s="13">
        <v>261</v>
      </c>
      <c r="D755" s="13">
        <v>134</v>
      </c>
      <c r="E755" s="13">
        <v>127</v>
      </c>
    </row>
    <row r="756" spans="1:5" x14ac:dyDescent="0.25">
      <c r="A756" s="11">
        <v>2013</v>
      </c>
      <c r="B756" s="11" t="s">
        <v>254</v>
      </c>
      <c r="C756" s="13">
        <v>998</v>
      </c>
      <c r="D756" s="13">
        <v>444</v>
      </c>
      <c r="E756" s="13">
        <v>554</v>
      </c>
    </row>
    <row r="757" spans="1:5" x14ac:dyDescent="0.25">
      <c r="A757" s="11">
        <v>2013</v>
      </c>
      <c r="B757" s="11" t="s">
        <v>255</v>
      </c>
      <c r="C757" s="13">
        <v>3272</v>
      </c>
      <c r="D757" s="13">
        <v>1602</v>
      </c>
      <c r="E757" s="13">
        <v>1670</v>
      </c>
    </row>
    <row r="758" spans="1:5" x14ac:dyDescent="0.25">
      <c r="A758" s="11">
        <v>2013</v>
      </c>
      <c r="B758" s="11" t="s">
        <v>256</v>
      </c>
      <c r="C758" s="13">
        <v>807</v>
      </c>
      <c r="D758" s="13">
        <v>387</v>
      </c>
      <c r="E758" s="13">
        <v>420</v>
      </c>
    </row>
    <row r="759" spans="1:5" x14ac:dyDescent="0.25">
      <c r="A759" s="11">
        <v>2013</v>
      </c>
      <c r="B759" s="11" t="s">
        <v>257</v>
      </c>
      <c r="C759" s="13">
        <v>979</v>
      </c>
      <c r="D759" s="13">
        <v>481</v>
      </c>
      <c r="E759" s="13">
        <v>498</v>
      </c>
    </row>
    <row r="760" spans="1:5" x14ac:dyDescent="0.25">
      <c r="A760" s="11">
        <v>2013</v>
      </c>
      <c r="B760" s="11" t="s">
        <v>258</v>
      </c>
      <c r="C760" s="13">
        <v>2029</v>
      </c>
      <c r="D760" s="13">
        <v>1005</v>
      </c>
      <c r="E760" s="13">
        <v>1024</v>
      </c>
    </row>
    <row r="761" spans="1:5" x14ac:dyDescent="0.25">
      <c r="A761" s="11">
        <v>2014</v>
      </c>
      <c r="B761" s="11" t="s">
        <v>11</v>
      </c>
      <c r="C761" s="13">
        <v>56725</v>
      </c>
      <c r="D761" s="13">
        <v>27669</v>
      </c>
      <c r="E761" s="13">
        <v>29056</v>
      </c>
    </row>
    <row r="762" spans="1:5" x14ac:dyDescent="0.25">
      <c r="A762" s="11">
        <v>2014</v>
      </c>
      <c r="B762" s="11" t="s">
        <v>227</v>
      </c>
      <c r="C762" s="13">
        <v>2565</v>
      </c>
      <c r="D762" s="13">
        <v>1231</v>
      </c>
      <c r="E762" s="13">
        <v>1334</v>
      </c>
    </row>
    <row r="763" spans="1:5" x14ac:dyDescent="0.25">
      <c r="A763" s="11">
        <v>2014</v>
      </c>
      <c r="B763" s="11" t="s">
        <v>228</v>
      </c>
      <c r="C763" s="13">
        <v>2836</v>
      </c>
      <c r="D763" s="13">
        <v>1352</v>
      </c>
      <c r="E763" s="13">
        <v>1484</v>
      </c>
    </row>
    <row r="764" spans="1:5" x14ac:dyDescent="0.25">
      <c r="A764" s="11">
        <v>2014</v>
      </c>
      <c r="B764" s="11" t="s">
        <v>229</v>
      </c>
      <c r="C764" s="13">
        <v>1146</v>
      </c>
      <c r="D764" s="13">
        <v>536</v>
      </c>
      <c r="E764" s="13">
        <v>610</v>
      </c>
    </row>
    <row r="765" spans="1:5" x14ac:dyDescent="0.25">
      <c r="A765" s="11">
        <v>2014</v>
      </c>
      <c r="B765" s="11" t="s">
        <v>230</v>
      </c>
      <c r="C765" s="13">
        <v>727</v>
      </c>
      <c r="D765" s="13">
        <v>368</v>
      </c>
      <c r="E765" s="13">
        <v>359</v>
      </c>
    </row>
    <row r="766" spans="1:5" x14ac:dyDescent="0.25">
      <c r="A766" s="11">
        <v>2014</v>
      </c>
      <c r="B766" s="11" t="s">
        <v>231</v>
      </c>
      <c r="C766" s="13">
        <v>5554</v>
      </c>
      <c r="D766" s="13">
        <v>2742</v>
      </c>
      <c r="E766" s="13">
        <v>2812</v>
      </c>
    </row>
    <row r="767" spans="1:5" x14ac:dyDescent="0.25">
      <c r="A767" s="11">
        <v>2014</v>
      </c>
      <c r="B767" s="11" t="s">
        <v>232</v>
      </c>
      <c r="C767" s="13">
        <v>557</v>
      </c>
      <c r="D767" s="13">
        <v>251</v>
      </c>
      <c r="E767" s="13">
        <v>306</v>
      </c>
    </row>
    <row r="768" spans="1:5" x14ac:dyDescent="0.25">
      <c r="A768" s="11">
        <v>2014</v>
      </c>
      <c r="B768" s="11" t="s">
        <v>233</v>
      </c>
      <c r="C768" s="13">
        <v>1286</v>
      </c>
      <c r="D768" s="13">
        <v>608</v>
      </c>
      <c r="E768" s="13">
        <v>678</v>
      </c>
    </row>
    <row r="769" spans="1:5" x14ac:dyDescent="0.25">
      <c r="A769" s="11">
        <v>2014</v>
      </c>
      <c r="B769" s="11" t="s">
        <v>234</v>
      </c>
      <c r="C769" s="13">
        <v>1715</v>
      </c>
      <c r="D769" s="13">
        <v>864</v>
      </c>
      <c r="E769" s="13">
        <v>851</v>
      </c>
    </row>
    <row r="770" spans="1:5" x14ac:dyDescent="0.25">
      <c r="A770" s="11">
        <v>2014</v>
      </c>
      <c r="B770" s="11" t="s">
        <v>235</v>
      </c>
      <c r="C770" s="13">
        <v>1254</v>
      </c>
      <c r="D770" s="13">
        <v>611</v>
      </c>
      <c r="E770" s="13">
        <v>643</v>
      </c>
    </row>
    <row r="771" spans="1:5" x14ac:dyDescent="0.25">
      <c r="A771" s="11">
        <v>2014</v>
      </c>
      <c r="B771" s="11" t="s">
        <v>236</v>
      </c>
      <c r="C771" s="13">
        <v>927</v>
      </c>
      <c r="D771" s="13">
        <v>489</v>
      </c>
      <c r="E771" s="13">
        <v>438</v>
      </c>
    </row>
    <row r="772" spans="1:5" x14ac:dyDescent="0.25">
      <c r="A772" s="11">
        <v>2014</v>
      </c>
      <c r="B772" s="11" t="s">
        <v>237</v>
      </c>
      <c r="C772" s="13">
        <v>1012</v>
      </c>
      <c r="D772" s="13">
        <v>518</v>
      </c>
      <c r="E772" s="13">
        <v>494</v>
      </c>
    </row>
    <row r="773" spans="1:5" x14ac:dyDescent="0.25">
      <c r="A773" s="11">
        <v>2014</v>
      </c>
      <c r="B773" s="11" t="s">
        <v>238</v>
      </c>
      <c r="C773" s="13">
        <v>853</v>
      </c>
      <c r="D773" s="13">
        <v>390</v>
      </c>
      <c r="E773" s="13">
        <v>463</v>
      </c>
    </row>
    <row r="774" spans="1:5" x14ac:dyDescent="0.25">
      <c r="A774" s="11">
        <v>2014</v>
      </c>
      <c r="B774" s="11" t="s">
        <v>239</v>
      </c>
      <c r="C774" s="13">
        <v>1716</v>
      </c>
      <c r="D774" s="13">
        <v>840</v>
      </c>
      <c r="E774" s="13">
        <v>876</v>
      </c>
    </row>
    <row r="775" spans="1:5" x14ac:dyDescent="0.25">
      <c r="A775" s="11">
        <v>2014</v>
      </c>
      <c r="B775" s="11" t="s">
        <v>240</v>
      </c>
      <c r="C775" s="13">
        <v>3889</v>
      </c>
      <c r="D775" s="13">
        <v>1882</v>
      </c>
      <c r="E775" s="13">
        <v>2007</v>
      </c>
    </row>
    <row r="776" spans="1:5" x14ac:dyDescent="0.25">
      <c r="A776" s="11">
        <v>2014</v>
      </c>
      <c r="B776" s="11" t="s">
        <v>241</v>
      </c>
      <c r="C776" s="13">
        <v>7465</v>
      </c>
      <c r="D776" s="13">
        <v>3642</v>
      </c>
      <c r="E776" s="13">
        <v>3823</v>
      </c>
    </row>
    <row r="777" spans="1:5" x14ac:dyDescent="0.25">
      <c r="A777" s="11">
        <v>2014</v>
      </c>
      <c r="B777" s="11" t="s">
        <v>242</v>
      </c>
      <c r="C777" s="13">
        <v>2310</v>
      </c>
      <c r="D777" s="13">
        <v>1126</v>
      </c>
      <c r="E777" s="13">
        <v>1184</v>
      </c>
    </row>
    <row r="778" spans="1:5" x14ac:dyDescent="0.25">
      <c r="A778" s="11">
        <v>2014</v>
      </c>
      <c r="B778" s="11" t="s">
        <v>243</v>
      </c>
      <c r="C778" s="13">
        <v>744</v>
      </c>
      <c r="D778" s="13">
        <v>346</v>
      </c>
      <c r="E778" s="13">
        <v>398</v>
      </c>
    </row>
    <row r="779" spans="1:5" x14ac:dyDescent="0.25">
      <c r="A779" s="11">
        <v>2014</v>
      </c>
      <c r="B779" s="11" t="s">
        <v>244</v>
      </c>
      <c r="C779" s="13">
        <v>1033</v>
      </c>
      <c r="D779" s="13">
        <v>512</v>
      </c>
      <c r="E779" s="13">
        <v>521</v>
      </c>
    </row>
    <row r="780" spans="1:5" x14ac:dyDescent="0.25">
      <c r="A780" s="11">
        <v>2014</v>
      </c>
      <c r="B780" s="11" t="s">
        <v>245</v>
      </c>
      <c r="C780" s="13">
        <v>931</v>
      </c>
      <c r="D780" s="13">
        <v>459</v>
      </c>
      <c r="E780" s="13">
        <v>472</v>
      </c>
    </row>
    <row r="781" spans="1:5" x14ac:dyDescent="0.25">
      <c r="A781" s="11">
        <v>2014</v>
      </c>
      <c r="B781" s="11" t="s">
        <v>246</v>
      </c>
      <c r="C781" s="13">
        <v>226</v>
      </c>
      <c r="D781" s="13">
        <v>111</v>
      </c>
      <c r="E781" s="13">
        <v>115</v>
      </c>
    </row>
    <row r="782" spans="1:5" x14ac:dyDescent="0.25">
      <c r="A782" s="11">
        <v>2014</v>
      </c>
      <c r="B782" s="11" t="s">
        <v>247</v>
      </c>
      <c r="C782" s="13">
        <v>1284</v>
      </c>
      <c r="D782" s="13">
        <v>651</v>
      </c>
      <c r="E782" s="13">
        <v>633</v>
      </c>
    </row>
    <row r="783" spans="1:5" x14ac:dyDescent="0.25">
      <c r="A783" s="11">
        <v>2014</v>
      </c>
      <c r="B783" s="11" t="s">
        <v>248</v>
      </c>
      <c r="C783" s="13">
        <v>3719</v>
      </c>
      <c r="D783" s="13">
        <v>1848</v>
      </c>
      <c r="E783" s="13">
        <v>1871</v>
      </c>
    </row>
    <row r="784" spans="1:5" x14ac:dyDescent="0.25">
      <c r="A784" s="11">
        <v>2014</v>
      </c>
      <c r="B784" s="11" t="s">
        <v>249</v>
      </c>
      <c r="C784" s="13">
        <v>181</v>
      </c>
      <c r="D784" s="13">
        <v>72</v>
      </c>
      <c r="E784" s="13">
        <v>109</v>
      </c>
    </row>
    <row r="785" spans="1:5" x14ac:dyDescent="0.25">
      <c r="A785" s="11">
        <v>2014</v>
      </c>
      <c r="B785" s="11" t="s">
        <v>250</v>
      </c>
      <c r="C785" s="13">
        <v>1357</v>
      </c>
      <c r="D785" s="13">
        <v>608</v>
      </c>
      <c r="E785" s="13">
        <v>749</v>
      </c>
    </row>
    <row r="786" spans="1:5" x14ac:dyDescent="0.25">
      <c r="A786" s="11">
        <v>2014</v>
      </c>
      <c r="B786" s="11" t="s">
        <v>251</v>
      </c>
      <c r="C786" s="13">
        <v>1813</v>
      </c>
      <c r="D786" s="13">
        <v>895</v>
      </c>
      <c r="E786" s="13">
        <v>918</v>
      </c>
    </row>
    <row r="787" spans="1:5" x14ac:dyDescent="0.25">
      <c r="A787" s="11">
        <v>2014</v>
      </c>
      <c r="B787" s="11" t="s">
        <v>252</v>
      </c>
      <c r="C787" s="13">
        <v>1081</v>
      </c>
      <c r="D787" s="13">
        <v>550</v>
      </c>
      <c r="E787" s="13">
        <v>531</v>
      </c>
    </row>
    <row r="788" spans="1:5" x14ac:dyDescent="0.25">
      <c r="A788" s="11">
        <v>2014</v>
      </c>
      <c r="B788" s="11" t="s">
        <v>253</v>
      </c>
      <c r="C788" s="13">
        <v>253</v>
      </c>
      <c r="D788" s="13">
        <v>139</v>
      </c>
      <c r="E788" s="13">
        <v>114</v>
      </c>
    </row>
    <row r="789" spans="1:5" x14ac:dyDescent="0.25">
      <c r="A789" s="11">
        <v>2014</v>
      </c>
      <c r="B789" s="11" t="s">
        <v>254</v>
      </c>
      <c r="C789" s="13">
        <v>1033</v>
      </c>
      <c r="D789" s="13">
        <v>515</v>
      </c>
      <c r="E789" s="13">
        <v>518</v>
      </c>
    </row>
    <row r="790" spans="1:5" x14ac:dyDescent="0.25">
      <c r="A790" s="11">
        <v>2014</v>
      </c>
      <c r="B790" s="11" t="s">
        <v>255</v>
      </c>
      <c r="C790" s="13">
        <v>3402</v>
      </c>
      <c r="D790" s="13">
        <v>1633</v>
      </c>
      <c r="E790" s="13">
        <v>1769</v>
      </c>
    </row>
    <row r="791" spans="1:5" x14ac:dyDescent="0.25">
      <c r="A791" s="11">
        <v>2014</v>
      </c>
      <c r="B791" s="11" t="s">
        <v>256</v>
      </c>
      <c r="C791" s="13">
        <v>841</v>
      </c>
      <c r="D791" s="13">
        <v>413</v>
      </c>
      <c r="E791" s="13">
        <v>428</v>
      </c>
    </row>
    <row r="792" spans="1:5" x14ac:dyDescent="0.25">
      <c r="A792" s="11">
        <v>2014</v>
      </c>
      <c r="B792" s="11" t="s">
        <v>257</v>
      </c>
      <c r="C792" s="13">
        <v>986</v>
      </c>
      <c r="D792" s="13">
        <v>481</v>
      </c>
      <c r="E792" s="13">
        <v>505</v>
      </c>
    </row>
    <row r="793" spans="1:5" x14ac:dyDescent="0.25">
      <c r="A793" s="11">
        <v>2014</v>
      </c>
      <c r="B793" s="11" t="s">
        <v>258</v>
      </c>
      <c r="C793" s="13">
        <v>2029</v>
      </c>
      <c r="D793" s="13">
        <v>986</v>
      </c>
      <c r="E793" s="13">
        <v>1043</v>
      </c>
    </row>
    <row r="794" spans="1:5" x14ac:dyDescent="0.25">
      <c r="A794" s="11">
        <v>2015</v>
      </c>
      <c r="B794" s="11" t="s">
        <v>11</v>
      </c>
      <c r="C794" s="13">
        <v>55098</v>
      </c>
      <c r="D794" s="13">
        <v>26744</v>
      </c>
      <c r="E794" s="13">
        <v>28354</v>
      </c>
    </row>
    <row r="795" spans="1:5" x14ac:dyDescent="0.25">
      <c r="A795" s="11">
        <v>2015</v>
      </c>
      <c r="B795" s="11" t="s">
        <v>227</v>
      </c>
      <c r="C795" s="13">
        <v>2609</v>
      </c>
      <c r="D795" s="13">
        <v>1265</v>
      </c>
      <c r="E795" s="13">
        <v>1344</v>
      </c>
    </row>
    <row r="796" spans="1:5" x14ac:dyDescent="0.25">
      <c r="A796" s="11">
        <v>2015</v>
      </c>
      <c r="B796" s="11" t="s">
        <v>228</v>
      </c>
      <c r="C796" s="13">
        <v>2891</v>
      </c>
      <c r="D796" s="13">
        <v>1432</v>
      </c>
      <c r="E796" s="13">
        <v>1459</v>
      </c>
    </row>
    <row r="797" spans="1:5" x14ac:dyDescent="0.25">
      <c r="A797" s="11">
        <v>2015</v>
      </c>
      <c r="B797" s="11" t="s">
        <v>229</v>
      </c>
      <c r="C797" s="13">
        <v>1065</v>
      </c>
      <c r="D797" s="13">
        <v>471</v>
      </c>
      <c r="E797" s="13">
        <v>594</v>
      </c>
    </row>
    <row r="798" spans="1:5" x14ac:dyDescent="0.25">
      <c r="A798" s="11">
        <v>2015</v>
      </c>
      <c r="B798" s="11" t="s">
        <v>230</v>
      </c>
      <c r="C798" s="13">
        <v>688</v>
      </c>
      <c r="D798" s="13">
        <v>331</v>
      </c>
      <c r="E798" s="13">
        <v>357</v>
      </c>
    </row>
    <row r="799" spans="1:5" x14ac:dyDescent="0.25">
      <c r="A799" s="11">
        <v>2015</v>
      </c>
      <c r="B799" s="11" t="s">
        <v>231</v>
      </c>
      <c r="C799" s="13">
        <v>5274</v>
      </c>
      <c r="D799" s="13">
        <v>2534</v>
      </c>
      <c r="E799" s="13">
        <v>2740</v>
      </c>
    </row>
    <row r="800" spans="1:5" x14ac:dyDescent="0.25">
      <c r="A800" s="11">
        <v>2015</v>
      </c>
      <c r="B800" s="11" t="s">
        <v>232</v>
      </c>
      <c r="C800" s="13">
        <v>553</v>
      </c>
      <c r="D800" s="13">
        <v>270</v>
      </c>
      <c r="E800" s="13">
        <v>283</v>
      </c>
    </row>
    <row r="801" spans="1:5" x14ac:dyDescent="0.25">
      <c r="A801" s="11">
        <v>2015</v>
      </c>
      <c r="B801" s="11" t="s">
        <v>233</v>
      </c>
      <c r="C801" s="13">
        <v>1256</v>
      </c>
      <c r="D801" s="13">
        <v>623</v>
      </c>
      <c r="E801" s="13">
        <v>633</v>
      </c>
    </row>
    <row r="802" spans="1:5" x14ac:dyDescent="0.25">
      <c r="A802" s="11">
        <v>2015</v>
      </c>
      <c r="B802" s="11" t="s">
        <v>234</v>
      </c>
      <c r="C802" s="13">
        <v>1555</v>
      </c>
      <c r="D802" s="13">
        <v>768</v>
      </c>
      <c r="E802" s="13">
        <v>787</v>
      </c>
    </row>
    <row r="803" spans="1:5" x14ac:dyDescent="0.25">
      <c r="A803" s="11">
        <v>2015</v>
      </c>
      <c r="B803" s="11" t="s">
        <v>235</v>
      </c>
      <c r="C803" s="13">
        <v>1327</v>
      </c>
      <c r="D803" s="13">
        <v>632</v>
      </c>
      <c r="E803" s="13">
        <v>695</v>
      </c>
    </row>
    <row r="804" spans="1:5" x14ac:dyDescent="0.25">
      <c r="A804" s="11">
        <v>2015</v>
      </c>
      <c r="B804" s="11" t="s">
        <v>236</v>
      </c>
      <c r="C804" s="13">
        <v>971</v>
      </c>
      <c r="D804" s="13">
        <v>461</v>
      </c>
      <c r="E804" s="13">
        <v>510</v>
      </c>
    </row>
    <row r="805" spans="1:5" x14ac:dyDescent="0.25">
      <c r="A805" s="11">
        <v>2015</v>
      </c>
      <c r="B805" s="11" t="s">
        <v>237</v>
      </c>
      <c r="C805" s="13">
        <v>1061</v>
      </c>
      <c r="D805" s="13">
        <v>534</v>
      </c>
      <c r="E805" s="13">
        <v>527</v>
      </c>
    </row>
    <row r="806" spans="1:5" x14ac:dyDescent="0.25">
      <c r="A806" s="11">
        <v>2015</v>
      </c>
      <c r="B806" s="11" t="s">
        <v>238</v>
      </c>
      <c r="C806" s="13">
        <v>871</v>
      </c>
      <c r="D806" s="13">
        <v>432</v>
      </c>
      <c r="E806" s="13">
        <v>439</v>
      </c>
    </row>
    <row r="807" spans="1:5" x14ac:dyDescent="0.25">
      <c r="A807" s="11">
        <v>2015</v>
      </c>
      <c r="B807" s="11" t="s">
        <v>239</v>
      </c>
      <c r="C807" s="13">
        <v>1594</v>
      </c>
      <c r="D807" s="13">
        <v>737</v>
      </c>
      <c r="E807" s="13">
        <v>857</v>
      </c>
    </row>
    <row r="808" spans="1:5" x14ac:dyDescent="0.25">
      <c r="A808" s="11">
        <v>2015</v>
      </c>
      <c r="B808" s="11" t="s">
        <v>240</v>
      </c>
      <c r="C808" s="13">
        <v>3755</v>
      </c>
      <c r="D808" s="13">
        <v>1863</v>
      </c>
      <c r="E808" s="13">
        <v>1892</v>
      </c>
    </row>
    <row r="809" spans="1:5" x14ac:dyDescent="0.25">
      <c r="A809" s="11">
        <v>2015</v>
      </c>
      <c r="B809" s="11" t="s">
        <v>241</v>
      </c>
      <c r="C809" s="13">
        <v>7086</v>
      </c>
      <c r="D809" s="13">
        <v>3473</v>
      </c>
      <c r="E809" s="13">
        <v>3613</v>
      </c>
    </row>
    <row r="810" spans="1:5" x14ac:dyDescent="0.25">
      <c r="A810" s="11">
        <v>2015</v>
      </c>
      <c r="B810" s="11" t="s">
        <v>242</v>
      </c>
      <c r="C810" s="13">
        <v>2220</v>
      </c>
      <c r="D810" s="13">
        <v>1064</v>
      </c>
      <c r="E810" s="13">
        <v>1156</v>
      </c>
    </row>
    <row r="811" spans="1:5" x14ac:dyDescent="0.25">
      <c r="A811" s="11">
        <v>2015</v>
      </c>
      <c r="B811" s="11" t="s">
        <v>243</v>
      </c>
      <c r="C811" s="13">
        <v>711</v>
      </c>
      <c r="D811" s="13">
        <v>342</v>
      </c>
      <c r="E811" s="13">
        <v>369</v>
      </c>
    </row>
    <row r="812" spans="1:5" x14ac:dyDescent="0.25">
      <c r="A812" s="11">
        <v>2015</v>
      </c>
      <c r="B812" s="11" t="s">
        <v>244</v>
      </c>
      <c r="C812" s="13">
        <v>1082</v>
      </c>
      <c r="D812" s="13">
        <v>498</v>
      </c>
      <c r="E812" s="13">
        <v>584</v>
      </c>
    </row>
    <row r="813" spans="1:5" x14ac:dyDescent="0.25">
      <c r="A813" s="11">
        <v>2015</v>
      </c>
      <c r="B813" s="11" t="s">
        <v>245</v>
      </c>
      <c r="C813" s="13">
        <v>905</v>
      </c>
      <c r="D813" s="13">
        <v>438</v>
      </c>
      <c r="E813" s="13">
        <v>467</v>
      </c>
    </row>
    <row r="814" spans="1:5" x14ac:dyDescent="0.25">
      <c r="A814" s="11">
        <v>2015</v>
      </c>
      <c r="B814" s="11" t="s">
        <v>246</v>
      </c>
      <c r="C814" s="13">
        <v>222</v>
      </c>
      <c r="D814" s="13">
        <v>105</v>
      </c>
      <c r="E814" s="13">
        <v>117</v>
      </c>
    </row>
    <row r="815" spans="1:5" x14ac:dyDescent="0.25">
      <c r="A815" s="11">
        <v>2015</v>
      </c>
      <c r="B815" s="11" t="s">
        <v>247</v>
      </c>
      <c r="C815" s="13">
        <v>1255</v>
      </c>
      <c r="D815" s="13">
        <v>596</v>
      </c>
      <c r="E815" s="13">
        <v>659</v>
      </c>
    </row>
    <row r="816" spans="1:5" x14ac:dyDescent="0.25">
      <c r="A816" s="11">
        <v>2015</v>
      </c>
      <c r="B816" s="11" t="s">
        <v>248</v>
      </c>
      <c r="C816" s="13">
        <v>3716</v>
      </c>
      <c r="D816" s="13">
        <v>1802</v>
      </c>
      <c r="E816" s="13">
        <v>1914</v>
      </c>
    </row>
    <row r="817" spans="1:5" x14ac:dyDescent="0.25">
      <c r="A817" s="11">
        <v>2015</v>
      </c>
      <c r="B817" s="11" t="s">
        <v>249</v>
      </c>
      <c r="C817" s="13">
        <v>191</v>
      </c>
      <c r="D817" s="13">
        <v>96</v>
      </c>
      <c r="E817" s="13">
        <v>95</v>
      </c>
    </row>
    <row r="818" spans="1:5" x14ac:dyDescent="0.25">
      <c r="A818" s="11">
        <v>2015</v>
      </c>
      <c r="B818" s="11" t="s">
        <v>250</v>
      </c>
      <c r="C818" s="13">
        <v>1357</v>
      </c>
      <c r="D818" s="13">
        <v>661</v>
      </c>
      <c r="E818" s="13">
        <v>696</v>
      </c>
    </row>
    <row r="819" spans="1:5" x14ac:dyDescent="0.25">
      <c r="A819" s="11">
        <v>2015</v>
      </c>
      <c r="B819" s="11" t="s">
        <v>251</v>
      </c>
      <c r="C819" s="13">
        <v>1712</v>
      </c>
      <c r="D819" s="13">
        <v>836</v>
      </c>
      <c r="E819" s="13">
        <v>876</v>
      </c>
    </row>
    <row r="820" spans="1:5" x14ac:dyDescent="0.25">
      <c r="A820" s="11">
        <v>2015</v>
      </c>
      <c r="B820" s="11" t="s">
        <v>252</v>
      </c>
      <c r="C820" s="13">
        <v>1037</v>
      </c>
      <c r="D820" s="13">
        <v>526</v>
      </c>
      <c r="E820" s="13">
        <v>511</v>
      </c>
    </row>
    <row r="821" spans="1:5" x14ac:dyDescent="0.25">
      <c r="A821" s="11">
        <v>2015</v>
      </c>
      <c r="B821" s="11" t="s">
        <v>253</v>
      </c>
      <c r="C821" s="13">
        <v>234</v>
      </c>
      <c r="D821" s="13">
        <v>112</v>
      </c>
      <c r="E821" s="13">
        <v>122</v>
      </c>
    </row>
    <row r="822" spans="1:5" x14ac:dyDescent="0.25">
      <c r="A822" s="11">
        <v>2015</v>
      </c>
      <c r="B822" s="11" t="s">
        <v>254</v>
      </c>
      <c r="C822" s="13">
        <v>1030</v>
      </c>
      <c r="D822" s="13">
        <v>521</v>
      </c>
      <c r="E822" s="13">
        <v>509</v>
      </c>
    </row>
    <row r="823" spans="1:5" x14ac:dyDescent="0.25">
      <c r="A823" s="11">
        <v>2015</v>
      </c>
      <c r="B823" s="11" t="s">
        <v>255</v>
      </c>
      <c r="C823" s="13">
        <v>3185</v>
      </c>
      <c r="D823" s="13">
        <v>1545</v>
      </c>
      <c r="E823" s="13">
        <v>1640</v>
      </c>
    </row>
    <row r="824" spans="1:5" x14ac:dyDescent="0.25">
      <c r="A824" s="11">
        <v>2015</v>
      </c>
      <c r="B824" s="11" t="s">
        <v>256</v>
      </c>
      <c r="C824" s="13">
        <v>792</v>
      </c>
      <c r="D824" s="13">
        <v>377</v>
      </c>
      <c r="E824" s="13">
        <v>415</v>
      </c>
    </row>
    <row r="825" spans="1:5" x14ac:dyDescent="0.25">
      <c r="A825" s="11">
        <v>2015</v>
      </c>
      <c r="B825" s="11" t="s">
        <v>257</v>
      </c>
      <c r="C825" s="13">
        <v>924</v>
      </c>
      <c r="D825" s="13">
        <v>463</v>
      </c>
      <c r="E825" s="13">
        <v>461</v>
      </c>
    </row>
    <row r="826" spans="1:5" x14ac:dyDescent="0.25">
      <c r="A826" s="11">
        <v>2015</v>
      </c>
      <c r="B826" s="11" t="s">
        <v>258</v>
      </c>
      <c r="C826" s="13">
        <v>1969</v>
      </c>
      <c r="D826" s="13">
        <v>936</v>
      </c>
      <c r="E826" s="13">
        <v>1033</v>
      </c>
    </row>
    <row r="827" spans="1:5" x14ac:dyDescent="0.25">
      <c r="A827" s="11">
        <v>2016</v>
      </c>
      <c r="B827" s="11" t="s">
        <v>11</v>
      </c>
      <c r="C827" s="13">
        <v>54488</v>
      </c>
      <c r="D827" s="13">
        <v>26252</v>
      </c>
      <c r="E827" s="13">
        <v>28236</v>
      </c>
    </row>
    <row r="828" spans="1:5" x14ac:dyDescent="0.25">
      <c r="A828" s="11">
        <v>2016</v>
      </c>
      <c r="B828" s="11" t="s">
        <v>227</v>
      </c>
      <c r="C828" s="13">
        <v>2521</v>
      </c>
      <c r="D828" s="13">
        <v>1236</v>
      </c>
      <c r="E828" s="13">
        <v>1285</v>
      </c>
    </row>
    <row r="829" spans="1:5" x14ac:dyDescent="0.25">
      <c r="A829" s="11">
        <v>2016</v>
      </c>
      <c r="B829" s="11" t="s">
        <v>228</v>
      </c>
      <c r="C829" s="13">
        <v>2811</v>
      </c>
      <c r="D829" s="13">
        <v>1336</v>
      </c>
      <c r="E829" s="13">
        <v>1475</v>
      </c>
    </row>
    <row r="830" spans="1:5" x14ac:dyDescent="0.25">
      <c r="A830" s="11">
        <v>2016</v>
      </c>
      <c r="B830" s="11" t="s">
        <v>229</v>
      </c>
      <c r="C830" s="13">
        <v>1025</v>
      </c>
      <c r="D830" s="13">
        <v>485</v>
      </c>
      <c r="E830" s="13">
        <v>540</v>
      </c>
    </row>
    <row r="831" spans="1:5" x14ac:dyDescent="0.25">
      <c r="A831" s="11">
        <v>2016</v>
      </c>
      <c r="B831" s="11" t="s">
        <v>230</v>
      </c>
      <c r="C831" s="13">
        <v>699</v>
      </c>
      <c r="D831" s="13">
        <v>343</v>
      </c>
      <c r="E831" s="13">
        <v>356</v>
      </c>
    </row>
    <row r="832" spans="1:5" x14ac:dyDescent="0.25">
      <c r="A832" s="11">
        <v>2016</v>
      </c>
      <c r="B832" s="11" t="s">
        <v>231</v>
      </c>
      <c r="C832" s="13">
        <v>5300</v>
      </c>
      <c r="D832" s="13">
        <v>2584</v>
      </c>
      <c r="E832" s="13">
        <v>2716</v>
      </c>
    </row>
    <row r="833" spans="1:5" x14ac:dyDescent="0.25">
      <c r="A833" s="11">
        <v>2016</v>
      </c>
      <c r="B833" s="11" t="s">
        <v>232</v>
      </c>
      <c r="C833" s="13">
        <v>505</v>
      </c>
      <c r="D833" s="13">
        <v>237</v>
      </c>
      <c r="E833" s="13">
        <v>268</v>
      </c>
    </row>
    <row r="834" spans="1:5" x14ac:dyDescent="0.25">
      <c r="A834" s="11">
        <v>2016</v>
      </c>
      <c r="B834" s="11" t="s">
        <v>233</v>
      </c>
      <c r="C834" s="13">
        <v>1318</v>
      </c>
      <c r="D834" s="13">
        <v>663</v>
      </c>
      <c r="E834" s="13">
        <v>655</v>
      </c>
    </row>
    <row r="835" spans="1:5" x14ac:dyDescent="0.25">
      <c r="A835" s="11">
        <v>2016</v>
      </c>
      <c r="B835" s="11" t="s">
        <v>234</v>
      </c>
      <c r="C835" s="13">
        <v>1576</v>
      </c>
      <c r="D835" s="13">
        <v>734</v>
      </c>
      <c r="E835" s="13">
        <v>842</v>
      </c>
    </row>
    <row r="836" spans="1:5" x14ac:dyDescent="0.25">
      <c r="A836" s="11">
        <v>2016</v>
      </c>
      <c r="B836" s="11" t="s">
        <v>235</v>
      </c>
      <c r="C836" s="13">
        <v>1275</v>
      </c>
      <c r="D836" s="13">
        <v>606</v>
      </c>
      <c r="E836" s="13">
        <v>669</v>
      </c>
    </row>
    <row r="837" spans="1:5" x14ac:dyDescent="0.25">
      <c r="A837" s="11">
        <v>2016</v>
      </c>
      <c r="B837" s="11" t="s">
        <v>236</v>
      </c>
      <c r="C837" s="13">
        <v>951</v>
      </c>
      <c r="D837" s="13">
        <v>461</v>
      </c>
      <c r="E837" s="13">
        <v>490</v>
      </c>
    </row>
    <row r="838" spans="1:5" x14ac:dyDescent="0.25">
      <c r="A838" s="11">
        <v>2016</v>
      </c>
      <c r="B838" s="11" t="s">
        <v>237</v>
      </c>
      <c r="C838" s="13">
        <v>1041</v>
      </c>
      <c r="D838" s="13">
        <v>486</v>
      </c>
      <c r="E838" s="13">
        <v>555</v>
      </c>
    </row>
    <row r="839" spans="1:5" x14ac:dyDescent="0.25">
      <c r="A839" s="11">
        <v>2016</v>
      </c>
      <c r="B839" s="11" t="s">
        <v>238</v>
      </c>
      <c r="C839" s="13">
        <v>861</v>
      </c>
      <c r="D839" s="13">
        <v>419</v>
      </c>
      <c r="E839" s="13">
        <v>442</v>
      </c>
    </row>
    <row r="840" spans="1:5" x14ac:dyDescent="0.25">
      <c r="A840" s="11">
        <v>2016</v>
      </c>
      <c r="B840" s="11" t="s">
        <v>239</v>
      </c>
      <c r="C840" s="13">
        <v>1565</v>
      </c>
      <c r="D840" s="13">
        <v>733</v>
      </c>
      <c r="E840" s="13">
        <v>832</v>
      </c>
    </row>
    <row r="841" spans="1:5" x14ac:dyDescent="0.25">
      <c r="A841" s="11">
        <v>2016</v>
      </c>
      <c r="B841" s="11" t="s">
        <v>240</v>
      </c>
      <c r="C841" s="13">
        <v>3739</v>
      </c>
      <c r="D841" s="13">
        <v>1809</v>
      </c>
      <c r="E841" s="13">
        <v>1930</v>
      </c>
    </row>
    <row r="842" spans="1:5" x14ac:dyDescent="0.25">
      <c r="A842" s="11">
        <v>2016</v>
      </c>
      <c r="B842" s="11" t="s">
        <v>241</v>
      </c>
      <c r="C842" s="13">
        <v>6833</v>
      </c>
      <c r="D842" s="13">
        <v>3328</v>
      </c>
      <c r="E842" s="13">
        <v>3505</v>
      </c>
    </row>
    <row r="843" spans="1:5" x14ac:dyDescent="0.25">
      <c r="A843" s="11">
        <v>2016</v>
      </c>
      <c r="B843" s="11" t="s">
        <v>242</v>
      </c>
      <c r="C843" s="13">
        <v>2150</v>
      </c>
      <c r="D843" s="13">
        <v>1021</v>
      </c>
      <c r="E843" s="13">
        <v>1129</v>
      </c>
    </row>
    <row r="844" spans="1:5" x14ac:dyDescent="0.25">
      <c r="A844" s="11">
        <v>2016</v>
      </c>
      <c r="B844" s="11" t="s">
        <v>243</v>
      </c>
      <c r="C844" s="13">
        <v>706</v>
      </c>
      <c r="D844" s="13">
        <v>330</v>
      </c>
      <c r="E844" s="13">
        <v>376</v>
      </c>
    </row>
    <row r="845" spans="1:5" x14ac:dyDescent="0.25">
      <c r="A845" s="11">
        <v>2016</v>
      </c>
      <c r="B845" s="11" t="s">
        <v>244</v>
      </c>
      <c r="C845" s="13">
        <v>1088</v>
      </c>
      <c r="D845" s="13">
        <v>525</v>
      </c>
      <c r="E845" s="13">
        <v>563</v>
      </c>
    </row>
    <row r="846" spans="1:5" x14ac:dyDescent="0.25">
      <c r="A846" s="11">
        <v>2016</v>
      </c>
      <c r="B846" s="11" t="s">
        <v>245</v>
      </c>
      <c r="C846" s="13">
        <v>939</v>
      </c>
      <c r="D846" s="13">
        <v>441</v>
      </c>
      <c r="E846" s="13">
        <v>498</v>
      </c>
    </row>
    <row r="847" spans="1:5" x14ac:dyDescent="0.25">
      <c r="A847" s="11">
        <v>2016</v>
      </c>
      <c r="B847" s="11" t="s">
        <v>246</v>
      </c>
      <c r="C847" s="13">
        <v>238</v>
      </c>
      <c r="D847" s="13">
        <v>112</v>
      </c>
      <c r="E847" s="13">
        <v>126</v>
      </c>
    </row>
    <row r="848" spans="1:5" x14ac:dyDescent="0.25">
      <c r="A848" s="11">
        <v>2016</v>
      </c>
      <c r="B848" s="11" t="s">
        <v>247</v>
      </c>
      <c r="C848" s="13">
        <v>1244</v>
      </c>
      <c r="D848" s="13">
        <v>593</v>
      </c>
      <c r="E848" s="13">
        <v>651</v>
      </c>
    </row>
    <row r="849" spans="1:5" x14ac:dyDescent="0.25">
      <c r="A849" s="11">
        <v>2016</v>
      </c>
      <c r="B849" s="11" t="s">
        <v>248</v>
      </c>
      <c r="C849" s="13">
        <v>3511</v>
      </c>
      <c r="D849" s="13">
        <v>1687</v>
      </c>
      <c r="E849" s="13">
        <v>1824</v>
      </c>
    </row>
    <row r="850" spans="1:5" x14ac:dyDescent="0.25">
      <c r="A850" s="11">
        <v>2016</v>
      </c>
      <c r="B850" s="11" t="s">
        <v>249</v>
      </c>
      <c r="C850" s="13">
        <v>178</v>
      </c>
      <c r="D850" s="13">
        <v>89</v>
      </c>
      <c r="E850" s="13">
        <v>89</v>
      </c>
    </row>
    <row r="851" spans="1:5" x14ac:dyDescent="0.25">
      <c r="A851" s="11">
        <v>2016</v>
      </c>
      <c r="B851" s="11" t="s">
        <v>250</v>
      </c>
      <c r="C851" s="13">
        <v>1325</v>
      </c>
      <c r="D851" s="13">
        <v>652</v>
      </c>
      <c r="E851" s="13">
        <v>673</v>
      </c>
    </row>
    <row r="852" spans="1:5" x14ac:dyDescent="0.25">
      <c r="A852" s="11">
        <v>2016</v>
      </c>
      <c r="B852" s="11" t="s">
        <v>251</v>
      </c>
      <c r="C852" s="13">
        <v>1773</v>
      </c>
      <c r="D852" s="13">
        <v>844</v>
      </c>
      <c r="E852" s="13">
        <v>929</v>
      </c>
    </row>
    <row r="853" spans="1:5" x14ac:dyDescent="0.25">
      <c r="A853" s="11">
        <v>2016</v>
      </c>
      <c r="B853" s="11" t="s">
        <v>252</v>
      </c>
      <c r="C853" s="13">
        <v>1005</v>
      </c>
      <c r="D853" s="13">
        <v>483</v>
      </c>
      <c r="E853" s="13">
        <v>522</v>
      </c>
    </row>
    <row r="854" spans="1:5" x14ac:dyDescent="0.25">
      <c r="A854" s="11">
        <v>2016</v>
      </c>
      <c r="B854" s="11" t="s">
        <v>253</v>
      </c>
      <c r="C854" s="13">
        <v>266</v>
      </c>
      <c r="D854" s="13">
        <v>125</v>
      </c>
      <c r="E854" s="13">
        <v>141</v>
      </c>
    </row>
    <row r="855" spans="1:5" x14ac:dyDescent="0.25">
      <c r="A855" s="11">
        <v>2016</v>
      </c>
      <c r="B855" s="11" t="s">
        <v>254</v>
      </c>
      <c r="C855" s="13">
        <v>976</v>
      </c>
      <c r="D855" s="13">
        <v>474</v>
      </c>
      <c r="E855" s="13">
        <v>502</v>
      </c>
    </row>
    <row r="856" spans="1:5" x14ac:dyDescent="0.25">
      <c r="A856" s="11">
        <v>2016</v>
      </c>
      <c r="B856" s="11" t="s">
        <v>255</v>
      </c>
      <c r="C856" s="13">
        <v>3315</v>
      </c>
      <c r="D856" s="13">
        <v>1575</v>
      </c>
      <c r="E856" s="13">
        <v>1740</v>
      </c>
    </row>
    <row r="857" spans="1:5" x14ac:dyDescent="0.25">
      <c r="A857" s="11">
        <v>2016</v>
      </c>
      <c r="B857" s="11" t="s">
        <v>256</v>
      </c>
      <c r="C857" s="13">
        <v>807</v>
      </c>
      <c r="D857" s="13">
        <v>403</v>
      </c>
      <c r="E857" s="13">
        <v>404</v>
      </c>
    </row>
    <row r="858" spans="1:5" x14ac:dyDescent="0.25">
      <c r="A858" s="11">
        <v>2016</v>
      </c>
      <c r="B858" s="11" t="s">
        <v>257</v>
      </c>
      <c r="C858" s="13">
        <v>958</v>
      </c>
      <c r="D858" s="13">
        <v>471</v>
      </c>
      <c r="E858" s="13">
        <v>487</v>
      </c>
    </row>
    <row r="859" spans="1:5" x14ac:dyDescent="0.25">
      <c r="A859" s="11">
        <v>2016</v>
      </c>
      <c r="B859" s="11" t="s">
        <v>258</v>
      </c>
      <c r="C859" s="13">
        <v>1989</v>
      </c>
      <c r="D859" s="13">
        <v>967</v>
      </c>
      <c r="E859" s="13">
        <v>1022</v>
      </c>
    </row>
    <row r="860" spans="1:5" x14ac:dyDescent="0.25">
      <c r="A860" s="11">
        <v>2017</v>
      </c>
      <c r="B860" s="11" t="s">
        <v>11</v>
      </c>
      <c r="C860" s="13">
        <v>52861</v>
      </c>
      <c r="D860" s="13">
        <v>25646</v>
      </c>
      <c r="E860" s="13">
        <v>27215</v>
      </c>
    </row>
    <row r="861" spans="1:5" x14ac:dyDescent="0.25">
      <c r="A861" s="11">
        <v>2017</v>
      </c>
      <c r="B861" s="11" t="s">
        <v>227</v>
      </c>
      <c r="C861" s="13">
        <v>2402</v>
      </c>
      <c r="D861" s="13">
        <v>1154</v>
      </c>
      <c r="E861" s="13">
        <v>1248</v>
      </c>
    </row>
    <row r="862" spans="1:5" x14ac:dyDescent="0.25">
      <c r="A862" s="11">
        <v>2017</v>
      </c>
      <c r="B862" s="11" t="s">
        <v>228</v>
      </c>
      <c r="C862" s="13">
        <v>2659</v>
      </c>
      <c r="D862" s="13">
        <v>1309</v>
      </c>
      <c r="E862" s="13">
        <v>1350</v>
      </c>
    </row>
    <row r="863" spans="1:5" x14ac:dyDescent="0.25">
      <c r="A863" s="11">
        <v>2017</v>
      </c>
      <c r="B863" s="11" t="s">
        <v>229</v>
      </c>
      <c r="C863" s="13">
        <v>1054</v>
      </c>
      <c r="D863" s="13">
        <v>514</v>
      </c>
      <c r="E863" s="13">
        <v>540</v>
      </c>
    </row>
    <row r="864" spans="1:5" x14ac:dyDescent="0.25">
      <c r="A864" s="11">
        <v>2017</v>
      </c>
      <c r="B864" s="11" t="s">
        <v>230</v>
      </c>
      <c r="C864" s="13">
        <v>665</v>
      </c>
      <c r="D864" s="13">
        <v>303</v>
      </c>
      <c r="E864" s="13">
        <v>362</v>
      </c>
    </row>
    <row r="865" spans="1:5" x14ac:dyDescent="0.25">
      <c r="A865" s="11">
        <v>2017</v>
      </c>
      <c r="B865" s="11" t="s">
        <v>231</v>
      </c>
      <c r="C865" s="13">
        <v>5033</v>
      </c>
      <c r="D865" s="13">
        <v>2459</v>
      </c>
      <c r="E865" s="13">
        <v>2574</v>
      </c>
    </row>
    <row r="866" spans="1:5" x14ac:dyDescent="0.25">
      <c r="A866" s="11">
        <v>2017</v>
      </c>
      <c r="B866" s="11" t="s">
        <v>232</v>
      </c>
      <c r="C866" s="13">
        <v>536</v>
      </c>
      <c r="D866" s="13">
        <v>264</v>
      </c>
      <c r="E866" s="13">
        <v>272</v>
      </c>
    </row>
    <row r="867" spans="1:5" x14ac:dyDescent="0.25">
      <c r="A867" s="11">
        <v>2017</v>
      </c>
      <c r="B867" s="11" t="s">
        <v>233</v>
      </c>
      <c r="C867" s="13">
        <v>1248</v>
      </c>
      <c r="D867" s="13">
        <v>609</v>
      </c>
      <c r="E867" s="13">
        <v>639</v>
      </c>
    </row>
    <row r="868" spans="1:5" x14ac:dyDescent="0.25">
      <c r="A868" s="11">
        <v>2017</v>
      </c>
      <c r="B868" s="11" t="s">
        <v>234</v>
      </c>
      <c r="C868" s="13">
        <v>1493</v>
      </c>
      <c r="D868" s="13">
        <v>727</v>
      </c>
      <c r="E868" s="13">
        <v>766</v>
      </c>
    </row>
    <row r="869" spans="1:5" x14ac:dyDescent="0.25">
      <c r="A869" s="11">
        <v>2017</v>
      </c>
      <c r="B869" s="11" t="s">
        <v>235</v>
      </c>
      <c r="C869" s="13">
        <v>1151</v>
      </c>
      <c r="D869" s="13">
        <v>542</v>
      </c>
      <c r="E869" s="13">
        <v>609</v>
      </c>
    </row>
    <row r="870" spans="1:5" x14ac:dyDescent="0.25">
      <c r="A870" s="11">
        <v>2017</v>
      </c>
      <c r="B870" s="11" t="s">
        <v>236</v>
      </c>
      <c r="C870" s="13">
        <v>1036</v>
      </c>
      <c r="D870" s="13">
        <v>474</v>
      </c>
      <c r="E870" s="13">
        <v>562</v>
      </c>
    </row>
    <row r="871" spans="1:5" x14ac:dyDescent="0.25">
      <c r="A871" s="11">
        <v>2017</v>
      </c>
      <c r="B871" s="11" t="s">
        <v>237</v>
      </c>
      <c r="C871" s="13">
        <v>971</v>
      </c>
      <c r="D871" s="13">
        <v>474</v>
      </c>
      <c r="E871" s="13">
        <v>497</v>
      </c>
    </row>
    <row r="872" spans="1:5" x14ac:dyDescent="0.25">
      <c r="A872" s="11">
        <v>2017</v>
      </c>
      <c r="B872" s="11" t="s">
        <v>238</v>
      </c>
      <c r="C872" s="13">
        <v>886</v>
      </c>
      <c r="D872" s="13">
        <v>427</v>
      </c>
      <c r="E872" s="13">
        <v>459</v>
      </c>
    </row>
    <row r="873" spans="1:5" x14ac:dyDescent="0.25">
      <c r="A873" s="11">
        <v>2017</v>
      </c>
      <c r="B873" s="11" t="s">
        <v>239</v>
      </c>
      <c r="C873" s="13">
        <v>1567</v>
      </c>
      <c r="D873" s="13">
        <v>775</v>
      </c>
      <c r="E873" s="13">
        <v>792</v>
      </c>
    </row>
    <row r="874" spans="1:5" x14ac:dyDescent="0.25">
      <c r="A874" s="11">
        <v>2017</v>
      </c>
      <c r="B874" s="11" t="s">
        <v>240</v>
      </c>
      <c r="C874" s="13">
        <v>3465</v>
      </c>
      <c r="D874" s="13">
        <v>1677</v>
      </c>
      <c r="E874" s="13">
        <v>1788</v>
      </c>
    </row>
    <row r="875" spans="1:5" x14ac:dyDescent="0.25">
      <c r="A875" s="11">
        <v>2017</v>
      </c>
      <c r="B875" s="11" t="s">
        <v>241</v>
      </c>
      <c r="C875" s="13">
        <v>6852</v>
      </c>
      <c r="D875" s="13">
        <v>3294</v>
      </c>
      <c r="E875" s="13">
        <v>3558</v>
      </c>
    </row>
    <row r="876" spans="1:5" x14ac:dyDescent="0.25">
      <c r="A876" s="11">
        <v>2017</v>
      </c>
      <c r="B876" s="11" t="s">
        <v>242</v>
      </c>
      <c r="C876" s="13">
        <v>2089</v>
      </c>
      <c r="D876" s="13">
        <v>1039</v>
      </c>
      <c r="E876" s="13">
        <v>1050</v>
      </c>
    </row>
    <row r="877" spans="1:5" x14ac:dyDescent="0.25">
      <c r="A877" s="11">
        <v>2017</v>
      </c>
      <c r="B877" s="11" t="s">
        <v>243</v>
      </c>
      <c r="C877" s="13">
        <v>667</v>
      </c>
      <c r="D877" s="13">
        <v>326</v>
      </c>
      <c r="E877" s="13">
        <v>341</v>
      </c>
    </row>
    <row r="878" spans="1:5" x14ac:dyDescent="0.25">
      <c r="A878" s="11">
        <v>2017</v>
      </c>
      <c r="B878" s="11" t="s">
        <v>244</v>
      </c>
      <c r="C878" s="13">
        <v>1107</v>
      </c>
      <c r="D878" s="13">
        <v>542</v>
      </c>
      <c r="E878" s="13">
        <v>565</v>
      </c>
    </row>
    <row r="879" spans="1:5" x14ac:dyDescent="0.25">
      <c r="A879" s="11">
        <v>2017</v>
      </c>
      <c r="B879" s="11" t="s">
        <v>245</v>
      </c>
      <c r="C879" s="13">
        <v>856</v>
      </c>
      <c r="D879" s="13">
        <v>403</v>
      </c>
      <c r="E879" s="13">
        <v>453</v>
      </c>
    </row>
    <row r="880" spans="1:5" x14ac:dyDescent="0.25">
      <c r="A880" s="11">
        <v>2017</v>
      </c>
      <c r="B880" s="11" t="s">
        <v>246</v>
      </c>
      <c r="C880" s="13">
        <v>215</v>
      </c>
      <c r="D880" s="13">
        <v>99</v>
      </c>
      <c r="E880" s="13">
        <v>116</v>
      </c>
    </row>
    <row r="881" spans="1:5" x14ac:dyDescent="0.25">
      <c r="A881" s="11">
        <v>2017</v>
      </c>
      <c r="B881" s="11" t="s">
        <v>247</v>
      </c>
      <c r="C881" s="13">
        <v>1193</v>
      </c>
      <c r="D881" s="13">
        <v>577</v>
      </c>
      <c r="E881" s="13">
        <v>616</v>
      </c>
    </row>
    <row r="882" spans="1:5" x14ac:dyDescent="0.25">
      <c r="A882" s="11">
        <v>2017</v>
      </c>
      <c r="B882" s="11" t="s">
        <v>248</v>
      </c>
      <c r="C882" s="13">
        <v>3558</v>
      </c>
      <c r="D882" s="13">
        <v>1762</v>
      </c>
      <c r="E882" s="13">
        <v>1796</v>
      </c>
    </row>
    <row r="883" spans="1:5" x14ac:dyDescent="0.25">
      <c r="A883" s="11">
        <v>2017</v>
      </c>
      <c r="B883" s="11" t="s">
        <v>249</v>
      </c>
      <c r="C883" s="13">
        <v>184</v>
      </c>
      <c r="D883" s="13">
        <v>99</v>
      </c>
      <c r="E883" s="13">
        <v>85</v>
      </c>
    </row>
    <row r="884" spans="1:5" x14ac:dyDescent="0.25">
      <c r="A884" s="11">
        <v>2017</v>
      </c>
      <c r="B884" s="11" t="s">
        <v>250</v>
      </c>
      <c r="C884" s="13">
        <v>1210</v>
      </c>
      <c r="D884" s="13">
        <v>602</v>
      </c>
      <c r="E884" s="13">
        <v>608</v>
      </c>
    </row>
    <row r="885" spans="1:5" x14ac:dyDescent="0.25">
      <c r="A885" s="11">
        <v>2017</v>
      </c>
      <c r="B885" s="11" t="s">
        <v>251</v>
      </c>
      <c r="C885" s="13">
        <v>1794</v>
      </c>
      <c r="D885" s="13">
        <v>916</v>
      </c>
      <c r="E885" s="13">
        <v>878</v>
      </c>
    </row>
    <row r="886" spans="1:5" x14ac:dyDescent="0.25">
      <c r="A886" s="11">
        <v>2017</v>
      </c>
      <c r="B886" s="11" t="s">
        <v>252</v>
      </c>
      <c r="C886" s="13">
        <v>989</v>
      </c>
      <c r="D886" s="13">
        <v>498</v>
      </c>
      <c r="E886" s="13">
        <v>491</v>
      </c>
    </row>
    <row r="887" spans="1:5" x14ac:dyDescent="0.25">
      <c r="A887" s="11">
        <v>2017</v>
      </c>
      <c r="B887" s="11" t="s">
        <v>253</v>
      </c>
      <c r="C887" s="13">
        <v>218</v>
      </c>
      <c r="D887" s="13">
        <v>113</v>
      </c>
      <c r="E887" s="13">
        <v>105</v>
      </c>
    </row>
    <row r="888" spans="1:5" x14ac:dyDescent="0.25">
      <c r="A888" s="11">
        <v>2017</v>
      </c>
      <c r="B888" s="11" t="s">
        <v>254</v>
      </c>
      <c r="C888" s="13">
        <v>937</v>
      </c>
      <c r="D888" s="13">
        <v>456</v>
      </c>
      <c r="E888" s="13">
        <v>481</v>
      </c>
    </row>
    <row r="889" spans="1:5" x14ac:dyDescent="0.25">
      <c r="A889" s="11">
        <v>2017</v>
      </c>
      <c r="B889" s="11" t="s">
        <v>255</v>
      </c>
      <c r="C889" s="13">
        <v>3205</v>
      </c>
      <c r="D889" s="13">
        <v>1527</v>
      </c>
      <c r="E889" s="13">
        <v>1678</v>
      </c>
    </row>
    <row r="890" spans="1:5" x14ac:dyDescent="0.25">
      <c r="A890" s="11">
        <v>2017</v>
      </c>
      <c r="B890" s="11" t="s">
        <v>256</v>
      </c>
      <c r="C890" s="13">
        <v>804</v>
      </c>
      <c r="D890" s="13">
        <v>370</v>
      </c>
      <c r="E890" s="13">
        <v>434</v>
      </c>
    </row>
    <row r="891" spans="1:5" x14ac:dyDescent="0.25">
      <c r="A891" s="11">
        <v>2017</v>
      </c>
      <c r="B891" s="11" t="s">
        <v>257</v>
      </c>
      <c r="C891" s="13">
        <v>891</v>
      </c>
      <c r="D891" s="13">
        <v>427</v>
      </c>
      <c r="E891" s="13">
        <v>464</v>
      </c>
    </row>
    <row r="892" spans="1:5" x14ac:dyDescent="0.25">
      <c r="A892" s="11">
        <v>2017</v>
      </c>
      <c r="B892" s="11" t="s">
        <v>258</v>
      </c>
      <c r="C892" s="13">
        <v>1926</v>
      </c>
      <c r="D892" s="13">
        <v>888</v>
      </c>
      <c r="E892" s="13">
        <v>1038</v>
      </c>
    </row>
    <row r="893" spans="1:5" x14ac:dyDescent="0.25">
      <c r="A893" s="11">
        <v>2018</v>
      </c>
      <c r="B893" s="11" t="s">
        <v>11</v>
      </c>
      <c r="C893" s="13">
        <v>51308</v>
      </c>
      <c r="D893" s="13">
        <v>24976</v>
      </c>
      <c r="E893" s="13">
        <v>26332</v>
      </c>
    </row>
    <row r="894" spans="1:5" x14ac:dyDescent="0.25">
      <c r="A894" s="11">
        <v>2018</v>
      </c>
      <c r="B894" s="11" t="s">
        <v>227</v>
      </c>
      <c r="C894" s="13">
        <v>2337</v>
      </c>
      <c r="D894" s="13">
        <v>1135</v>
      </c>
      <c r="E894" s="13">
        <v>1202</v>
      </c>
    </row>
    <row r="895" spans="1:5" x14ac:dyDescent="0.25">
      <c r="A895" s="11">
        <v>2018</v>
      </c>
      <c r="B895" s="11" t="s">
        <v>228</v>
      </c>
      <c r="C895" s="13">
        <v>2697</v>
      </c>
      <c r="D895" s="13">
        <v>1288</v>
      </c>
      <c r="E895" s="13">
        <v>1409</v>
      </c>
    </row>
    <row r="896" spans="1:5" x14ac:dyDescent="0.25">
      <c r="A896" s="11">
        <v>2018</v>
      </c>
      <c r="B896" s="11" t="s">
        <v>229</v>
      </c>
      <c r="C896" s="13">
        <v>964</v>
      </c>
      <c r="D896" s="13">
        <v>442</v>
      </c>
      <c r="E896" s="13">
        <v>522</v>
      </c>
    </row>
    <row r="897" spans="1:5" x14ac:dyDescent="0.25">
      <c r="A897" s="11">
        <v>2018</v>
      </c>
      <c r="B897" s="11" t="s">
        <v>230</v>
      </c>
      <c r="C897" s="13">
        <v>648</v>
      </c>
      <c r="D897" s="13">
        <v>298</v>
      </c>
      <c r="E897" s="13">
        <v>350</v>
      </c>
    </row>
    <row r="898" spans="1:5" x14ac:dyDescent="0.25">
      <c r="A898" s="11">
        <v>2018</v>
      </c>
      <c r="B898" s="11" t="s">
        <v>231</v>
      </c>
      <c r="C898" s="13">
        <v>4899</v>
      </c>
      <c r="D898" s="13">
        <v>2402</v>
      </c>
      <c r="E898" s="13">
        <v>2497</v>
      </c>
    </row>
    <row r="899" spans="1:5" x14ac:dyDescent="0.25">
      <c r="A899" s="11">
        <v>2018</v>
      </c>
      <c r="B899" s="11" t="s">
        <v>232</v>
      </c>
      <c r="C899" s="13">
        <v>465</v>
      </c>
      <c r="D899" s="13">
        <v>219</v>
      </c>
      <c r="E899" s="13">
        <v>246</v>
      </c>
    </row>
    <row r="900" spans="1:5" x14ac:dyDescent="0.25">
      <c r="A900" s="11">
        <v>2018</v>
      </c>
      <c r="B900" s="11" t="s">
        <v>233</v>
      </c>
      <c r="C900" s="13">
        <v>1198</v>
      </c>
      <c r="D900" s="13">
        <v>606</v>
      </c>
      <c r="E900" s="13">
        <v>592</v>
      </c>
    </row>
    <row r="901" spans="1:5" x14ac:dyDescent="0.25">
      <c r="A901" s="11">
        <v>2018</v>
      </c>
      <c r="B901" s="11" t="s">
        <v>234</v>
      </c>
      <c r="C901" s="13">
        <v>1488</v>
      </c>
      <c r="D901" s="13">
        <v>715</v>
      </c>
      <c r="E901" s="13">
        <v>773</v>
      </c>
    </row>
    <row r="902" spans="1:5" x14ac:dyDescent="0.25">
      <c r="A902" s="11">
        <v>2018</v>
      </c>
      <c r="B902" s="11" t="s">
        <v>235</v>
      </c>
      <c r="C902" s="13">
        <v>1176</v>
      </c>
      <c r="D902" s="13">
        <v>588</v>
      </c>
      <c r="E902" s="13">
        <v>588</v>
      </c>
    </row>
    <row r="903" spans="1:5" x14ac:dyDescent="0.25">
      <c r="A903" s="11">
        <v>2018</v>
      </c>
      <c r="B903" s="11" t="s">
        <v>236</v>
      </c>
      <c r="C903" s="13">
        <v>950</v>
      </c>
      <c r="D903" s="13">
        <v>471</v>
      </c>
      <c r="E903" s="13">
        <v>479</v>
      </c>
    </row>
    <row r="904" spans="1:5" x14ac:dyDescent="0.25">
      <c r="A904" s="11">
        <v>2018</v>
      </c>
      <c r="B904" s="11" t="s">
        <v>237</v>
      </c>
      <c r="C904" s="13">
        <v>1020</v>
      </c>
      <c r="D904" s="13">
        <v>482</v>
      </c>
      <c r="E904" s="13">
        <v>538</v>
      </c>
    </row>
    <row r="905" spans="1:5" x14ac:dyDescent="0.25">
      <c r="A905" s="11">
        <v>2018</v>
      </c>
      <c r="B905" s="11" t="s">
        <v>238</v>
      </c>
      <c r="C905" s="13">
        <v>854</v>
      </c>
      <c r="D905" s="13">
        <v>416</v>
      </c>
      <c r="E905" s="13">
        <v>438</v>
      </c>
    </row>
    <row r="906" spans="1:5" x14ac:dyDescent="0.25">
      <c r="A906" s="11">
        <v>2018</v>
      </c>
      <c r="B906" s="11" t="s">
        <v>239</v>
      </c>
      <c r="C906" s="13">
        <v>1493</v>
      </c>
      <c r="D906" s="13">
        <v>717</v>
      </c>
      <c r="E906" s="13">
        <v>776</v>
      </c>
    </row>
    <row r="907" spans="1:5" x14ac:dyDescent="0.25">
      <c r="A907" s="11">
        <v>2018</v>
      </c>
      <c r="B907" s="11" t="s">
        <v>240</v>
      </c>
      <c r="C907" s="13">
        <v>3479</v>
      </c>
      <c r="D907" s="13">
        <v>1699</v>
      </c>
      <c r="E907" s="13">
        <v>1780</v>
      </c>
    </row>
    <row r="908" spans="1:5" x14ac:dyDescent="0.25">
      <c r="A908" s="11">
        <v>2018</v>
      </c>
      <c r="B908" s="11" t="s">
        <v>241</v>
      </c>
      <c r="C908" s="13">
        <v>6548</v>
      </c>
      <c r="D908" s="13">
        <v>3260</v>
      </c>
      <c r="E908" s="13">
        <v>3288</v>
      </c>
    </row>
    <row r="909" spans="1:5" x14ac:dyDescent="0.25">
      <c r="A909" s="11">
        <v>2018</v>
      </c>
      <c r="B909" s="11" t="s">
        <v>242</v>
      </c>
      <c r="C909" s="13">
        <v>2005</v>
      </c>
      <c r="D909" s="13">
        <v>960</v>
      </c>
      <c r="E909" s="13">
        <v>1045</v>
      </c>
    </row>
    <row r="910" spans="1:5" x14ac:dyDescent="0.25">
      <c r="A910" s="11">
        <v>2018</v>
      </c>
      <c r="B910" s="11" t="s">
        <v>243</v>
      </c>
      <c r="C910" s="13">
        <v>689</v>
      </c>
      <c r="D910" s="13">
        <v>335</v>
      </c>
      <c r="E910" s="13">
        <v>354</v>
      </c>
    </row>
    <row r="911" spans="1:5" x14ac:dyDescent="0.25">
      <c r="A911" s="11">
        <v>2018</v>
      </c>
      <c r="B911" s="11" t="s">
        <v>244</v>
      </c>
      <c r="C911" s="13">
        <v>1075</v>
      </c>
      <c r="D911" s="13">
        <v>558</v>
      </c>
      <c r="E911" s="13">
        <v>517</v>
      </c>
    </row>
    <row r="912" spans="1:5" x14ac:dyDescent="0.25">
      <c r="A912" s="11">
        <v>2018</v>
      </c>
      <c r="B912" s="11" t="s">
        <v>245</v>
      </c>
      <c r="C912" s="13">
        <v>825</v>
      </c>
      <c r="D912" s="13">
        <v>385</v>
      </c>
      <c r="E912" s="13">
        <v>440</v>
      </c>
    </row>
    <row r="913" spans="1:5" x14ac:dyDescent="0.25">
      <c r="A913" s="11">
        <v>2018</v>
      </c>
      <c r="B913" s="11" t="s">
        <v>246</v>
      </c>
      <c r="C913" s="13">
        <v>206</v>
      </c>
      <c r="D913" s="13">
        <v>97</v>
      </c>
      <c r="E913" s="13">
        <v>109</v>
      </c>
    </row>
    <row r="914" spans="1:5" x14ac:dyDescent="0.25">
      <c r="A914" s="11">
        <v>2018</v>
      </c>
      <c r="B914" s="11" t="s">
        <v>247</v>
      </c>
      <c r="C914" s="13">
        <v>1125</v>
      </c>
      <c r="D914" s="13">
        <v>543</v>
      </c>
      <c r="E914" s="13">
        <v>582</v>
      </c>
    </row>
    <row r="915" spans="1:5" x14ac:dyDescent="0.25">
      <c r="A915" s="11">
        <v>2018</v>
      </c>
      <c r="B915" s="11" t="s">
        <v>248</v>
      </c>
      <c r="C915" s="13">
        <v>3387</v>
      </c>
      <c r="D915" s="13">
        <v>1644</v>
      </c>
      <c r="E915" s="13">
        <v>1743</v>
      </c>
    </row>
    <row r="916" spans="1:5" x14ac:dyDescent="0.25">
      <c r="A916" s="11">
        <v>2018</v>
      </c>
      <c r="B916" s="11" t="s">
        <v>249</v>
      </c>
      <c r="C916" s="13">
        <v>186</v>
      </c>
      <c r="D916" s="13">
        <v>92</v>
      </c>
      <c r="E916" s="13">
        <v>94</v>
      </c>
    </row>
    <row r="917" spans="1:5" x14ac:dyDescent="0.25">
      <c r="A917" s="11">
        <v>2018</v>
      </c>
      <c r="B917" s="11" t="s">
        <v>250</v>
      </c>
      <c r="C917" s="13">
        <v>1217</v>
      </c>
      <c r="D917" s="13">
        <v>615</v>
      </c>
      <c r="E917" s="13">
        <v>602</v>
      </c>
    </row>
    <row r="918" spans="1:5" x14ac:dyDescent="0.25">
      <c r="A918" s="11">
        <v>2018</v>
      </c>
      <c r="B918" s="11" t="s">
        <v>251</v>
      </c>
      <c r="C918" s="13">
        <v>1697</v>
      </c>
      <c r="D918" s="13">
        <v>802</v>
      </c>
      <c r="E918" s="13">
        <v>895</v>
      </c>
    </row>
    <row r="919" spans="1:5" x14ac:dyDescent="0.25">
      <c r="A919" s="11">
        <v>2018</v>
      </c>
      <c r="B919" s="11" t="s">
        <v>252</v>
      </c>
      <c r="C919" s="13">
        <v>984</v>
      </c>
      <c r="D919" s="13">
        <v>451</v>
      </c>
      <c r="E919" s="13">
        <v>533</v>
      </c>
    </row>
    <row r="920" spans="1:5" x14ac:dyDescent="0.25">
      <c r="A920" s="11">
        <v>2018</v>
      </c>
      <c r="B920" s="11" t="s">
        <v>253</v>
      </c>
      <c r="C920" s="13">
        <v>215</v>
      </c>
      <c r="D920" s="13">
        <v>103</v>
      </c>
      <c r="E920" s="13">
        <v>112</v>
      </c>
    </row>
    <row r="921" spans="1:5" x14ac:dyDescent="0.25">
      <c r="A921" s="11">
        <v>2018</v>
      </c>
      <c r="B921" s="11" t="s">
        <v>254</v>
      </c>
      <c r="C921" s="13">
        <v>932</v>
      </c>
      <c r="D921" s="13">
        <v>460</v>
      </c>
      <c r="E921" s="13">
        <v>472</v>
      </c>
    </row>
    <row r="922" spans="1:5" x14ac:dyDescent="0.25">
      <c r="A922" s="11">
        <v>2018</v>
      </c>
      <c r="B922" s="11" t="s">
        <v>255</v>
      </c>
      <c r="C922" s="13">
        <v>3153</v>
      </c>
      <c r="D922" s="13">
        <v>1562</v>
      </c>
      <c r="E922" s="13">
        <v>1591</v>
      </c>
    </row>
    <row r="923" spans="1:5" x14ac:dyDescent="0.25">
      <c r="A923" s="11">
        <v>2018</v>
      </c>
      <c r="B923" s="11" t="s">
        <v>256</v>
      </c>
      <c r="C923" s="13">
        <v>757</v>
      </c>
      <c r="D923" s="13">
        <v>362</v>
      </c>
      <c r="E923" s="13">
        <v>395</v>
      </c>
    </row>
    <row r="924" spans="1:5" x14ac:dyDescent="0.25">
      <c r="A924" s="11">
        <v>2018</v>
      </c>
      <c r="B924" s="11" t="s">
        <v>257</v>
      </c>
      <c r="C924" s="13">
        <v>885</v>
      </c>
      <c r="D924" s="13">
        <v>434</v>
      </c>
      <c r="E924" s="13">
        <v>451</v>
      </c>
    </row>
    <row r="925" spans="1:5" x14ac:dyDescent="0.25">
      <c r="A925" s="11">
        <v>2018</v>
      </c>
      <c r="B925" s="11" t="s">
        <v>258</v>
      </c>
      <c r="C925" s="13">
        <v>1754</v>
      </c>
      <c r="D925" s="13">
        <v>835</v>
      </c>
      <c r="E925" s="13">
        <v>919</v>
      </c>
    </row>
    <row r="926" spans="1:5" x14ac:dyDescent="0.25">
      <c r="A926" s="11">
        <v>2019</v>
      </c>
      <c r="B926" s="11" t="s">
        <v>11</v>
      </c>
      <c r="C926" s="13">
        <v>49863</v>
      </c>
      <c r="D926" s="13">
        <v>24176</v>
      </c>
      <c r="E926" s="13">
        <v>25687</v>
      </c>
    </row>
    <row r="927" spans="1:5" x14ac:dyDescent="0.25">
      <c r="A927" s="11">
        <v>2019</v>
      </c>
      <c r="B927" s="11" t="s">
        <v>227</v>
      </c>
      <c r="C927" s="13">
        <v>2260</v>
      </c>
      <c r="D927" s="13">
        <v>1114</v>
      </c>
      <c r="E927" s="13">
        <v>1146</v>
      </c>
    </row>
    <row r="928" spans="1:5" x14ac:dyDescent="0.25">
      <c r="A928" s="11">
        <v>2019</v>
      </c>
      <c r="B928" s="11" t="s">
        <v>228</v>
      </c>
      <c r="C928" s="13">
        <v>2400</v>
      </c>
      <c r="D928" s="13">
        <v>1183</v>
      </c>
      <c r="E928" s="13">
        <v>1217</v>
      </c>
    </row>
    <row r="929" spans="1:5" x14ac:dyDescent="0.25">
      <c r="A929" s="11">
        <v>2019</v>
      </c>
      <c r="B929" s="11" t="s">
        <v>229</v>
      </c>
      <c r="C929" s="13">
        <v>965</v>
      </c>
      <c r="D929" s="13">
        <v>456</v>
      </c>
      <c r="E929" s="13">
        <v>509</v>
      </c>
    </row>
    <row r="930" spans="1:5" x14ac:dyDescent="0.25">
      <c r="A930" s="11">
        <v>2019</v>
      </c>
      <c r="B930" s="11" t="s">
        <v>230</v>
      </c>
      <c r="C930" s="13">
        <v>631</v>
      </c>
      <c r="D930" s="13">
        <v>301</v>
      </c>
      <c r="E930" s="13">
        <v>330</v>
      </c>
    </row>
    <row r="931" spans="1:5" x14ac:dyDescent="0.25">
      <c r="A931" s="11">
        <v>2019</v>
      </c>
      <c r="B931" s="11" t="s">
        <v>231</v>
      </c>
      <c r="C931" s="13">
        <v>4683</v>
      </c>
      <c r="D931" s="13">
        <v>2231</v>
      </c>
      <c r="E931" s="13">
        <v>2452</v>
      </c>
    </row>
    <row r="932" spans="1:5" x14ac:dyDescent="0.25">
      <c r="A932" s="11">
        <v>2019</v>
      </c>
      <c r="B932" s="11" t="s">
        <v>232</v>
      </c>
      <c r="C932" s="13">
        <v>414</v>
      </c>
      <c r="D932" s="13">
        <v>206</v>
      </c>
      <c r="E932" s="13">
        <v>208</v>
      </c>
    </row>
    <row r="933" spans="1:5" x14ac:dyDescent="0.25">
      <c r="A933" s="11">
        <v>2019</v>
      </c>
      <c r="B933" s="11" t="s">
        <v>233</v>
      </c>
      <c r="C933" s="13">
        <v>1153</v>
      </c>
      <c r="D933" s="13">
        <v>548</v>
      </c>
      <c r="E933" s="13">
        <v>605</v>
      </c>
    </row>
    <row r="934" spans="1:5" x14ac:dyDescent="0.25">
      <c r="A934" s="11">
        <v>2019</v>
      </c>
      <c r="B934" s="11" t="s">
        <v>234</v>
      </c>
      <c r="C934" s="13">
        <v>1417</v>
      </c>
      <c r="D934" s="13">
        <v>692</v>
      </c>
      <c r="E934" s="13">
        <v>725</v>
      </c>
    </row>
    <row r="935" spans="1:5" x14ac:dyDescent="0.25">
      <c r="A935" s="11">
        <v>2019</v>
      </c>
      <c r="B935" s="11" t="s">
        <v>235</v>
      </c>
      <c r="C935" s="13">
        <v>1176</v>
      </c>
      <c r="D935" s="13">
        <v>581</v>
      </c>
      <c r="E935" s="13">
        <v>595</v>
      </c>
    </row>
    <row r="936" spans="1:5" x14ac:dyDescent="0.25">
      <c r="A936" s="11">
        <v>2019</v>
      </c>
      <c r="B936" s="11" t="s">
        <v>236</v>
      </c>
      <c r="C936" s="13">
        <v>910</v>
      </c>
      <c r="D936" s="13">
        <v>439</v>
      </c>
      <c r="E936" s="13">
        <v>471</v>
      </c>
    </row>
    <row r="937" spans="1:5" x14ac:dyDescent="0.25">
      <c r="A937" s="11">
        <v>2019</v>
      </c>
      <c r="B937" s="11" t="s">
        <v>237</v>
      </c>
      <c r="C937" s="13">
        <v>973</v>
      </c>
      <c r="D937" s="13">
        <v>468</v>
      </c>
      <c r="E937" s="13">
        <v>505</v>
      </c>
    </row>
    <row r="938" spans="1:5" x14ac:dyDescent="0.25">
      <c r="A938" s="11">
        <v>2019</v>
      </c>
      <c r="B938" s="11" t="s">
        <v>238</v>
      </c>
      <c r="C938" s="13">
        <v>808</v>
      </c>
      <c r="D938" s="13">
        <v>380</v>
      </c>
      <c r="E938" s="13">
        <v>428</v>
      </c>
    </row>
    <row r="939" spans="1:5" x14ac:dyDescent="0.25">
      <c r="A939" s="11">
        <v>2019</v>
      </c>
      <c r="B939" s="11" t="s">
        <v>239</v>
      </c>
      <c r="C939" s="13">
        <v>1460</v>
      </c>
      <c r="D939" s="13">
        <v>684</v>
      </c>
      <c r="E939" s="13">
        <v>776</v>
      </c>
    </row>
    <row r="940" spans="1:5" x14ac:dyDescent="0.25">
      <c r="A940" s="11">
        <v>2019</v>
      </c>
      <c r="B940" s="11" t="s">
        <v>240</v>
      </c>
      <c r="C940" s="13">
        <v>3325</v>
      </c>
      <c r="D940" s="13">
        <v>1599</v>
      </c>
      <c r="E940" s="13">
        <v>1726</v>
      </c>
    </row>
    <row r="941" spans="1:5" x14ac:dyDescent="0.25">
      <c r="A941" s="11">
        <v>2019</v>
      </c>
      <c r="B941" s="11" t="s">
        <v>241</v>
      </c>
      <c r="C941" s="13">
        <v>6553</v>
      </c>
      <c r="D941" s="13">
        <v>3213</v>
      </c>
      <c r="E941" s="13">
        <v>3340</v>
      </c>
    </row>
    <row r="942" spans="1:5" x14ac:dyDescent="0.25">
      <c r="A942" s="11">
        <v>2019</v>
      </c>
      <c r="B942" s="11" t="s">
        <v>242</v>
      </c>
      <c r="C942" s="13">
        <v>1966</v>
      </c>
      <c r="D942" s="13">
        <v>933</v>
      </c>
      <c r="E942" s="13">
        <v>1033</v>
      </c>
    </row>
    <row r="943" spans="1:5" x14ac:dyDescent="0.25">
      <c r="A943" s="11">
        <v>2019</v>
      </c>
      <c r="B943" s="11" t="s">
        <v>243</v>
      </c>
      <c r="C943" s="13">
        <v>615</v>
      </c>
      <c r="D943" s="13">
        <v>299</v>
      </c>
      <c r="E943" s="13">
        <v>316</v>
      </c>
    </row>
    <row r="944" spans="1:5" x14ac:dyDescent="0.25">
      <c r="A944" s="11">
        <v>2019</v>
      </c>
      <c r="B944" s="11" t="s">
        <v>244</v>
      </c>
      <c r="C944" s="13">
        <v>1057</v>
      </c>
      <c r="D944" s="13">
        <v>525</v>
      </c>
      <c r="E944" s="13">
        <v>532</v>
      </c>
    </row>
    <row r="945" spans="1:5" x14ac:dyDescent="0.25">
      <c r="A945" s="11">
        <v>2019</v>
      </c>
      <c r="B945" s="11" t="s">
        <v>245</v>
      </c>
      <c r="C945" s="13">
        <v>816</v>
      </c>
      <c r="D945" s="13">
        <v>410</v>
      </c>
      <c r="E945" s="13">
        <v>406</v>
      </c>
    </row>
    <row r="946" spans="1:5" x14ac:dyDescent="0.25">
      <c r="A946" s="11">
        <v>2019</v>
      </c>
      <c r="B946" s="11" t="s">
        <v>246</v>
      </c>
      <c r="C946" s="13">
        <v>200</v>
      </c>
      <c r="D946" s="13">
        <v>109</v>
      </c>
      <c r="E946" s="13">
        <v>91</v>
      </c>
    </row>
    <row r="947" spans="1:5" x14ac:dyDescent="0.25">
      <c r="A947" s="11">
        <v>2019</v>
      </c>
      <c r="B947" s="11" t="s">
        <v>247</v>
      </c>
      <c r="C947" s="13">
        <v>1124</v>
      </c>
      <c r="D947" s="13">
        <v>547</v>
      </c>
      <c r="E947" s="13">
        <v>577</v>
      </c>
    </row>
    <row r="948" spans="1:5" x14ac:dyDescent="0.25">
      <c r="A948" s="11">
        <v>2019</v>
      </c>
      <c r="B948" s="11" t="s">
        <v>248</v>
      </c>
      <c r="C948" s="13">
        <v>3438</v>
      </c>
      <c r="D948" s="13">
        <v>1700</v>
      </c>
      <c r="E948" s="13">
        <v>1738</v>
      </c>
    </row>
    <row r="949" spans="1:5" x14ac:dyDescent="0.25">
      <c r="A949" s="11">
        <v>2019</v>
      </c>
      <c r="B949" s="11" t="s">
        <v>249</v>
      </c>
      <c r="C949" s="13">
        <v>182</v>
      </c>
      <c r="D949" s="13">
        <v>81</v>
      </c>
      <c r="E949" s="13">
        <v>101</v>
      </c>
    </row>
    <row r="950" spans="1:5" x14ac:dyDescent="0.25">
      <c r="A950" s="11">
        <v>2019</v>
      </c>
      <c r="B950" s="11" t="s">
        <v>250</v>
      </c>
      <c r="C950" s="13">
        <v>1197</v>
      </c>
      <c r="D950" s="13">
        <v>563</v>
      </c>
      <c r="E950" s="13">
        <v>634</v>
      </c>
    </row>
    <row r="951" spans="1:5" x14ac:dyDescent="0.25">
      <c r="A951" s="11">
        <v>2019</v>
      </c>
      <c r="B951" s="11" t="s">
        <v>251</v>
      </c>
      <c r="C951" s="13">
        <v>1693</v>
      </c>
      <c r="D951" s="13">
        <v>814</v>
      </c>
      <c r="E951" s="13">
        <v>879</v>
      </c>
    </row>
    <row r="952" spans="1:5" x14ac:dyDescent="0.25">
      <c r="A952" s="11">
        <v>2019</v>
      </c>
      <c r="B952" s="11" t="s">
        <v>252</v>
      </c>
      <c r="C952" s="13">
        <v>916</v>
      </c>
      <c r="D952" s="13">
        <v>434</v>
      </c>
      <c r="E952" s="13">
        <v>482</v>
      </c>
    </row>
    <row r="953" spans="1:5" x14ac:dyDescent="0.25">
      <c r="A953" s="11">
        <v>2019</v>
      </c>
      <c r="B953" s="11" t="s">
        <v>253</v>
      </c>
      <c r="C953" s="13">
        <v>205</v>
      </c>
      <c r="D953" s="13">
        <v>106</v>
      </c>
      <c r="E953" s="13">
        <v>99</v>
      </c>
    </row>
    <row r="954" spans="1:5" x14ac:dyDescent="0.25">
      <c r="A954" s="11">
        <v>2019</v>
      </c>
      <c r="B954" s="11" t="s">
        <v>254</v>
      </c>
      <c r="C954" s="13">
        <v>837</v>
      </c>
      <c r="D954" s="13">
        <v>411</v>
      </c>
      <c r="E954" s="13">
        <v>426</v>
      </c>
    </row>
    <row r="955" spans="1:5" x14ac:dyDescent="0.25">
      <c r="A955" s="11">
        <v>2019</v>
      </c>
      <c r="B955" s="11" t="s">
        <v>255</v>
      </c>
      <c r="C955" s="13">
        <v>3109</v>
      </c>
      <c r="D955" s="13">
        <v>1526</v>
      </c>
      <c r="E955" s="13">
        <v>1583</v>
      </c>
    </row>
    <row r="956" spans="1:5" x14ac:dyDescent="0.25">
      <c r="A956" s="11">
        <v>2019</v>
      </c>
      <c r="B956" s="11" t="s">
        <v>256</v>
      </c>
      <c r="C956" s="13">
        <v>737</v>
      </c>
      <c r="D956" s="13">
        <v>357</v>
      </c>
      <c r="E956" s="13">
        <v>380</v>
      </c>
    </row>
    <row r="957" spans="1:5" x14ac:dyDescent="0.25">
      <c r="A957" s="11">
        <v>2019</v>
      </c>
      <c r="B957" s="11" t="s">
        <v>257</v>
      </c>
      <c r="C957" s="13">
        <v>845</v>
      </c>
      <c r="D957" s="13">
        <v>390</v>
      </c>
      <c r="E957" s="13">
        <v>455</v>
      </c>
    </row>
    <row r="958" spans="1:5" x14ac:dyDescent="0.25">
      <c r="A958" s="11">
        <v>2019</v>
      </c>
      <c r="B958" s="11" t="s">
        <v>258</v>
      </c>
      <c r="C958" s="13">
        <v>1798</v>
      </c>
      <c r="D958" s="13">
        <v>876</v>
      </c>
      <c r="E958" s="13">
        <v>922</v>
      </c>
    </row>
    <row r="959" spans="1:5" x14ac:dyDescent="0.25">
      <c r="A959" s="11">
        <v>2020</v>
      </c>
      <c r="B959" s="11" t="s">
        <v>11</v>
      </c>
      <c r="C959" s="13">
        <v>46809</v>
      </c>
      <c r="D959" s="13">
        <v>22837</v>
      </c>
      <c r="E959" s="13">
        <v>23972</v>
      </c>
    </row>
    <row r="960" spans="1:5" x14ac:dyDescent="0.25">
      <c r="A960" s="11">
        <v>2020</v>
      </c>
      <c r="B960" s="11" t="s">
        <v>227</v>
      </c>
      <c r="C960" s="13">
        <v>2007</v>
      </c>
      <c r="D960" s="13">
        <v>973</v>
      </c>
      <c r="E960" s="13">
        <v>1034</v>
      </c>
    </row>
    <row r="961" spans="1:5" x14ac:dyDescent="0.25">
      <c r="A961" s="11">
        <v>2020</v>
      </c>
      <c r="B961" s="11" t="s">
        <v>228</v>
      </c>
      <c r="C961" s="13">
        <v>2287</v>
      </c>
      <c r="D961" s="13">
        <v>1101</v>
      </c>
      <c r="E961" s="13">
        <v>1186</v>
      </c>
    </row>
    <row r="962" spans="1:5" x14ac:dyDescent="0.25">
      <c r="A962" s="11">
        <v>2020</v>
      </c>
      <c r="B962" s="11" t="s">
        <v>229</v>
      </c>
      <c r="C962" s="13">
        <v>860</v>
      </c>
      <c r="D962" s="13">
        <v>404</v>
      </c>
      <c r="E962" s="13">
        <v>456</v>
      </c>
    </row>
    <row r="963" spans="1:5" x14ac:dyDescent="0.25">
      <c r="A963" s="11">
        <v>2020</v>
      </c>
      <c r="B963" s="11" t="s">
        <v>230</v>
      </c>
      <c r="C963" s="13">
        <v>592</v>
      </c>
      <c r="D963" s="13">
        <v>288</v>
      </c>
      <c r="E963" s="13">
        <v>304</v>
      </c>
    </row>
    <row r="964" spans="1:5" x14ac:dyDescent="0.25">
      <c r="A964" s="11">
        <v>2020</v>
      </c>
      <c r="B964" s="11" t="s">
        <v>231</v>
      </c>
      <c r="C964" s="13">
        <v>4548</v>
      </c>
      <c r="D964" s="13">
        <v>2253</v>
      </c>
      <c r="E964" s="13">
        <v>2295</v>
      </c>
    </row>
    <row r="965" spans="1:5" x14ac:dyDescent="0.25">
      <c r="A965" s="11">
        <v>2020</v>
      </c>
      <c r="B965" s="11" t="s">
        <v>232</v>
      </c>
      <c r="C965" s="13">
        <v>444</v>
      </c>
      <c r="D965" s="13">
        <v>216</v>
      </c>
      <c r="E965" s="13">
        <v>228</v>
      </c>
    </row>
    <row r="966" spans="1:5" x14ac:dyDescent="0.25">
      <c r="A966" s="11">
        <v>2020</v>
      </c>
      <c r="B966" s="11" t="s">
        <v>233</v>
      </c>
      <c r="C966" s="13">
        <v>1137</v>
      </c>
      <c r="D966" s="13">
        <v>547</v>
      </c>
      <c r="E966" s="13">
        <v>590</v>
      </c>
    </row>
    <row r="967" spans="1:5" x14ac:dyDescent="0.25">
      <c r="A967" s="11">
        <v>2020</v>
      </c>
      <c r="B967" s="11" t="s">
        <v>234</v>
      </c>
      <c r="C967" s="13">
        <v>1287</v>
      </c>
      <c r="D967" s="13">
        <v>634</v>
      </c>
      <c r="E967" s="13">
        <v>653</v>
      </c>
    </row>
    <row r="968" spans="1:5" x14ac:dyDescent="0.25">
      <c r="A968" s="11">
        <v>2020</v>
      </c>
      <c r="B968" s="11" t="s">
        <v>235</v>
      </c>
      <c r="C968" s="13">
        <v>1113</v>
      </c>
      <c r="D968" s="13">
        <v>550</v>
      </c>
      <c r="E968" s="13">
        <v>563</v>
      </c>
    </row>
    <row r="969" spans="1:5" x14ac:dyDescent="0.25">
      <c r="A969" s="11">
        <v>2020</v>
      </c>
      <c r="B969" s="11" t="s">
        <v>236</v>
      </c>
      <c r="C969" s="13">
        <v>884</v>
      </c>
      <c r="D969" s="13">
        <v>448</v>
      </c>
      <c r="E969" s="13">
        <v>436</v>
      </c>
    </row>
    <row r="970" spans="1:5" x14ac:dyDescent="0.25">
      <c r="A970" s="11">
        <v>2020</v>
      </c>
      <c r="B970" s="11" t="s">
        <v>237</v>
      </c>
      <c r="C970" s="13">
        <v>960</v>
      </c>
      <c r="D970" s="13">
        <v>470</v>
      </c>
      <c r="E970" s="13">
        <v>490</v>
      </c>
    </row>
    <row r="971" spans="1:5" x14ac:dyDescent="0.25">
      <c r="A971" s="11">
        <v>2020</v>
      </c>
      <c r="B971" s="11" t="s">
        <v>238</v>
      </c>
      <c r="C971" s="13">
        <v>797</v>
      </c>
      <c r="D971" s="13">
        <v>381</v>
      </c>
      <c r="E971" s="13">
        <v>416</v>
      </c>
    </row>
    <row r="972" spans="1:5" x14ac:dyDescent="0.25">
      <c r="A972" s="11">
        <v>2020</v>
      </c>
      <c r="B972" s="11" t="s">
        <v>239</v>
      </c>
      <c r="C972" s="13">
        <v>1432</v>
      </c>
      <c r="D972" s="13">
        <v>696</v>
      </c>
      <c r="E972" s="13">
        <v>736</v>
      </c>
    </row>
    <row r="973" spans="1:5" x14ac:dyDescent="0.25">
      <c r="A973" s="11">
        <v>2020</v>
      </c>
      <c r="B973" s="11" t="s">
        <v>240</v>
      </c>
      <c r="C973" s="13">
        <v>3144</v>
      </c>
      <c r="D973" s="13">
        <v>1509</v>
      </c>
      <c r="E973" s="13">
        <v>1635</v>
      </c>
    </row>
    <row r="974" spans="1:5" x14ac:dyDescent="0.25">
      <c r="A974" s="11">
        <v>2020</v>
      </c>
      <c r="B974" s="11" t="s">
        <v>241</v>
      </c>
      <c r="C974" s="13">
        <v>5867</v>
      </c>
      <c r="D974" s="13">
        <v>2899</v>
      </c>
      <c r="E974" s="13">
        <v>2968</v>
      </c>
    </row>
    <row r="975" spans="1:5" x14ac:dyDescent="0.25">
      <c r="A975" s="11">
        <v>2020</v>
      </c>
      <c r="B975" s="11" t="s">
        <v>242</v>
      </c>
      <c r="C975" s="13">
        <v>1866</v>
      </c>
      <c r="D975" s="13">
        <v>916</v>
      </c>
      <c r="E975" s="13">
        <v>950</v>
      </c>
    </row>
    <row r="976" spans="1:5" x14ac:dyDescent="0.25">
      <c r="A976" s="11">
        <v>2020</v>
      </c>
      <c r="B976" s="11" t="s">
        <v>243</v>
      </c>
      <c r="C976" s="13">
        <v>615</v>
      </c>
      <c r="D976" s="13">
        <v>309</v>
      </c>
      <c r="E976" s="13">
        <v>306</v>
      </c>
    </row>
    <row r="977" spans="1:5" x14ac:dyDescent="0.25">
      <c r="A977" s="11">
        <v>2020</v>
      </c>
      <c r="B977" s="11" t="s">
        <v>244</v>
      </c>
      <c r="C977" s="13">
        <v>979</v>
      </c>
      <c r="D977" s="13">
        <v>463</v>
      </c>
      <c r="E977" s="13">
        <v>516</v>
      </c>
    </row>
    <row r="978" spans="1:5" x14ac:dyDescent="0.25">
      <c r="A978" s="11">
        <v>2020</v>
      </c>
      <c r="B978" s="11" t="s">
        <v>245</v>
      </c>
      <c r="C978" s="13">
        <v>855</v>
      </c>
      <c r="D978" s="13">
        <v>410</v>
      </c>
      <c r="E978" s="13">
        <v>445</v>
      </c>
    </row>
    <row r="979" spans="1:5" x14ac:dyDescent="0.25">
      <c r="A979" s="11">
        <v>2020</v>
      </c>
      <c r="B979" s="11" t="s">
        <v>246</v>
      </c>
      <c r="C979" s="13">
        <v>183</v>
      </c>
      <c r="D979" s="13">
        <v>93</v>
      </c>
      <c r="E979" s="13">
        <v>90</v>
      </c>
    </row>
    <row r="980" spans="1:5" x14ac:dyDescent="0.25">
      <c r="A980" s="11">
        <v>2020</v>
      </c>
      <c r="B980" s="11" t="s">
        <v>247</v>
      </c>
      <c r="C980" s="13">
        <v>1107</v>
      </c>
      <c r="D980" s="13">
        <v>540</v>
      </c>
      <c r="E980" s="13">
        <v>567</v>
      </c>
    </row>
    <row r="981" spans="1:5" x14ac:dyDescent="0.25">
      <c r="A981" s="11">
        <v>2020</v>
      </c>
      <c r="B981" s="11" t="s">
        <v>248</v>
      </c>
      <c r="C981" s="13">
        <v>3051</v>
      </c>
      <c r="D981" s="13">
        <v>1497</v>
      </c>
      <c r="E981" s="13">
        <v>1554</v>
      </c>
    </row>
    <row r="982" spans="1:5" x14ac:dyDescent="0.25">
      <c r="A982" s="11">
        <v>2020</v>
      </c>
      <c r="B982" s="11" t="s">
        <v>249</v>
      </c>
      <c r="C982" s="13">
        <v>183</v>
      </c>
      <c r="D982" s="13">
        <v>88</v>
      </c>
      <c r="E982" s="13">
        <v>95</v>
      </c>
    </row>
    <row r="983" spans="1:5" x14ac:dyDescent="0.25">
      <c r="A983" s="11">
        <v>2020</v>
      </c>
      <c r="B983" s="11" t="s">
        <v>250</v>
      </c>
      <c r="C983" s="13">
        <v>1186</v>
      </c>
      <c r="D983" s="13">
        <v>552</v>
      </c>
      <c r="E983" s="13">
        <v>634</v>
      </c>
    </row>
    <row r="984" spans="1:5" x14ac:dyDescent="0.25">
      <c r="A984" s="11">
        <v>2020</v>
      </c>
      <c r="B984" s="11" t="s">
        <v>251</v>
      </c>
      <c r="C984" s="13">
        <v>1539</v>
      </c>
      <c r="D984" s="13">
        <v>782</v>
      </c>
      <c r="E984" s="13">
        <v>757</v>
      </c>
    </row>
    <row r="985" spans="1:5" x14ac:dyDescent="0.25">
      <c r="A985" s="11">
        <v>2020</v>
      </c>
      <c r="B985" s="11" t="s">
        <v>252</v>
      </c>
      <c r="C985" s="13">
        <v>845</v>
      </c>
      <c r="D985" s="13">
        <v>380</v>
      </c>
      <c r="E985" s="13">
        <v>465</v>
      </c>
    </row>
    <row r="986" spans="1:5" x14ac:dyDescent="0.25">
      <c r="A986" s="11">
        <v>2020</v>
      </c>
      <c r="B986" s="11" t="s">
        <v>253</v>
      </c>
      <c r="C986" s="13">
        <v>176</v>
      </c>
      <c r="D986" s="13">
        <v>86</v>
      </c>
      <c r="E986" s="13">
        <v>90</v>
      </c>
    </row>
    <row r="987" spans="1:5" x14ac:dyDescent="0.25">
      <c r="A987" s="11">
        <v>2020</v>
      </c>
      <c r="B987" s="11" t="s">
        <v>254</v>
      </c>
      <c r="C987" s="13">
        <v>817</v>
      </c>
      <c r="D987" s="13">
        <v>399</v>
      </c>
      <c r="E987" s="13">
        <v>418</v>
      </c>
    </row>
    <row r="988" spans="1:5" x14ac:dyDescent="0.25">
      <c r="A988" s="11">
        <v>2020</v>
      </c>
      <c r="B988" s="11" t="s">
        <v>255</v>
      </c>
      <c r="C988" s="13">
        <v>2918</v>
      </c>
      <c r="D988" s="13">
        <v>1444</v>
      </c>
      <c r="E988" s="13">
        <v>1474</v>
      </c>
    </row>
    <row r="989" spans="1:5" x14ac:dyDescent="0.25">
      <c r="A989" s="11">
        <v>2020</v>
      </c>
      <c r="B989" s="11" t="s">
        <v>256</v>
      </c>
      <c r="C989" s="13">
        <v>696</v>
      </c>
      <c r="D989" s="13">
        <v>324</v>
      </c>
      <c r="E989" s="13">
        <v>372</v>
      </c>
    </row>
    <row r="990" spans="1:5" x14ac:dyDescent="0.25">
      <c r="A990" s="11">
        <v>2020</v>
      </c>
      <c r="B990" s="11" t="s">
        <v>257</v>
      </c>
      <c r="C990" s="13">
        <v>771</v>
      </c>
      <c r="D990" s="13">
        <v>372</v>
      </c>
      <c r="E990" s="13">
        <v>399</v>
      </c>
    </row>
    <row r="991" spans="1:5" x14ac:dyDescent="0.25">
      <c r="A991" s="11">
        <v>2020</v>
      </c>
      <c r="B991" s="11" t="s">
        <v>258</v>
      </c>
      <c r="C991" s="13">
        <v>1663</v>
      </c>
      <c r="D991" s="13">
        <v>813</v>
      </c>
      <c r="E991" s="13">
        <v>850</v>
      </c>
    </row>
    <row r="992" spans="1:5" x14ac:dyDescent="0.25">
      <c r="A992" s="11">
        <v>2021</v>
      </c>
      <c r="B992" s="11" t="s">
        <v>11</v>
      </c>
      <c r="C992" s="13">
        <v>47786</v>
      </c>
      <c r="D992" s="13">
        <v>23244</v>
      </c>
      <c r="E992" s="13">
        <v>24542</v>
      </c>
    </row>
    <row r="993" spans="1:5" x14ac:dyDescent="0.25">
      <c r="A993" s="11">
        <v>2021</v>
      </c>
      <c r="B993" s="11" t="s">
        <v>227</v>
      </c>
      <c r="C993" s="13">
        <v>2041</v>
      </c>
      <c r="D993" s="13">
        <v>1011</v>
      </c>
      <c r="E993" s="13">
        <v>1030</v>
      </c>
    </row>
    <row r="994" spans="1:5" x14ac:dyDescent="0.25">
      <c r="A994" s="11">
        <v>2021</v>
      </c>
      <c r="B994" s="11" t="s">
        <v>228</v>
      </c>
      <c r="C994" s="13">
        <v>2339</v>
      </c>
      <c r="D994" s="13">
        <v>1160</v>
      </c>
      <c r="E994" s="13">
        <v>1179</v>
      </c>
    </row>
    <row r="995" spans="1:5" x14ac:dyDescent="0.25">
      <c r="A995" s="11">
        <v>2021</v>
      </c>
      <c r="B995" s="11" t="s">
        <v>229</v>
      </c>
      <c r="C995" s="13">
        <v>915</v>
      </c>
      <c r="D995" s="13">
        <v>471</v>
      </c>
      <c r="E995" s="13">
        <v>444</v>
      </c>
    </row>
    <row r="996" spans="1:5" x14ac:dyDescent="0.25">
      <c r="A996" s="11">
        <v>2021</v>
      </c>
      <c r="B996" s="11" t="s">
        <v>230</v>
      </c>
      <c r="C996" s="13">
        <v>599</v>
      </c>
      <c r="D996" s="13">
        <v>298</v>
      </c>
      <c r="E996" s="13">
        <v>301</v>
      </c>
    </row>
    <row r="997" spans="1:5" x14ac:dyDescent="0.25">
      <c r="A997" s="11">
        <v>2021</v>
      </c>
      <c r="B997" s="11" t="s">
        <v>231</v>
      </c>
      <c r="C997" s="13">
        <v>4653</v>
      </c>
      <c r="D997" s="13">
        <v>2312</v>
      </c>
      <c r="E997" s="13">
        <v>2341</v>
      </c>
    </row>
    <row r="998" spans="1:5" x14ac:dyDescent="0.25">
      <c r="A998" s="11">
        <v>2021</v>
      </c>
      <c r="B998" s="11" t="s">
        <v>232</v>
      </c>
      <c r="C998" s="13">
        <v>498</v>
      </c>
      <c r="D998" s="13">
        <v>223</v>
      </c>
      <c r="E998" s="13">
        <v>275</v>
      </c>
    </row>
    <row r="999" spans="1:5" x14ac:dyDescent="0.25">
      <c r="A999" s="11">
        <v>2021</v>
      </c>
      <c r="B999" s="11" t="s">
        <v>233</v>
      </c>
      <c r="C999" s="13">
        <v>1083</v>
      </c>
      <c r="D999" s="13">
        <v>525</v>
      </c>
      <c r="E999" s="13">
        <v>558</v>
      </c>
    </row>
    <row r="1000" spans="1:5" x14ac:dyDescent="0.25">
      <c r="A1000" s="11">
        <v>2021</v>
      </c>
      <c r="B1000" s="11" t="s">
        <v>234</v>
      </c>
      <c r="C1000" s="13">
        <v>1255</v>
      </c>
      <c r="D1000" s="13">
        <v>607</v>
      </c>
      <c r="E1000" s="13">
        <v>648</v>
      </c>
    </row>
    <row r="1001" spans="1:5" x14ac:dyDescent="0.25">
      <c r="A1001" s="11">
        <v>2021</v>
      </c>
      <c r="B1001" s="11" t="s">
        <v>235</v>
      </c>
      <c r="C1001" s="13">
        <v>1122</v>
      </c>
      <c r="D1001" s="13">
        <v>541</v>
      </c>
      <c r="E1001" s="13">
        <v>581</v>
      </c>
    </row>
    <row r="1002" spans="1:5" x14ac:dyDescent="0.25">
      <c r="A1002" s="11">
        <v>2021</v>
      </c>
      <c r="B1002" s="11" t="s">
        <v>236</v>
      </c>
      <c r="C1002" s="13">
        <v>898</v>
      </c>
      <c r="D1002" s="13">
        <v>426</v>
      </c>
      <c r="E1002" s="13">
        <v>472</v>
      </c>
    </row>
    <row r="1003" spans="1:5" x14ac:dyDescent="0.25">
      <c r="A1003" s="11">
        <v>2021</v>
      </c>
      <c r="B1003" s="11" t="s">
        <v>237</v>
      </c>
      <c r="C1003" s="13">
        <v>975</v>
      </c>
      <c r="D1003" s="13">
        <v>453</v>
      </c>
      <c r="E1003" s="13">
        <v>522</v>
      </c>
    </row>
    <row r="1004" spans="1:5" x14ac:dyDescent="0.25">
      <c r="A1004" s="11">
        <v>2021</v>
      </c>
      <c r="B1004" s="11" t="s">
        <v>238</v>
      </c>
      <c r="C1004" s="13">
        <v>790</v>
      </c>
      <c r="D1004" s="13">
        <v>344</v>
      </c>
      <c r="E1004" s="13">
        <v>446</v>
      </c>
    </row>
    <row r="1005" spans="1:5" x14ac:dyDescent="0.25">
      <c r="A1005" s="11">
        <v>2021</v>
      </c>
      <c r="B1005" s="11" t="s">
        <v>239</v>
      </c>
      <c r="C1005" s="13">
        <v>1466</v>
      </c>
      <c r="D1005" s="13">
        <v>715</v>
      </c>
      <c r="E1005" s="13">
        <v>751</v>
      </c>
    </row>
    <row r="1006" spans="1:5" x14ac:dyDescent="0.25">
      <c r="A1006" s="11">
        <v>2021</v>
      </c>
      <c r="B1006" s="11" t="s">
        <v>240</v>
      </c>
      <c r="C1006" s="13">
        <v>3157</v>
      </c>
      <c r="D1006" s="13">
        <v>1534</v>
      </c>
      <c r="E1006" s="13">
        <v>1623</v>
      </c>
    </row>
    <row r="1007" spans="1:5" x14ac:dyDescent="0.25">
      <c r="A1007" s="11">
        <v>2021</v>
      </c>
      <c r="B1007" s="11" t="s">
        <v>241</v>
      </c>
      <c r="C1007" s="13">
        <v>5929</v>
      </c>
      <c r="D1007" s="13">
        <v>2862</v>
      </c>
      <c r="E1007" s="13">
        <v>3067</v>
      </c>
    </row>
    <row r="1008" spans="1:5" x14ac:dyDescent="0.25">
      <c r="A1008" s="11">
        <v>2021</v>
      </c>
      <c r="B1008" s="11" t="s">
        <v>242</v>
      </c>
      <c r="C1008" s="13">
        <v>1885</v>
      </c>
      <c r="D1008" s="13">
        <v>929</v>
      </c>
      <c r="E1008" s="13">
        <v>956</v>
      </c>
    </row>
    <row r="1009" spans="1:5" x14ac:dyDescent="0.25">
      <c r="A1009" s="11">
        <v>2021</v>
      </c>
      <c r="B1009" s="11" t="s">
        <v>243</v>
      </c>
      <c r="C1009" s="13">
        <v>605</v>
      </c>
      <c r="D1009" s="13">
        <v>281</v>
      </c>
      <c r="E1009" s="13">
        <v>324</v>
      </c>
    </row>
    <row r="1010" spans="1:5" x14ac:dyDescent="0.25">
      <c r="A1010" s="11">
        <v>2021</v>
      </c>
      <c r="B1010" s="11" t="s">
        <v>244</v>
      </c>
      <c r="C1010" s="13">
        <v>1071</v>
      </c>
      <c r="D1010" s="13">
        <v>513</v>
      </c>
      <c r="E1010" s="13">
        <v>558</v>
      </c>
    </row>
    <row r="1011" spans="1:5" x14ac:dyDescent="0.25">
      <c r="A1011" s="11">
        <v>2021</v>
      </c>
      <c r="B1011" s="11" t="s">
        <v>245</v>
      </c>
      <c r="C1011" s="13">
        <v>846</v>
      </c>
      <c r="D1011" s="13">
        <v>408</v>
      </c>
      <c r="E1011" s="13">
        <v>438</v>
      </c>
    </row>
    <row r="1012" spans="1:5" x14ac:dyDescent="0.25">
      <c r="A1012" s="11">
        <v>2021</v>
      </c>
      <c r="B1012" s="11" t="s">
        <v>246</v>
      </c>
      <c r="C1012" s="13">
        <v>181</v>
      </c>
      <c r="D1012" s="13">
        <v>89</v>
      </c>
      <c r="E1012" s="13">
        <v>92</v>
      </c>
    </row>
    <row r="1013" spans="1:5" x14ac:dyDescent="0.25">
      <c r="A1013" s="11">
        <v>2021</v>
      </c>
      <c r="B1013" s="11" t="s">
        <v>247</v>
      </c>
      <c r="C1013" s="13">
        <v>1069</v>
      </c>
      <c r="D1013" s="13">
        <v>525</v>
      </c>
      <c r="E1013" s="13">
        <v>544</v>
      </c>
    </row>
    <row r="1014" spans="1:5" x14ac:dyDescent="0.25">
      <c r="A1014" s="11">
        <v>2021</v>
      </c>
      <c r="B1014" s="11" t="s">
        <v>248</v>
      </c>
      <c r="C1014" s="13">
        <v>3296</v>
      </c>
      <c r="D1014" s="13">
        <v>1585</v>
      </c>
      <c r="E1014" s="13">
        <v>1711</v>
      </c>
    </row>
    <row r="1015" spans="1:5" x14ac:dyDescent="0.25">
      <c r="A1015" s="11">
        <v>2021</v>
      </c>
      <c r="B1015" s="11" t="s">
        <v>249</v>
      </c>
      <c r="C1015" s="13">
        <v>171</v>
      </c>
      <c r="D1015" s="13">
        <v>73</v>
      </c>
      <c r="E1015" s="13">
        <v>98</v>
      </c>
    </row>
    <row r="1016" spans="1:5" x14ac:dyDescent="0.25">
      <c r="A1016" s="11">
        <v>2021</v>
      </c>
      <c r="B1016" s="11" t="s">
        <v>250</v>
      </c>
      <c r="C1016" s="13">
        <v>1194</v>
      </c>
      <c r="D1016" s="13">
        <v>596</v>
      </c>
      <c r="E1016" s="13">
        <v>598</v>
      </c>
    </row>
    <row r="1017" spans="1:5" x14ac:dyDescent="0.25">
      <c r="A1017" s="11">
        <v>2021</v>
      </c>
      <c r="B1017" s="11" t="s">
        <v>251</v>
      </c>
      <c r="C1017" s="13">
        <v>1647</v>
      </c>
      <c r="D1017" s="13">
        <v>837</v>
      </c>
      <c r="E1017" s="13">
        <v>810</v>
      </c>
    </row>
    <row r="1018" spans="1:5" x14ac:dyDescent="0.25">
      <c r="A1018" s="11">
        <v>2021</v>
      </c>
      <c r="B1018" s="11" t="s">
        <v>252</v>
      </c>
      <c r="C1018" s="13">
        <v>852</v>
      </c>
      <c r="D1018" s="13">
        <v>406</v>
      </c>
      <c r="E1018" s="13">
        <v>446</v>
      </c>
    </row>
    <row r="1019" spans="1:5" x14ac:dyDescent="0.25">
      <c r="A1019" s="11">
        <v>2021</v>
      </c>
      <c r="B1019" s="11" t="s">
        <v>253</v>
      </c>
      <c r="C1019" s="13">
        <v>200</v>
      </c>
      <c r="D1019" s="13">
        <v>94</v>
      </c>
      <c r="E1019" s="13">
        <v>106</v>
      </c>
    </row>
    <row r="1020" spans="1:5" x14ac:dyDescent="0.25">
      <c r="A1020" s="11">
        <v>2021</v>
      </c>
      <c r="B1020" s="11" t="s">
        <v>254</v>
      </c>
      <c r="C1020" s="13">
        <v>774</v>
      </c>
      <c r="D1020" s="13">
        <v>380</v>
      </c>
      <c r="E1020" s="13">
        <v>394</v>
      </c>
    </row>
    <row r="1021" spans="1:5" x14ac:dyDescent="0.25">
      <c r="A1021" s="11">
        <v>2021</v>
      </c>
      <c r="B1021" s="11" t="s">
        <v>255</v>
      </c>
      <c r="C1021" s="13">
        <v>3109</v>
      </c>
      <c r="D1021" s="13">
        <v>1494</v>
      </c>
      <c r="E1021" s="13">
        <v>1615</v>
      </c>
    </row>
    <row r="1022" spans="1:5" x14ac:dyDescent="0.25">
      <c r="A1022" s="11">
        <v>2021</v>
      </c>
      <c r="B1022" s="11" t="s">
        <v>256</v>
      </c>
      <c r="C1022" s="13">
        <v>670</v>
      </c>
      <c r="D1022" s="13">
        <v>321</v>
      </c>
      <c r="E1022" s="13">
        <v>349</v>
      </c>
    </row>
    <row r="1023" spans="1:5" x14ac:dyDescent="0.25">
      <c r="A1023" s="11">
        <v>2021</v>
      </c>
      <c r="B1023" s="11" t="s">
        <v>257</v>
      </c>
      <c r="C1023" s="13">
        <v>769</v>
      </c>
      <c r="D1023" s="13">
        <v>389</v>
      </c>
      <c r="E1023" s="13">
        <v>380</v>
      </c>
    </row>
    <row r="1024" spans="1:5" x14ac:dyDescent="0.25">
      <c r="A1024" s="11">
        <v>2021</v>
      </c>
      <c r="B1024" s="11" t="s">
        <v>258</v>
      </c>
      <c r="C1024" s="13">
        <v>1727</v>
      </c>
      <c r="D1024" s="13">
        <v>842</v>
      </c>
      <c r="E1024" s="13">
        <v>885</v>
      </c>
    </row>
    <row r="1025" spans="1:5" x14ac:dyDescent="0.25">
      <c r="A1025" s="11">
        <v>2022</v>
      </c>
      <c r="B1025" s="11" t="s">
        <v>11</v>
      </c>
      <c r="C1025" s="13">
        <v>46959</v>
      </c>
      <c r="D1025" s="13">
        <v>22700</v>
      </c>
      <c r="E1025" s="13">
        <v>24259</v>
      </c>
    </row>
    <row r="1026" spans="1:5" x14ac:dyDescent="0.25">
      <c r="A1026" s="11">
        <v>2022</v>
      </c>
      <c r="B1026" s="11" t="s">
        <v>227</v>
      </c>
      <c r="C1026" s="13">
        <v>1939</v>
      </c>
      <c r="D1026" s="13">
        <v>938</v>
      </c>
      <c r="E1026" s="13">
        <v>1001</v>
      </c>
    </row>
    <row r="1027" spans="1:5" x14ac:dyDescent="0.25">
      <c r="A1027" s="11">
        <v>2022</v>
      </c>
      <c r="B1027" s="11" t="s">
        <v>228</v>
      </c>
      <c r="C1027" s="13">
        <v>2159</v>
      </c>
      <c r="D1027" s="13">
        <v>1067</v>
      </c>
      <c r="E1027" s="13">
        <v>1092</v>
      </c>
    </row>
    <row r="1028" spans="1:5" x14ac:dyDescent="0.25">
      <c r="A1028" s="11">
        <v>2022</v>
      </c>
      <c r="B1028" s="11" t="s">
        <v>229</v>
      </c>
      <c r="C1028" s="13">
        <v>918</v>
      </c>
      <c r="D1028" s="13">
        <v>438</v>
      </c>
      <c r="E1028" s="13">
        <v>480</v>
      </c>
    </row>
    <row r="1029" spans="1:5" x14ac:dyDescent="0.25">
      <c r="A1029" s="11">
        <v>2022</v>
      </c>
      <c r="B1029" s="11" t="s">
        <v>230</v>
      </c>
      <c r="C1029" s="13">
        <v>579</v>
      </c>
      <c r="D1029" s="13">
        <v>298</v>
      </c>
      <c r="E1029" s="13">
        <v>281</v>
      </c>
    </row>
    <row r="1030" spans="1:5" x14ac:dyDescent="0.25">
      <c r="A1030" s="11">
        <v>2022</v>
      </c>
      <c r="B1030" s="11" t="s">
        <v>231</v>
      </c>
      <c r="C1030" s="13">
        <v>4405</v>
      </c>
      <c r="D1030" s="13">
        <v>2173</v>
      </c>
      <c r="E1030" s="13">
        <v>2232</v>
      </c>
    </row>
    <row r="1031" spans="1:5" x14ac:dyDescent="0.25">
      <c r="A1031" s="11">
        <v>2022</v>
      </c>
      <c r="B1031" s="11" t="s">
        <v>232</v>
      </c>
      <c r="C1031" s="13">
        <v>444</v>
      </c>
      <c r="D1031" s="13">
        <v>225</v>
      </c>
      <c r="E1031" s="13">
        <v>219</v>
      </c>
    </row>
    <row r="1032" spans="1:5" x14ac:dyDescent="0.25">
      <c r="A1032" s="11">
        <v>2022</v>
      </c>
      <c r="B1032" s="11" t="s">
        <v>233</v>
      </c>
      <c r="C1032" s="13">
        <v>1093</v>
      </c>
      <c r="D1032" s="13">
        <v>543</v>
      </c>
      <c r="E1032" s="13">
        <v>550</v>
      </c>
    </row>
    <row r="1033" spans="1:5" x14ac:dyDescent="0.25">
      <c r="A1033" s="11">
        <v>2022</v>
      </c>
      <c r="B1033" s="11" t="s">
        <v>234</v>
      </c>
      <c r="C1033" s="13">
        <v>1340</v>
      </c>
      <c r="D1033" s="13">
        <v>653</v>
      </c>
      <c r="E1033" s="13">
        <v>687</v>
      </c>
    </row>
    <row r="1034" spans="1:5" x14ac:dyDescent="0.25">
      <c r="A1034" s="11">
        <v>2022</v>
      </c>
      <c r="B1034" s="11" t="s">
        <v>235</v>
      </c>
      <c r="C1034" s="13">
        <v>1019</v>
      </c>
      <c r="D1034" s="13">
        <v>496</v>
      </c>
      <c r="E1034" s="13">
        <v>523</v>
      </c>
    </row>
    <row r="1035" spans="1:5" x14ac:dyDescent="0.25">
      <c r="A1035" s="11">
        <v>2022</v>
      </c>
      <c r="B1035" s="11" t="s">
        <v>236</v>
      </c>
      <c r="C1035" s="13">
        <v>849</v>
      </c>
      <c r="D1035" s="13">
        <v>402</v>
      </c>
      <c r="E1035" s="13">
        <v>447</v>
      </c>
    </row>
    <row r="1036" spans="1:5" x14ac:dyDescent="0.25">
      <c r="A1036" s="11">
        <v>2022</v>
      </c>
      <c r="B1036" s="11" t="s">
        <v>237</v>
      </c>
      <c r="C1036" s="13">
        <v>1022</v>
      </c>
      <c r="D1036" s="13">
        <v>499</v>
      </c>
      <c r="E1036" s="13">
        <v>523</v>
      </c>
    </row>
    <row r="1037" spans="1:5" x14ac:dyDescent="0.25">
      <c r="A1037" s="11">
        <v>2022</v>
      </c>
      <c r="B1037" s="11" t="s">
        <v>238</v>
      </c>
      <c r="C1037" s="13">
        <v>745</v>
      </c>
      <c r="D1037" s="13">
        <v>358</v>
      </c>
      <c r="E1037" s="13">
        <v>387</v>
      </c>
    </row>
    <row r="1038" spans="1:5" x14ac:dyDescent="0.25">
      <c r="A1038" s="11">
        <v>2022</v>
      </c>
      <c r="B1038" s="11" t="s">
        <v>239</v>
      </c>
      <c r="C1038" s="13">
        <v>1413</v>
      </c>
      <c r="D1038" s="13">
        <v>684</v>
      </c>
      <c r="E1038" s="13">
        <v>729</v>
      </c>
    </row>
    <row r="1039" spans="1:5" x14ac:dyDescent="0.25">
      <c r="A1039" s="11">
        <v>2022</v>
      </c>
      <c r="B1039" s="11" t="s">
        <v>240</v>
      </c>
      <c r="C1039" s="13">
        <v>2990</v>
      </c>
      <c r="D1039" s="13">
        <v>1470</v>
      </c>
      <c r="E1039" s="13">
        <v>1520</v>
      </c>
    </row>
    <row r="1040" spans="1:5" x14ac:dyDescent="0.25">
      <c r="A1040" s="11">
        <v>2022</v>
      </c>
      <c r="B1040" s="11" t="s">
        <v>241</v>
      </c>
      <c r="C1040" s="13">
        <v>6112</v>
      </c>
      <c r="D1040" s="13">
        <v>2862</v>
      </c>
      <c r="E1040" s="13">
        <v>3250</v>
      </c>
    </row>
    <row r="1041" spans="1:5" x14ac:dyDescent="0.25">
      <c r="A1041" s="11">
        <v>2022</v>
      </c>
      <c r="B1041" s="11" t="s">
        <v>242</v>
      </c>
      <c r="C1041" s="13">
        <v>1909</v>
      </c>
      <c r="D1041" s="13">
        <v>904</v>
      </c>
      <c r="E1041" s="13">
        <v>1005</v>
      </c>
    </row>
    <row r="1042" spans="1:5" x14ac:dyDescent="0.25">
      <c r="A1042" s="11">
        <v>2022</v>
      </c>
      <c r="B1042" s="11" t="s">
        <v>243</v>
      </c>
      <c r="C1042" s="13">
        <v>654</v>
      </c>
      <c r="D1042" s="13">
        <v>322</v>
      </c>
      <c r="E1042" s="13">
        <v>332</v>
      </c>
    </row>
    <row r="1043" spans="1:5" x14ac:dyDescent="0.25">
      <c r="A1043" s="11">
        <v>2022</v>
      </c>
      <c r="B1043" s="11" t="s">
        <v>244</v>
      </c>
      <c r="C1043" s="13">
        <v>1040</v>
      </c>
      <c r="D1043" s="13">
        <v>496</v>
      </c>
      <c r="E1043" s="13">
        <v>544</v>
      </c>
    </row>
    <row r="1044" spans="1:5" x14ac:dyDescent="0.25">
      <c r="A1044" s="11">
        <v>2022</v>
      </c>
      <c r="B1044" s="11" t="s">
        <v>245</v>
      </c>
      <c r="C1044" s="13">
        <v>736</v>
      </c>
      <c r="D1044" s="13">
        <v>343</v>
      </c>
      <c r="E1044" s="13">
        <v>393</v>
      </c>
    </row>
    <row r="1045" spans="1:5" x14ac:dyDescent="0.25">
      <c r="A1045" s="11">
        <v>2022</v>
      </c>
      <c r="B1045" s="11" t="s">
        <v>246</v>
      </c>
      <c r="C1045" s="13">
        <v>182</v>
      </c>
      <c r="D1045" s="13">
        <v>87</v>
      </c>
      <c r="E1045" s="13">
        <v>95</v>
      </c>
    </row>
    <row r="1046" spans="1:5" x14ac:dyDescent="0.25">
      <c r="A1046" s="11">
        <v>2022</v>
      </c>
      <c r="B1046" s="11" t="s">
        <v>247</v>
      </c>
      <c r="C1046" s="13">
        <v>1054</v>
      </c>
      <c r="D1046" s="13">
        <v>515</v>
      </c>
      <c r="E1046" s="13">
        <v>539</v>
      </c>
    </row>
    <row r="1047" spans="1:5" x14ac:dyDescent="0.25">
      <c r="A1047" s="11">
        <v>2022</v>
      </c>
      <c r="B1047" s="11" t="s">
        <v>248</v>
      </c>
      <c r="C1047" s="13">
        <v>3146</v>
      </c>
      <c r="D1047" s="13">
        <v>1530</v>
      </c>
      <c r="E1047" s="13">
        <v>1616</v>
      </c>
    </row>
    <row r="1048" spans="1:5" x14ac:dyDescent="0.25">
      <c r="A1048" s="11">
        <v>2022</v>
      </c>
      <c r="B1048" s="11" t="s">
        <v>249</v>
      </c>
      <c r="C1048" s="13">
        <v>163</v>
      </c>
      <c r="D1048" s="13">
        <v>69</v>
      </c>
      <c r="E1048" s="13">
        <v>94</v>
      </c>
    </row>
    <row r="1049" spans="1:5" x14ac:dyDescent="0.25">
      <c r="A1049" s="11">
        <v>2022</v>
      </c>
      <c r="B1049" s="11" t="s">
        <v>250</v>
      </c>
      <c r="C1049" s="13">
        <v>1153</v>
      </c>
      <c r="D1049" s="13">
        <v>566</v>
      </c>
      <c r="E1049" s="13">
        <v>587</v>
      </c>
    </row>
    <row r="1050" spans="1:5" x14ac:dyDescent="0.25">
      <c r="A1050" s="11">
        <v>2022</v>
      </c>
      <c r="B1050" s="11" t="s">
        <v>251</v>
      </c>
      <c r="C1050" s="13">
        <v>1754</v>
      </c>
      <c r="D1050" s="13">
        <v>862</v>
      </c>
      <c r="E1050" s="13">
        <v>892</v>
      </c>
    </row>
    <row r="1051" spans="1:5" x14ac:dyDescent="0.25">
      <c r="A1051" s="11">
        <v>2022</v>
      </c>
      <c r="B1051" s="11" t="s">
        <v>252</v>
      </c>
      <c r="C1051" s="13">
        <v>847</v>
      </c>
      <c r="D1051" s="13">
        <v>410</v>
      </c>
      <c r="E1051" s="13">
        <v>437</v>
      </c>
    </row>
    <row r="1052" spans="1:5" x14ac:dyDescent="0.25">
      <c r="A1052" s="11">
        <v>2022</v>
      </c>
      <c r="B1052" s="11" t="s">
        <v>253</v>
      </c>
      <c r="C1052" s="13">
        <v>207</v>
      </c>
      <c r="D1052" s="13">
        <v>90</v>
      </c>
      <c r="E1052" s="13">
        <v>117</v>
      </c>
    </row>
    <row r="1053" spans="1:5" x14ac:dyDescent="0.25">
      <c r="A1053" s="11">
        <v>2022</v>
      </c>
      <c r="B1053" s="11" t="s">
        <v>254</v>
      </c>
      <c r="C1053" s="13">
        <v>739</v>
      </c>
      <c r="D1053" s="13">
        <v>363</v>
      </c>
      <c r="E1053" s="13">
        <v>376</v>
      </c>
    </row>
    <row r="1054" spans="1:5" x14ac:dyDescent="0.25">
      <c r="A1054" s="11">
        <v>2022</v>
      </c>
      <c r="B1054" s="11" t="s">
        <v>255</v>
      </c>
      <c r="C1054" s="13">
        <v>3163</v>
      </c>
      <c r="D1054" s="13">
        <v>1532</v>
      </c>
      <c r="E1054" s="13">
        <v>1631</v>
      </c>
    </row>
    <row r="1055" spans="1:5" x14ac:dyDescent="0.25">
      <c r="A1055" s="11">
        <v>2022</v>
      </c>
      <c r="B1055" s="11" t="s">
        <v>256</v>
      </c>
      <c r="C1055" s="13">
        <v>673</v>
      </c>
      <c r="D1055" s="13">
        <v>320</v>
      </c>
      <c r="E1055" s="13">
        <v>353</v>
      </c>
    </row>
    <row r="1056" spans="1:5" x14ac:dyDescent="0.25">
      <c r="A1056" s="11">
        <v>2022</v>
      </c>
      <c r="B1056" s="11" t="s">
        <v>257</v>
      </c>
      <c r="C1056" s="13">
        <v>852</v>
      </c>
      <c r="D1056" s="13">
        <v>387</v>
      </c>
      <c r="E1056" s="13">
        <v>465</v>
      </c>
    </row>
    <row r="1057" spans="1:5" x14ac:dyDescent="0.25">
      <c r="A1057" s="11">
        <v>2022</v>
      </c>
      <c r="B1057" s="11" t="s">
        <v>258</v>
      </c>
      <c r="C1057" s="13">
        <v>1660</v>
      </c>
      <c r="D1057" s="13">
        <v>798</v>
      </c>
      <c r="E1057" s="13">
        <v>862</v>
      </c>
    </row>
    <row r="1058" spans="1:5" x14ac:dyDescent="0.25">
      <c r="A1058" s="11">
        <v>2023</v>
      </c>
      <c r="B1058" s="11" t="s">
        <v>11</v>
      </c>
      <c r="C1058" s="13">
        <v>45935</v>
      </c>
      <c r="D1058" s="13">
        <v>22341</v>
      </c>
      <c r="E1058" s="13">
        <v>23594</v>
      </c>
    </row>
    <row r="1059" spans="1:5" x14ac:dyDescent="0.25">
      <c r="A1059" s="11">
        <v>2023</v>
      </c>
      <c r="B1059" s="11" t="s">
        <v>227</v>
      </c>
      <c r="C1059" s="13">
        <v>2092</v>
      </c>
      <c r="D1059" s="13">
        <v>1024</v>
      </c>
      <c r="E1059" s="13">
        <v>1068</v>
      </c>
    </row>
    <row r="1060" spans="1:5" x14ac:dyDescent="0.25">
      <c r="A1060" s="11">
        <v>2023</v>
      </c>
      <c r="B1060" s="11" t="s">
        <v>228</v>
      </c>
      <c r="C1060" s="13">
        <v>2072</v>
      </c>
      <c r="D1060" s="13">
        <v>1018</v>
      </c>
      <c r="E1060" s="13">
        <v>1054</v>
      </c>
    </row>
    <row r="1061" spans="1:5" x14ac:dyDescent="0.25">
      <c r="A1061" s="11">
        <v>2023</v>
      </c>
      <c r="B1061" s="11" t="s">
        <v>229</v>
      </c>
      <c r="C1061" s="13">
        <v>821</v>
      </c>
      <c r="D1061" s="13">
        <v>399</v>
      </c>
      <c r="E1061" s="13">
        <v>422</v>
      </c>
    </row>
    <row r="1062" spans="1:5" x14ac:dyDescent="0.25">
      <c r="A1062" s="11">
        <v>2023</v>
      </c>
      <c r="B1062" s="11" t="s">
        <v>230</v>
      </c>
      <c r="C1062" s="13">
        <v>579</v>
      </c>
      <c r="D1062" s="13">
        <v>267</v>
      </c>
      <c r="E1062" s="13">
        <v>312</v>
      </c>
    </row>
    <row r="1063" spans="1:5" x14ac:dyDescent="0.25">
      <c r="A1063" s="11">
        <v>2023</v>
      </c>
      <c r="B1063" s="11" t="s">
        <v>231</v>
      </c>
      <c r="C1063" s="13">
        <v>4194</v>
      </c>
      <c r="D1063" s="13">
        <v>2023</v>
      </c>
      <c r="E1063" s="13">
        <v>2171</v>
      </c>
    </row>
    <row r="1064" spans="1:5" x14ac:dyDescent="0.25">
      <c r="A1064" s="11">
        <v>2023</v>
      </c>
      <c r="B1064" s="11" t="s">
        <v>232</v>
      </c>
      <c r="C1064" s="13">
        <v>436</v>
      </c>
      <c r="D1064" s="13">
        <v>218</v>
      </c>
      <c r="E1064" s="13">
        <v>218</v>
      </c>
    </row>
    <row r="1065" spans="1:5" x14ac:dyDescent="0.25">
      <c r="A1065" s="11">
        <v>2023</v>
      </c>
      <c r="B1065" s="11" t="s">
        <v>233</v>
      </c>
      <c r="C1065" s="13">
        <v>1123</v>
      </c>
      <c r="D1065" s="13">
        <v>552</v>
      </c>
      <c r="E1065" s="13">
        <v>571</v>
      </c>
    </row>
    <row r="1066" spans="1:5" x14ac:dyDescent="0.25">
      <c r="A1066" s="11">
        <v>2023</v>
      </c>
      <c r="B1066" s="11" t="s">
        <v>234</v>
      </c>
      <c r="C1066" s="13">
        <v>1315</v>
      </c>
      <c r="D1066" s="13">
        <v>614</v>
      </c>
      <c r="E1066" s="13">
        <v>701</v>
      </c>
    </row>
    <row r="1067" spans="1:5" x14ac:dyDescent="0.25">
      <c r="A1067" s="11">
        <v>2023</v>
      </c>
      <c r="B1067" s="11" t="s">
        <v>235</v>
      </c>
      <c r="C1067" s="13">
        <v>1042</v>
      </c>
      <c r="D1067" s="13">
        <v>520</v>
      </c>
      <c r="E1067" s="13">
        <v>522</v>
      </c>
    </row>
    <row r="1068" spans="1:5" x14ac:dyDescent="0.25">
      <c r="A1068" s="11">
        <v>2023</v>
      </c>
      <c r="B1068" s="11" t="s">
        <v>236</v>
      </c>
      <c r="C1068" s="13">
        <v>826</v>
      </c>
      <c r="D1068" s="13">
        <v>390</v>
      </c>
      <c r="E1068" s="13">
        <v>436</v>
      </c>
    </row>
    <row r="1069" spans="1:5" x14ac:dyDescent="0.25">
      <c r="A1069" s="11">
        <v>2023</v>
      </c>
      <c r="B1069" s="11" t="s">
        <v>237</v>
      </c>
      <c r="C1069" s="13">
        <v>939</v>
      </c>
      <c r="D1069" s="13">
        <v>442</v>
      </c>
      <c r="E1069" s="13">
        <v>497</v>
      </c>
    </row>
    <row r="1070" spans="1:5" x14ac:dyDescent="0.25">
      <c r="A1070" s="11">
        <v>2023</v>
      </c>
      <c r="B1070" s="11" t="s">
        <v>238</v>
      </c>
      <c r="C1070" s="13">
        <v>799</v>
      </c>
      <c r="D1070" s="13">
        <v>401</v>
      </c>
      <c r="E1070" s="13">
        <v>398</v>
      </c>
    </row>
    <row r="1071" spans="1:5" x14ac:dyDescent="0.25">
      <c r="A1071" s="11">
        <v>2023</v>
      </c>
      <c r="B1071" s="11" t="s">
        <v>239</v>
      </c>
      <c r="C1071" s="13">
        <v>1316</v>
      </c>
      <c r="D1071" s="13">
        <v>647</v>
      </c>
      <c r="E1071" s="13">
        <v>669</v>
      </c>
    </row>
    <row r="1072" spans="1:5" x14ac:dyDescent="0.25">
      <c r="A1072" s="11">
        <v>2023</v>
      </c>
      <c r="B1072" s="11" t="s">
        <v>240</v>
      </c>
      <c r="C1072" s="13">
        <v>2939</v>
      </c>
      <c r="D1072" s="13">
        <v>1445</v>
      </c>
      <c r="E1072" s="13">
        <v>1494</v>
      </c>
    </row>
    <row r="1073" spans="1:5" x14ac:dyDescent="0.25">
      <c r="A1073" s="11">
        <v>2023</v>
      </c>
      <c r="B1073" s="11" t="s">
        <v>241</v>
      </c>
      <c r="C1073" s="13">
        <v>5977</v>
      </c>
      <c r="D1073" s="13">
        <v>2919</v>
      </c>
      <c r="E1073" s="13">
        <v>3058</v>
      </c>
    </row>
    <row r="1074" spans="1:5" x14ac:dyDescent="0.25">
      <c r="A1074" s="11">
        <v>2023</v>
      </c>
      <c r="B1074" s="11" t="s">
        <v>242</v>
      </c>
      <c r="C1074" s="13">
        <v>1788</v>
      </c>
      <c r="D1074" s="13">
        <v>845</v>
      </c>
      <c r="E1074" s="13">
        <v>943</v>
      </c>
    </row>
    <row r="1075" spans="1:5" x14ac:dyDescent="0.25">
      <c r="A1075" s="11">
        <v>2023</v>
      </c>
      <c r="B1075" s="11" t="s">
        <v>243</v>
      </c>
      <c r="C1075" s="13">
        <v>618</v>
      </c>
      <c r="D1075" s="13">
        <v>300</v>
      </c>
      <c r="E1075" s="13">
        <v>318</v>
      </c>
    </row>
    <row r="1076" spans="1:5" x14ac:dyDescent="0.25">
      <c r="A1076" s="11">
        <v>2023</v>
      </c>
      <c r="B1076" s="11" t="s">
        <v>244</v>
      </c>
      <c r="C1076" s="13">
        <v>970</v>
      </c>
      <c r="D1076" s="13">
        <v>480</v>
      </c>
      <c r="E1076" s="13">
        <v>490</v>
      </c>
    </row>
    <row r="1077" spans="1:5" x14ac:dyDescent="0.25">
      <c r="A1077" s="11">
        <v>2023</v>
      </c>
      <c r="B1077" s="11" t="s">
        <v>245</v>
      </c>
      <c r="C1077" s="13">
        <v>760</v>
      </c>
      <c r="D1077" s="13">
        <v>382</v>
      </c>
      <c r="E1077" s="13">
        <v>378</v>
      </c>
    </row>
    <row r="1078" spans="1:5" x14ac:dyDescent="0.25">
      <c r="A1078" s="11">
        <v>2023</v>
      </c>
      <c r="B1078" s="11" t="s">
        <v>246</v>
      </c>
      <c r="C1078" s="13">
        <v>174</v>
      </c>
      <c r="D1078" s="13">
        <v>83</v>
      </c>
      <c r="E1078" s="13">
        <v>91</v>
      </c>
    </row>
    <row r="1079" spans="1:5" x14ac:dyDescent="0.25">
      <c r="A1079" s="11">
        <v>2023</v>
      </c>
      <c r="B1079" s="11" t="s">
        <v>247</v>
      </c>
      <c r="C1079" s="13">
        <v>986</v>
      </c>
      <c r="D1079" s="13">
        <v>491</v>
      </c>
      <c r="E1079" s="13">
        <v>495</v>
      </c>
    </row>
    <row r="1080" spans="1:5" x14ac:dyDescent="0.25">
      <c r="A1080" s="11">
        <v>2023</v>
      </c>
      <c r="B1080" s="11" t="s">
        <v>248</v>
      </c>
      <c r="C1080" s="13">
        <v>3073</v>
      </c>
      <c r="D1080" s="13">
        <v>1532</v>
      </c>
      <c r="E1080" s="13">
        <v>1541</v>
      </c>
    </row>
    <row r="1081" spans="1:5" x14ac:dyDescent="0.25">
      <c r="A1081" s="11">
        <v>2023</v>
      </c>
      <c r="B1081" s="11" t="s">
        <v>249</v>
      </c>
      <c r="C1081" s="13">
        <v>162</v>
      </c>
      <c r="D1081" s="13">
        <v>74</v>
      </c>
      <c r="E1081" s="13">
        <v>88</v>
      </c>
    </row>
    <row r="1082" spans="1:5" x14ac:dyDescent="0.25">
      <c r="A1082" s="11">
        <v>2023</v>
      </c>
      <c r="B1082" s="11" t="s">
        <v>250</v>
      </c>
      <c r="C1082" s="13">
        <v>1133</v>
      </c>
      <c r="D1082" s="13">
        <v>546</v>
      </c>
      <c r="E1082" s="13">
        <v>587</v>
      </c>
    </row>
    <row r="1083" spans="1:5" x14ac:dyDescent="0.25">
      <c r="A1083" s="11">
        <v>2023</v>
      </c>
      <c r="B1083" s="11" t="s">
        <v>251</v>
      </c>
      <c r="C1083" s="13">
        <v>1663</v>
      </c>
      <c r="D1083" s="13">
        <v>807</v>
      </c>
      <c r="E1083" s="13">
        <v>856</v>
      </c>
    </row>
    <row r="1084" spans="1:5" x14ac:dyDescent="0.25">
      <c r="A1084" s="11">
        <v>2023</v>
      </c>
      <c r="B1084" s="11" t="s">
        <v>252</v>
      </c>
      <c r="C1084" s="13">
        <v>825</v>
      </c>
      <c r="D1084" s="13">
        <v>380</v>
      </c>
      <c r="E1084" s="13">
        <v>445</v>
      </c>
    </row>
    <row r="1085" spans="1:5" x14ac:dyDescent="0.25">
      <c r="A1085" s="11">
        <v>2023</v>
      </c>
      <c r="B1085" s="11" t="s">
        <v>253</v>
      </c>
      <c r="C1085" s="13">
        <v>177</v>
      </c>
      <c r="D1085" s="13">
        <v>81</v>
      </c>
      <c r="E1085" s="13">
        <v>96</v>
      </c>
    </row>
    <row r="1086" spans="1:5" x14ac:dyDescent="0.25">
      <c r="A1086" s="11">
        <v>2023</v>
      </c>
      <c r="B1086" s="11" t="s">
        <v>254</v>
      </c>
      <c r="C1086" s="13">
        <v>815</v>
      </c>
      <c r="D1086" s="13">
        <v>390</v>
      </c>
      <c r="E1086" s="13">
        <v>425</v>
      </c>
    </row>
    <row r="1087" spans="1:5" x14ac:dyDescent="0.25">
      <c r="A1087" s="11">
        <v>2023</v>
      </c>
      <c r="B1087" s="11" t="s">
        <v>255</v>
      </c>
      <c r="C1087" s="13">
        <v>3048</v>
      </c>
      <c r="D1087" s="13">
        <v>1507</v>
      </c>
      <c r="E1087" s="13">
        <v>1541</v>
      </c>
    </row>
    <row r="1088" spans="1:5" x14ac:dyDescent="0.25">
      <c r="A1088" s="11">
        <v>2023</v>
      </c>
      <c r="B1088" s="11" t="s">
        <v>256</v>
      </c>
      <c r="C1088" s="13">
        <v>662</v>
      </c>
      <c r="D1088" s="13">
        <v>322</v>
      </c>
      <c r="E1088" s="13">
        <v>340</v>
      </c>
    </row>
    <row r="1089" spans="1:5" x14ac:dyDescent="0.25">
      <c r="A1089" s="11">
        <v>2023</v>
      </c>
      <c r="B1089" s="11" t="s">
        <v>257</v>
      </c>
      <c r="C1089" s="13">
        <v>783</v>
      </c>
      <c r="D1089" s="13">
        <v>373</v>
      </c>
      <c r="E1089" s="13">
        <v>410</v>
      </c>
    </row>
    <row r="1090" spans="1:5" x14ac:dyDescent="0.25">
      <c r="A1090" s="11">
        <v>2023</v>
      </c>
      <c r="B1090" s="11" t="s">
        <v>258</v>
      </c>
      <c r="C1090" s="13">
        <v>1828</v>
      </c>
      <c r="D1090" s="13">
        <v>869</v>
      </c>
      <c r="E1090" s="13">
        <v>959</v>
      </c>
    </row>
    <row r="1091" spans="1:5" x14ac:dyDescent="0.25">
      <c r="A1091" s="11">
        <v>2024</v>
      </c>
      <c r="B1091" s="11" t="s">
        <v>11</v>
      </c>
      <c r="C1091" s="13">
        <v>45763</v>
      </c>
      <c r="D1091" s="13">
        <v>22334</v>
      </c>
      <c r="E1091" s="13">
        <v>23429</v>
      </c>
    </row>
    <row r="1092" spans="1:5" x14ac:dyDescent="0.25">
      <c r="A1092" s="11">
        <v>2024</v>
      </c>
      <c r="B1092" s="11" t="s">
        <v>227</v>
      </c>
      <c r="C1092" s="13">
        <v>1923</v>
      </c>
      <c r="D1092" s="13">
        <v>930</v>
      </c>
      <c r="E1092" s="13">
        <v>993</v>
      </c>
    </row>
    <row r="1093" spans="1:5" x14ac:dyDescent="0.25">
      <c r="A1093" s="11">
        <v>2024</v>
      </c>
      <c r="B1093" s="11" t="s">
        <v>228</v>
      </c>
      <c r="C1093" s="13">
        <v>1865</v>
      </c>
      <c r="D1093" s="13">
        <v>898</v>
      </c>
      <c r="E1093" s="13">
        <v>967</v>
      </c>
    </row>
    <row r="1094" spans="1:5" x14ac:dyDescent="0.25">
      <c r="A1094" s="11">
        <v>2024</v>
      </c>
      <c r="B1094" s="11" t="s">
        <v>229</v>
      </c>
      <c r="C1094" s="13">
        <v>874</v>
      </c>
      <c r="D1094" s="13">
        <v>464</v>
      </c>
      <c r="E1094" s="13">
        <v>410</v>
      </c>
    </row>
    <row r="1095" spans="1:5" x14ac:dyDescent="0.25">
      <c r="A1095" s="11">
        <v>2024</v>
      </c>
      <c r="B1095" s="11" t="s">
        <v>230</v>
      </c>
      <c r="C1095" s="13">
        <v>549</v>
      </c>
      <c r="D1095" s="13">
        <v>272</v>
      </c>
      <c r="E1095" s="13">
        <v>277</v>
      </c>
    </row>
    <row r="1096" spans="1:5" x14ac:dyDescent="0.25">
      <c r="A1096" s="11">
        <v>2024</v>
      </c>
      <c r="B1096" s="11" t="s">
        <v>231</v>
      </c>
      <c r="C1096" s="13">
        <v>4463</v>
      </c>
      <c r="D1096" s="13">
        <v>2173</v>
      </c>
      <c r="E1096" s="13">
        <v>2290</v>
      </c>
    </row>
    <row r="1097" spans="1:5" x14ac:dyDescent="0.25">
      <c r="A1097" s="11">
        <v>2024</v>
      </c>
      <c r="B1097" s="11" t="s">
        <v>232</v>
      </c>
      <c r="C1097" s="13">
        <v>391</v>
      </c>
      <c r="D1097" s="13">
        <v>194</v>
      </c>
      <c r="E1097" s="13">
        <v>197</v>
      </c>
    </row>
    <row r="1098" spans="1:5" x14ac:dyDescent="0.25">
      <c r="A1098" s="11">
        <v>2024</v>
      </c>
      <c r="B1098" s="11" t="s">
        <v>233</v>
      </c>
      <c r="C1098" s="13">
        <v>1054</v>
      </c>
      <c r="D1098" s="13">
        <v>494</v>
      </c>
      <c r="E1098" s="13">
        <v>560</v>
      </c>
    </row>
    <row r="1099" spans="1:5" x14ac:dyDescent="0.25">
      <c r="A1099" s="11">
        <v>2024</v>
      </c>
      <c r="B1099" s="11" t="s">
        <v>234</v>
      </c>
      <c r="C1099" s="13">
        <v>1312</v>
      </c>
      <c r="D1099" s="13">
        <v>654</v>
      </c>
      <c r="E1099" s="13">
        <v>658</v>
      </c>
    </row>
    <row r="1100" spans="1:5" x14ac:dyDescent="0.25">
      <c r="A1100" s="11">
        <v>2024</v>
      </c>
      <c r="B1100" s="11" t="s">
        <v>235</v>
      </c>
      <c r="C1100" s="13">
        <v>1043</v>
      </c>
      <c r="D1100" s="13">
        <v>491</v>
      </c>
      <c r="E1100" s="13">
        <v>552</v>
      </c>
    </row>
    <row r="1101" spans="1:5" x14ac:dyDescent="0.25">
      <c r="A1101" s="11">
        <v>2024</v>
      </c>
      <c r="B1101" s="11" t="s">
        <v>236</v>
      </c>
      <c r="C1101" s="13">
        <v>806</v>
      </c>
      <c r="D1101" s="13">
        <v>393</v>
      </c>
      <c r="E1101" s="13">
        <v>413</v>
      </c>
    </row>
    <row r="1102" spans="1:5" x14ac:dyDescent="0.25">
      <c r="A1102" s="11">
        <v>2024</v>
      </c>
      <c r="B1102" s="11" t="s">
        <v>237</v>
      </c>
      <c r="C1102" s="13">
        <v>984</v>
      </c>
      <c r="D1102" s="13">
        <v>479</v>
      </c>
      <c r="E1102" s="13">
        <v>505</v>
      </c>
    </row>
    <row r="1103" spans="1:5" x14ac:dyDescent="0.25">
      <c r="A1103" s="11">
        <v>2024</v>
      </c>
      <c r="B1103" s="11" t="s">
        <v>238</v>
      </c>
      <c r="C1103" s="13">
        <v>784</v>
      </c>
      <c r="D1103" s="13">
        <v>377</v>
      </c>
      <c r="E1103" s="13">
        <v>407</v>
      </c>
    </row>
    <row r="1104" spans="1:5" x14ac:dyDescent="0.25">
      <c r="A1104" s="11">
        <v>2024</v>
      </c>
      <c r="B1104" s="11" t="s">
        <v>239</v>
      </c>
      <c r="C1104" s="13">
        <v>1332</v>
      </c>
      <c r="D1104" s="13">
        <v>659</v>
      </c>
      <c r="E1104" s="13">
        <v>673</v>
      </c>
    </row>
    <row r="1105" spans="1:5" x14ac:dyDescent="0.25">
      <c r="A1105" s="11">
        <v>2024</v>
      </c>
      <c r="B1105" s="11" t="s">
        <v>240</v>
      </c>
      <c r="C1105" s="13">
        <v>2815</v>
      </c>
      <c r="D1105" s="13">
        <v>1352</v>
      </c>
      <c r="E1105" s="13">
        <v>1463</v>
      </c>
    </row>
    <row r="1106" spans="1:5" x14ac:dyDescent="0.25">
      <c r="A1106" s="11">
        <v>2024</v>
      </c>
      <c r="B1106" s="11" t="s">
        <v>241</v>
      </c>
      <c r="C1106" s="13">
        <v>6150</v>
      </c>
      <c r="D1106" s="13">
        <v>3008</v>
      </c>
      <c r="E1106" s="13">
        <v>3142</v>
      </c>
    </row>
    <row r="1107" spans="1:5" x14ac:dyDescent="0.25">
      <c r="A1107" s="11">
        <v>2024</v>
      </c>
      <c r="B1107" s="11" t="s">
        <v>242</v>
      </c>
      <c r="C1107" s="13">
        <v>1748</v>
      </c>
      <c r="D1107" s="13">
        <v>866</v>
      </c>
      <c r="E1107" s="13">
        <v>882</v>
      </c>
    </row>
    <row r="1108" spans="1:5" x14ac:dyDescent="0.25">
      <c r="A1108" s="11">
        <v>2024</v>
      </c>
      <c r="B1108" s="11" t="s">
        <v>243</v>
      </c>
      <c r="C1108" s="13">
        <v>594</v>
      </c>
      <c r="D1108" s="13">
        <v>290</v>
      </c>
      <c r="E1108" s="13">
        <v>304</v>
      </c>
    </row>
    <row r="1109" spans="1:5" x14ac:dyDescent="0.25">
      <c r="A1109" s="11">
        <v>2024</v>
      </c>
      <c r="B1109" s="11" t="s">
        <v>244</v>
      </c>
      <c r="C1109" s="13">
        <v>1071</v>
      </c>
      <c r="D1109" s="13">
        <v>550</v>
      </c>
      <c r="E1109" s="13">
        <v>521</v>
      </c>
    </row>
    <row r="1110" spans="1:5" x14ac:dyDescent="0.25">
      <c r="A1110" s="11">
        <v>2024</v>
      </c>
      <c r="B1110" s="11" t="s">
        <v>245</v>
      </c>
      <c r="C1110" s="13">
        <v>690</v>
      </c>
      <c r="D1110" s="13">
        <v>351</v>
      </c>
      <c r="E1110" s="13">
        <v>339</v>
      </c>
    </row>
    <row r="1111" spans="1:5" x14ac:dyDescent="0.25">
      <c r="A1111" s="11">
        <v>2024</v>
      </c>
      <c r="B1111" s="11" t="s">
        <v>246</v>
      </c>
      <c r="C1111" s="13">
        <v>176</v>
      </c>
      <c r="D1111" s="13">
        <v>73</v>
      </c>
      <c r="E1111" s="13">
        <v>103</v>
      </c>
    </row>
    <row r="1112" spans="1:5" x14ac:dyDescent="0.25">
      <c r="A1112" s="11">
        <v>2024</v>
      </c>
      <c r="B1112" s="11" t="s">
        <v>247</v>
      </c>
      <c r="C1112" s="13">
        <v>1012</v>
      </c>
      <c r="D1112" s="13">
        <v>491</v>
      </c>
      <c r="E1112" s="13">
        <v>521</v>
      </c>
    </row>
    <row r="1113" spans="1:5" x14ac:dyDescent="0.25">
      <c r="A1113" s="11">
        <v>2024</v>
      </c>
      <c r="B1113" s="11" t="s">
        <v>248</v>
      </c>
      <c r="C1113" s="13">
        <v>3176</v>
      </c>
      <c r="D1113" s="13">
        <v>1549</v>
      </c>
      <c r="E1113" s="13">
        <v>1627</v>
      </c>
    </row>
    <row r="1114" spans="1:5" x14ac:dyDescent="0.25">
      <c r="A1114" s="11">
        <v>2024</v>
      </c>
      <c r="B1114" s="11" t="s">
        <v>249</v>
      </c>
      <c r="C1114" s="13">
        <v>146</v>
      </c>
      <c r="D1114" s="13">
        <v>65</v>
      </c>
      <c r="E1114" s="13">
        <v>81</v>
      </c>
    </row>
    <row r="1115" spans="1:5" x14ac:dyDescent="0.25">
      <c r="A1115" s="11">
        <v>2024</v>
      </c>
      <c r="B1115" s="11" t="s">
        <v>250</v>
      </c>
      <c r="C1115" s="13">
        <v>1167</v>
      </c>
      <c r="D1115" s="13">
        <v>565</v>
      </c>
      <c r="E1115" s="13">
        <v>602</v>
      </c>
    </row>
    <row r="1116" spans="1:5" x14ac:dyDescent="0.25">
      <c r="A1116" s="11">
        <v>2024</v>
      </c>
      <c r="B1116" s="11" t="s">
        <v>251</v>
      </c>
      <c r="C1116" s="13">
        <v>1718</v>
      </c>
      <c r="D1116" s="13">
        <v>876</v>
      </c>
      <c r="E1116" s="13">
        <v>842</v>
      </c>
    </row>
    <row r="1117" spans="1:5" x14ac:dyDescent="0.25">
      <c r="A1117" s="11">
        <v>2024</v>
      </c>
      <c r="B1117" s="11" t="s">
        <v>252</v>
      </c>
      <c r="C1117" s="13">
        <v>835</v>
      </c>
      <c r="D1117" s="13">
        <v>402</v>
      </c>
      <c r="E1117" s="13">
        <v>433</v>
      </c>
    </row>
    <row r="1118" spans="1:5" x14ac:dyDescent="0.25">
      <c r="A1118" s="11">
        <v>2024</v>
      </c>
      <c r="B1118" s="11" t="s">
        <v>253</v>
      </c>
      <c r="C1118" s="13">
        <v>166</v>
      </c>
      <c r="D1118" s="13">
        <v>88</v>
      </c>
      <c r="E1118" s="13">
        <v>78</v>
      </c>
    </row>
    <row r="1119" spans="1:5" x14ac:dyDescent="0.25">
      <c r="A1119" s="11">
        <v>2024</v>
      </c>
      <c r="B1119" s="11" t="s">
        <v>254</v>
      </c>
      <c r="C1119" s="13">
        <v>757</v>
      </c>
      <c r="D1119" s="13">
        <v>357</v>
      </c>
      <c r="E1119" s="13">
        <v>400</v>
      </c>
    </row>
    <row r="1120" spans="1:5" x14ac:dyDescent="0.25">
      <c r="A1120" s="11">
        <v>2024</v>
      </c>
      <c r="B1120" s="11" t="s">
        <v>255</v>
      </c>
      <c r="C1120" s="13">
        <v>3030</v>
      </c>
      <c r="D1120" s="13">
        <v>1458</v>
      </c>
      <c r="E1120" s="13">
        <v>1572</v>
      </c>
    </row>
    <row r="1121" spans="1:5" x14ac:dyDescent="0.25">
      <c r="A1121" s="11">
        <v>2024</v>
      </c>
      <c r="B1121" s="11" t="s">
        <v>256</v>
      </c>
      <c r="C1121" s="13">
        <v>659</v>
      </c>
      <c r="D1121" s="13">
        <v>336</v>
      </c>
      <c r="E1121" s="13">
        <v>323</v>
      </c>
    </row>
    <row r="1122" spans="1:5" x14ac:dyDescent="0.25">
      <c r="A1122" s="11">
        <v>2024</v>
      </c>
      <c r="B1122" s="11" t="s">
        <v>257</v>
      </c>
      <c r="C1122" s="13">
        <v>800</v>
      </c>
      <c r="D1122" s="13">
        <v>379</v>
      </c>
      <c r="E1122" s="13">
        <v>421</v>
      </c>
    </row>
    <row r="1123" spans="1:5" x14ac:dyDescent="0.25">
      <c r="A1123" s="11">
        <v>2024</v>
      </c>
      <c r="B1123" s="11" t="s">
        <v>258</v>
      </c>
      <c r="C1123" s="13">
        <v>1673</v>
      </c>
      <c r="D1123" s="13">
        <v>800</v>
      </c>
      <c r="E1123" s="13">
        <v>873</v>
      </c>
    </row>
  </sheetData>
  <pageMargins left="0.7" right="0.7" top="0.75" bottom="0.75" header="0.3" footer="0.3"/>
  <pageSetup paperSize="9" orientation="portrait" horizontalDpi="300" verticalDpi="30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514"/>
  <sheetViews>
    <sheetView workbookViewId="0"/>
  </sheetViews>
  <sheetFormatPr defaultColWidth="11.6328125" defaultRowHeight="15" x14ac:dyDescent="0.25"/>
  <cols>
    <col min="1" max="1" width="10.6328125" bestFit="1" customWidth="1"/>
    <col min="2" max="2" width="25.6328125" bestFit="1" customWidth="1"/>
    <col min="3" max="5" width="10.6328125" bestFit="1" customWidth="1"/>
  </cols>
  <sheetData>
    <row r="1" spans="1:5" ht="21" x14ac:dyDescent="0.4">
      <c r="A1" s="5" t="s">
        <v>259</v>
      </c>
    </row>
    <row r="2" spans="1:5" x14ac:dyDescent="0.25">
      <c r="A2" t="s">
        <v>29</v>
      </c>
    </row>
    <row r="3" spans="1:5" x14ac:dyDescent="0.25">
      <c r="A3" s="16" t="str">
        <f>HYPERLINK("#'Contents'!A1", "back to contents")</f>
        <v>back to contents</v>
      </c>
    </row>
    <row r="4" spans="1:5" ht="15.6" x14ac:dyDescent="0.3">
      <c r="A4" s="10" t="s">
        <v>69</v>
      </c>
      <c r="B4" s="10" t="s">
        <v>226</v>
      </c>
      <c r="C4" s="12" t="s">
        <v>70</v>
      </c>
      <c r="D4" s="12" t="s">
        <v>72</v>
      </c>
      <c r="E4" s="12" t="s">
        <v>71</v>
      </c>
    </row>
    <row r="5" spans="1:5" x14ac:dyDescent="0.25">
      <c r="A5" s="11">
        <v>1991</v>
      </c>
      <c r="B5" s="11" t="s">
        <v>11</v>
      </c>
      <c r="C5" s="13">
        <v>67024</v>
      </c>
      <c r="D5" s="13">
        <v>32605</v>
      </c>
      <c r="E5" s="13">
        <v>34419</v>
      </c>
    </row>
    <row r="6" spans="1:5" x14ac:dyDescent="0.25">
      <c r="A6" s="11">
        <v>1991</v>
      </c>
      <c r="B6" s="11" t="s">
        <v>260</v>
      </c>
      <c r="C6" s="13">
        <v>4888</v>
      </c>
      <c r="D6" s="13">
        <v>2407</v>
      </c>
      <c r="E6" s="13">
        <v>2481</v>
      </c>
    </row>
    <row r="7" spans="1:5" x14ac:dyDescent="0.25">
      <c r="A7" s="11">
        <v>1991</v>
      </c>
      <c r="B7" s="11" t="s">
        <v>261</v>
      </c>
      <c r="C7" s="13">
        <v>1259</v>
      </c>
      <c r="D7" s="13">
        <v>629</v>
      </c>
      <c r="E7" s="13">
        <v>630</v>
      </c>
    </row>
    <row r="8" spans="1:5" x14ac:dyDescent="0.25">
      <c r="A8" s="11">
        <v>1991</v>
      </c>
      <c r="B8" s="11" t="s">
        <v>233</v>
      </c>
      <c r="C8" s="13">
        <v>1781</v>
      </c>
      <c r="D8" s="13">
        <v>884</v>
      </c>
      <c r="E8" s="13">
        <v>897</v>
      </c>
    </row>
    <row r="9" spans="1:5" x14ac:dyDescent="0.25">
      <c r="A9" s="11">
        <v>1991</v>
      </c>
      <c r="B9" s="11" t="s">
        <v>240</v>
      </c>
      <c r="C9" s="13">
        <v>4388</v>
      </c>
      <c r="D9" s="13">
        <v>2102</v>
      </c>
      <c r="E9" s="13">
        <v>2286</v>
      </c>
    </row>
    <row r="10" spans="1:5" x14ac:dyDescent="0.25">
      <c r="A10" s="11">
        <v>1991</v>
      </c>
      <c r="B10" s="11" t="s">
        <v>262</v>
      </c>
      <c r="C10" s="13">
        <v>3566</v>
      </c>
      <c r="D10" s="13">
        <v>1780</v>
      </c>
      <c r="E10" s="13">
        <v>1786</v>
      </c>
    </row>
    <row r="11" spans="1:5" x14ac:dyDescent="0.25">
      <c r="A11" s="11">
        <v>1991</v>
      </c>
      <c r="B11" s="11" t="s">
        <v>263</v>
      </c>
      <c r="C11" s="13">
        <v>6777</v>
      </c>
      <c r="D11" s="13">
        <v>3284</v>
      </c>
      <c r="E11" s="13">
        <v>3493</v>
      </c>
    </row>
    <row r="12" spans="1:5" x14ac:dyDescent="0.25">
      <c r="A12" s="11">
        <v>1991</v>
      </c>
      <c r="B12" s="11" t="s">
        <v>264</v>
      </c>
      <c r="C12" s="13">
        <v>16201</v>
      </c>
      <c r="D12" s="13">
        <v>7797</v>
      </c>
      <c r="E12" s="13">
        <v>8404</v>
      </c>
    </row>
    <row r="13" spans="1:5" x14ac:dyDescent="0.25">
      <c r="A13" s="11">
        <v>1991</v>
      </c>
      <c r="B13" s="11" t="s">
        <v>242</v>
      </c>
      <c r="C13" s="13">
        <v>3877</v>
      </c>
      <c r="D13" s="13">
        <v>1858</v>
      </c>
      <c r="E13" s="13">
        <v>2019</v>
      </c>
    </row>
    <row r="14" spans="1:5" x14ac:dyDescent="0.25">
      <c r="A14" s="11">
        <v>1991</v>
      </c>
      <c r="B14" s="11" t="s">
        <v>265</v>
      </c>
      <c r="C14" s="13">
        <v>8532</v>
      </c>
      <c r="D14" s="13">
        <v>4191</v>
      </c>
      <c r="E14" s="13">
        <v>4341</v>
      </c>
    </row>
    <row r="15" spans="1:5" x14ac:dyDescent="0.25">
      <c r="A15" s="11">
        <v>1991</v>
      </c>
      <c r="B15" s="11" t="s">
        <v>266</v>
      </c>
      <c r="C15" s="13">
        <v>9958</v>
      </c>
      <c r="D15" s="13">
        <v>4885</v>
      </c>
      <c r="E15" s="13">
        <v>5073</v>
      </c>
    </row>
    <row r="16" spans="1:5" x14ac:dyDescent="0.25">
      <c r="A16" s="11">
        <v>1991</v>
      </c>
      <c r="B16" s="11" t="s">
        <v>267</v>
      </c>
      <c r="C16" s="13">
        <v>237</v>
      </c>
      <c r="D16" s="13">
        <v>116</v>
      </c>
      <c r="E16" s="13">
        <v>121</v>
      </c>
    </row>
    <row r="17" spans="1:5" x14ac:dyDescent="0.25">
      <c r="A17" s="11">
        <v>1991</v>
      </c>
      <c r="B17" s="11" t="s">
        <v>268</v>
      </c>
      <c r="C17" s="13">
        <v>324</v>
      </c>
      <c r="D17" s="13">
        <v>152</v>
      </c>
      <c r="E17" s="13">
        <v>172</v>
      </c>
    </row>
    <row r="18" spans="1:5" x14ac:dyDescent="0.25">
      <c r="A18" s="11">
        <v>1991</v>
      </c>
      <c r="B18" s="11" t="s">
        <v>269</v>
      </c>
      <c r="C18" s="13">
        <v>4907</v>
      </c>
      <c r="D18" s="13">
        <v>2367</v>
      </c>
      <c r="E18" s="13">
        <v>2540</v>
      </c>
    </row>
    <row r="19" spans="1:5" x14ac:dyDescent="0.25">
      <c r="A19" s="11">
        <v>1991</v>
      </c>
      <c r="B19" s="11" t="s">
        <v>270</v>
      </c>
      <c r="C19" s="13">
        <v>329</v>
      </c>
      <c r="D19" s="13">
        <v>153</v>
      </c>
      <c r="E19" s="13">
        <v>176</v>
      </c>
    </row>
    <row r="20" spans="1:5" x14ac:dyDescent="0.25">
      <c r="A20" s="11">
        <v>1992</v>
      </c>
      <c r="B20" s="11" t="s">
        <v>11</v>
      </c>
      <c r="C20" s="13">
        <v>65789</v>
      </c>
      <c r="D20" s="13">
        <v>32179</v>
      </c>
      <c r="E20" s="13">
        <v>33610</v>
      </c>
    </row>
    <row r="21" spans="1:5" x14ac:dyDescent="0.25">
      <c r="A21" s="11">
        <v>1992</v>
      </c>
      <c r="B21" s="11" t="s">
        <v>260</v>
      </c>
      <c r="C21" s="13">
        <v>4723</v>
      </c>
      <c r="D21" s="13">
        <v>2290</v>
      </c>
      <c r="E21" s="13">
        <v>2433</v>
      </c>
    </row>
    <row r="22" spans="1:5" x14ac:dyDescent="0.25">
      <c r="A22" s="11">
        <v>1992</v>
      </c>
      <c r="B22" s="11" t="s">
        <v>261</v>
      </c>
      <c r="C22" s="13">
        <v>1196</v>
      </c>
      <c r="D22" s="13">
        <v>565</v>
      </c>
      <c r="E22" s="13">
        <v>631</v>
      </c>
    </row>
    <row r="23" spans="1:5" x14ac:dyDescent="0.25">
      <c r="A23" s="11">
        <v>1992</v>
      </c>
      <c r="B23" s="11" t="s">
        <v>233</v>
      </c>
      <c r="C23" s="13">
        <v>1751</v>
      </c>
      <c r="D23" s="13">
        <v>898</v>
      </c>
      <c r="E23" s="13">
        <v>853</v>
      </c>
    </row>
    <row r="24" spans="1:5" x14ac:dyDescent="0.25">
      <c r="A24" s="11">
        <v>1992</v>
      </c>
      <c r="B24" s="11" t="s">
        <v>240</v>
      </c>
      <c r="C24" s="13">
        <v>4306</v>
      </c>
      <c r="D24" s="13">
        <v>2097</v>
      </c>
      <c r="E24" s="13">
        <v>2209</v>
      </c>
    </row>
    <row r="25" spans="1:5" x14ac:dyDescent="0.25">
      <c r="A25" s="11">
        <v>1992</v>
      </c>
      <c r="B25" s="11" t="s">
        <v>262</v>
      </c>
      <c r="C25" s="13">
        <v>3457</v>
      </c>
      <c r="D25" s="13">
        <v>1676</v>
      </c>
      <c r="E25" s="13">
        <v>1781</v>
      </c>
    </row>
    <row r="26" spans="1:5" x14ac:dyDescent="0.25">
      <c r="A26" s="11">
        <v>1992</v>
      </c>
      <c r="B26" s="11" t="s">
        <v>263</v>
      </c>
      <c r="C26" s="13">
        <v>6849</v>
      </c>
      <c r="D26" s="13">
        <v>3443</v>
      </c>
      <c r="E26" s="13">
        <v>3406</v>
      </c>
    </row>
    <row r="27" spans="1:5" x14ac:dyDescent="0.25">
      <c r="A27" s="11">
        <v>1992</v>
      </c>
      <c r="B27" s="11" t="s">
        <v>264</v>
      </c>
      <c r="C27" s="13">
        <v>15909</v>
      </c>
      <c r="D27" s="13">
        <v>7862</v>
      </c>
      <c r="E27" s="13">
        <v>8047</v>
      </c>
    </row>
    <row r="28" spans="1:5" x14ac:dyDescent="0.25">
      <c r="A28" s="11">
        <v>1992</v>
      </c>
      <c r="B28" s="11" t="s">
        <v>242</v>
      </c>
      <c r="C28" s="13">
        <v>3812</v>
      </c>
      <c r="D28" s="13">
        <v>1851</v>
      </c>
      <c r="E28" s="13">
        <v>1961</v>
      </c>
    </row>
    <row r="29" spans="1:5" x14ac:dyDescent="0.25">
      <c r="A29" s="11">
        <v>1992</v>
      </c>
      <c r="B29" s="11" t="s">
        <v>265</v>
      </c>
      <c r="C29" s="13">
        <v>8222</v>
      </c>
      <c r="D29" s="13">
        <v>3977</v>
      </c>
      <c r="E29" s="13">
        <v>4245</v>
      </c>
    </row>
    <row r="30" spans="1:5" x14ac:dyDescent="0.25">
      <c r="A30" s="11">
        <v>1992</v>
      </c>
      <c r="B30" s="11" t="s">
        <v>266</v>
      </c>
      <c r="C30" s="13">
        <v>9790</v>
      </c>
      <c r="D30" s="13">
        <v>4700</v>
      </c>
      <c r="E30" s="13">
        <v>5090</v>
      </c>
    </row>
    <row r="31" spans="1:5" x14ac:dyDescent="0.25">
      <c r="A31" s="11">
        <v>1992</v>
      </c>
      <c r="B31" s="11" t="s">
        <v>267</v>
      </c>
      <c r="C31" s="13">
        <v>239</v>
      </c>
      <c r="D31" s="13">
        <v>123</v>
      </c>
      <c r="E31" s="13">
        <v>116</v>
      </c>
    </row>
    <row r="32" spans="1:5" x14ac:dyDescent="0.25">
      <c r="A32" s="11">
        <v>1992</v>
      </c>
      <c r="B32" s="11" t="s">
        <v>268</v>
      </c>
      <c r="C32" s="13">
        <v>325</v>
      </c>
      <c r="D32" s="13">
        <v>146</v>
      </c>
      <c r="E32" s="13">
        <v>179</v>
      </c>
    </row>
    <row r="33" spans="1:5" x14ac:dyDescent="0.25">
      <c r="A33" s="11">
        <v>1992</v>
      </c>
      <c r="B33" s="11" t="s">
        <v>269</v>
      </c>
      <c r="C33" s="13">
        <v>4878</v>
      </c>
      <c r="D33" s="13">
        <v>2387</v>
      </c>
      <c r="E33" s="13">
        <v>2491</v>
      </c>
    </row>
    <row r="34" spans="1:5" x14ac:dyDescent="0.25">
      <c r="A34" s="11">
        <v>1992</v>
      </c>
      <c r="B34" s="11" t="s">
        <v>270</v>
      </c>
      <c r="C34" s="13">
        <v>332</v>
      </c>
      <c r="D34" s="13">
        <v>164</v>
      </c>
      <c r="E34" s="13">
        <v>168</v>
      </c>
    </row>
    <row r="35" spans="1:5" x14ac:dyDescent="0.25">
      <c r="A35" s="11">
        <v>1993</v>
      </c>
      <c r="B35" s="11" t="s">
        <v>11</v>
      </c>
      <c r="C35" s="13">
        <v>63337</v>
      </c>
      <c r="D35" s="13">
        <v>30963</v>
      </c>
      <c r="E35" s="13">
        <v>32374</v>
      </c>
    </row>
    <row r="36" spans="1:5" x14ac:dyDescent="0.25">
      <c r="A36" s="11">
        <v>1993</v>
      </c>
      <c r="B36" s="11" t="s">
        <v>260</v>
      </c>
      <c r="C36" s="13">
        <v>4572</v>
      </c>
      <c r="D36" s="13">
        <v>2277</v>
      </c>
      <c r="E36" s="13">
        <v>2295</v>
      </c>
    </row>
    <row r="37" spans="1:5" x14ac:dyDescent="0.25">
      <c r="A37" s="11">
        <v>1993</v>
      </c>
      <c r="B37" s="11" t="s">
        <v>261</v>
      </c>
      <c r="C37" s="13">
        <v>1138</v>
      </c>
      <c r="D37" s="13">
        <v>565</v>
      </c>
      <c r="E37" s="13">
        <v>573</v>
      </c>
    </row>
    <row r="38" spans="1:5" x14ac:dyDescent="0.25">
      <c r="A38" s="11">
        <v>1993</v>
      </c>
      <c r="B38" s="11" t="s">
        <v>233</v>
      </c>
      <c r="C38" s="13">
        <v>1709</v>
      </c>
      <c r="D38" s="13">
        <v>846</v>
      </c>
      <c r="E38" s="13">
        <v>863</v>
      </c>
    </row>
    <row r="39" spans="1:5" x14ac:dyDescent="0.25">
      <c r="A39" s="11">
        <v>1993</v>
      </c>
      <c r="B39" s="11" t="s">
        <v>240</v>
      </c>
      <c r="C39" s="13">
        <v>4278</v>
      </c>
      <c r="D39" s="13">
        <v>2153</v>
      </c>
      <c r="E39" s="13">
        <v>2125</v>
      </c>
    </row>
    <row r="40" spans="1:5" x14ac:dyDescent="0.25">
      <c r="A40" s="11">
        <v>1993</v>
      </c>
      <c r="B40" s="11" t="s">
        <v>262</v>
      </c>
      <c r="C40" s="13">
        <v>3350</v>
      </c>
      <c r="D40" s="13">
        <v>1669</v>
      </c>
      <c r="E40" s="13">
        <v>1681</v>
      </c>
    </row>
    <row r="41" spans="1:5" x14ac:dyDescent="0.25">
      <c r="A41" s="11">
        <v>1993</v>
      </c>
      <c r="B41" s="11" t="s">
        <v>263</v>
      </c>
      <c r="C41" s="13">
        <v>6622</v>
      </c>
      <c r="D41" s="13">
        <v>3229</v>
      </c>
      <c r="E41" s="13">
        <v>3393</v>
      </c>
    </row>
    <row r="42" spans="1:5" x14ac:dyDescent="0.25">
      <c r="A42" s="11">
        <v>1993</v>
      </c>
      <c r="B42" s="11" t="s">
        <v>264</v>
      </c>
      <c r="C42" s="13">
        <v>15113</v>
      </c>
      <c r="D42" s="13">
        <v>7303</v>
      </c>
      <c r="E42" s="13">
        <v>7810</v>
      </c>
    </row>
    <row r="43" spans="1:5" x14ac:dyDescent="0.25">
      <c r="A43" s="11">
        <v>1993</v>
      </c>
      <c r="B43" s="11" t="s">
        <v>242</v>
      </c>
      <c r="C43" s="13">
        <v>3549</v>
      </c>
      <c r="D43" s="13">
        <v>1774</v>
      </c>
      <c r="E43" s="13">
        <v>1775</v>
      </c>
    </row>
    <row r="44" spans="1:5" x14ac:dyDescent="0.25">
      <c r="A44" s="11">
        <v>1993</v>
      </c>
      <c r="B44" s="11" t="s">
        <v>265</v>
      </c>
      <c r="C44" s="13">
        <v>8087</v>
      </c>
      <c r="D44" s="13">
        <v>3933</v>
      </c>
      <c r="E44" s="13">
        <v>4154</v>
      </c>
    </row>
    <row r="45" spans="1:5" x14ac:dyDescent="0.25">
      <c r="A45" s="11">
        <v>1993</v>
      </c>
      <c r="B45" s="11" t="s">
        <v>266</v>
      </c>
      <c r="C45" s="13">
        <v>9342</v>
      </c>
      <c r="D45" s="13">
        <v>4577</v>
      </c>
      <c r="E45" s="13">
        <v>4765</v>
      </c>
    </row>
    <row r="46" spans="1:5" x14ac:dyDescent="0.25">
      <c r="A46" s="11">
        <v>1993</v>
      </c>
      <c r="B46" s="11" t="s">
        <v>267</v>
      </c>
      <c r="C46" s="13">
        <v>237</v>
      </c>
      <c r="D46" s="13">
        <v>119</v>
      </c>
      <c r="E46" s="13">
        <v>118</v>
      </c>
    </row>
    <row r="47" spans="1:5" x14ac:dyDescent="0.25">
      <c r="A47" s="11">
        <v>1993</v>
      </c>
      <c r="B47" s="11" t="s">
        <v>268</v>
      </c>
      <c r="C47" s="13">
        <v>313</v>
      </c>
      <c r="D47" s="13">
        <v>148</v>
      </c>
      <c r="E47" s="13">
        <v>165</v>
      </c>
    </row>
    <row r="48" spans="1:5" x14ac:dyDescent="0.25">
      <c r="A48" s="11">
        <v>1993</v>
      </c>
      <c r="B48" s="11" t="s">
        <v>269</v>
      </c>
      <c r="C48" s="13">
        <v>4744</v>
      </c>
      <c r="D48" s="13">
        <v>2244</v>
      </c>
      <c r="E48" s="13">
        <v>2500</v>
      </c>
    </row>
    <row r="49" spans="1:5" x14ac:dyDescent="0.25">
      <c r="A49" s="11">
        <v>1993</v>
      </c>
      <c r="B49" s="11" t="s">
        <v>270</v>
      </c>
      <c r="C49" s="13">
        <v>283</v>
      </c>
      <c r="D49" s="13">
        <v>126</v>
      </c>
      <c r="E49" s="13">
        <v>157</v>
      </c>
    </row>
    <row r="50" spans="1:5" x14ac:dyDescent="0.25">
      <c r="A50" s="11">
        <v>1994</v>
      </c>
      <c r="B50" s="11" t="s">
        <v>11</v>
      </c>
      <c r="C50" s="13">
        <v>61656</v>
      </c>
      <c r="D50" s="13">
        <v>30257</v>
      </c>
      <c r="E50" s="13">
        <v>31399</v>
      </c>
    </row>
    <row r="51" spans="1:5" x14ac:dyDescent="0.25">
      <c r="A51" s="11">
        <v>1994</v>
      </c>
      <c r="B51" s="11" t="s">
        <v>260</v>
      </c>
      <c r="C51" s="13">
        <v>4299</v>
      </c>
      <c r="D51" s="13">
        <v>2098</v>
      </c>
      <c r="E51" s="13">
        <v>2201</v>
      </c>
    </row>
    <row r="52" spans="1:5" x14ac:dyDescent="0.25">
      <c r="A52" s="11">
        <v>1994</v>
      </c>
      <c r="B52" s="11" t="s">
        <v>261</v>
      </c>
      <c r="C52" s="13">
        <v>1147</v>
      </c>
      <c r="D52" s="13">
        <v>575</v>
      </c>
      <c r="E52" s="13">
        <v>572</v>
      </c>
    </row>
    <row r="53" spans="1:5" x14ac:dyDescent="0.25">
      <c r="A53" s="11">
        <v>1994</v>
      </c>
      <c r="B53" s="11" t="s">
        <v>233</v>
      </c>
      <c r="C53" s="13">
        <v>1748</v>
      </c>
      <c r="D53" s="13">
        <v>850</v>
      </c>
      <c r="E53" s="13">
        <v>898</v>
      </c>
    </row>
    <row r="54" spans="1:5" x14ac:dyDescent="0.25">
      <c r="A54" s="11">
        <v>1994</v>
      </c>
      <c r="B54" s="11" t="s">
        <v>240</v>
      </c>
      <c r="C54" s="13">
        <v>4110</v>
      </c>
      <c r="D54" s="13">
        <v>2082</v>
      </c>
      <c r="E54" s="13">
        <v>2028</v>
      </c>
    </row>
    <row r="55" spans="1:5" x14ac:dyDescent="0.25">
      <c r="A55" s="11">
        <v>1994</v>
      </c>
      <c r="B55" s="11" t="s">
        <v>262</v>
      </c>
      <c r="C55" s="13">
        <v>3210</v>
      </c>
      <c r="D55" s="13">
        <v>1594</v>
      </c>
      <c r="E55" s="13">
        <v>1616</v>
      </c>
    </row>
    <row r="56" spans="1:5" x14ac:dyDescent="0.25">
      <c r="A56" s="11">
        <v>1994</v>
      </c>
      <c r="B56" s="11" t="s">
        <v>263</v>
      </c>
      <c r="C56" s="13">
        <v>6627</v>
      </c>
      <c r="D56" s="13">
        <v>3245</v>
      </c>
      <c r="E56" s="13">
        <v>3382</v>
      </c>
    </row>
    <row r="57" spans="1:5" x14ac:dyDescent="0.25">
      <c r="A57" s="11">
        <v>1994</v>
      </c>
      <c r="B57" s="11" t="s">
        <v>264</v>
      </c>
      <c r="C57" s="13">
        <v>14587</v>
      </c>
      <c r="D57" s="13">
        <v>7167</v>
      </c>
      <c r="E57" s="13">
        <v>7420</v>
      </c>
    </row>
    <row r="58" spans="1:5" x14ac:dyDescent="0.25">
      <c r="A58" s="11">
        <v>1994</v>
      </c>
      <c r="B58" s="11" t="s">
        <v>242</v>
      </c>
      <c r="C58" s="13">
        <v>3516</v>
      </c>
      <c r="D58" s="13">
        <v>1715</v>
      </c>
      <c r="E58" s="13">
        <v>1801</v>
      </c>
    </row>
    <row r="59" spans="1:5" x14ac:dyDescent="0.25">
      <c r="A59" s="11">
        <v>1994</v>
      </c>
      <c r="B59" s="11" t="s">
        <v>265</v>
      </c>
      <c r="C59" s="13">
        <v>7774</v>
      </c>
      <c r="D59" s="13">
        <v>3823</v>
      </c>
      <c r="E59" s="13">
        <v>3951</v>
      </c>
    </row>
    <row r="60" spans="1:5" x14ac:dyDescent="0.25">
      <c r="A60" s="11">
        <v>1994</v>
      </c>
      <c r="B60" s="11" t="s">
        <v>266</v>
      </c>
      <c r="C60" s="13">
        <v>9341</v>
      </c>
      <c r="D60" s="13">
        <v>4515</v>
      </c>
      <c r="E60" s="13">
        <v>4826</v>
      </c>
    </row>
    <row r="61" spans="1:5" x14ac:dyDescent="0.25">
      <c r="A61" s="11">
        <v>1994</v>
      </c>
      <c r="B61" s="11" t="s">
        <v>267</v>
      </c>
      <c r="C61" s="13">
        <v>249</v>
      </c>
      <c r="D61" s="13">
        <v>138</v>
      </c>
      <c r="E61" s="13">
        <v>111</v>
      </c>
    </row>
    <row r="62" spans="1:5" x14ac:dyDescent="0.25">
      <c r="A62" s="11">
        <v>1994</v>
      </c>
      <c r="B62" s="11" t="s">
        <v>268</v>
      </c>
      <c r="C62" s="13">
        <v>314</v>
      </c>
      <c r="D62" s="13">
        <v>151</v>
      </c>
      <c r="E62" s="13">
        <v>163</v>
      </c>
    </row>
    <row r="63" spans="1:5" x14ac:dyDescent="0.25">
      <c r="A63" s="11">
        <v>1994</v>
      </c>
      <c r="B63" s="11" t="s">
        <v>269</v>
      </c>
      <c r="C63" s="13">
        <v>4434</v>
      </c>
      <c r="D63" s="13">
        <v>2140</v>
      </c>
      <c r="E63" s="13">
        <v>2294</v>
      </c>
    </row>
    <row r="64" spans="1:5" x14ac:dyDescent="0.25">
      <c r="A64" s="11">
        <v>1994</v>
      </c>
      <c r="B64" s="11" t="s">
        <v>270</v>
      </c>
      <c r="C64" s="13">
        <v>300</v>
      </c>
      <c r="D64" s="13">
        <v>164</v>
      </c>
      <c r="E64" s="13">
        <v>136</v>
      </c>
    </row>
    <row r="65" spans="1:5" x14ac:dyDescent="0.25">
      <c r="A65" s="11">
        <v>1995</v>
      </c>
      <c r="B65" s="11" t="s">
        <v>11</v>
      </c>
      <c r="C65" s="13">
        <v>60051</v>
      </c>
      <c r="D65" s="13">
        <v>29399</v>
      </c>
      <c r="E65" s="13">
        <v>30652</v>
      </c>
    </row>
    <row r="66" spans="1:5" x14ac:dyDescent="0.25">
      <c r="A66" s="11">
        <v>1995</v>
      </c>
      <c r="B66" s="11" t="s">
        <v>260</v>
      </c>
      <c r="C66" s="13">
        <v>4176</v>
      </c>
      <c r="D66" s="13">
        <v>2030</v>
      </c>
      <c r="E66" s="13">
        <v>2146</v>
      </c>
    </row>
    <row r="67" spans="1:5" x14ac:dyDescent="0.25">
      <c r="A67" s="11">
        <v>1995</v>
      </c>
      <c r="B67" s="11" t="s">
        <v>261</v>
      </c>
      <c r="C67" s="13">
        <v>1172</v>
      </c>
      <c r="D67" s="13">
        <v>565</v>
      </c>
      <c r="E67" s="13">
        <v>607</v>
      </c>
    </row>
    <row r="68" spans="1:5" x14ac:dyDescent="0.25">
      <c r="A68" s="11">
        <v>1995</v>
      </c>
      <c r="B68" s="11" t="s">
        <v>233</v>
      </c>
      <c r="C68" s="13">
        <v>1636</v>
      </c>
      <c r="D68" s="13">
        <v>813</v>
      </c>
      <c r="E68" s="13">
        <v>823</v>
      </c>
    </row>
    <row r="69" spans="1:5" x14ac:dyDescent="0.25">
      <c r="A69" s="11">
        <v>1995</v>
      </c>
      <c r="B69" s="11" t="s">
        <v>240</v>
      </c>
      <c r="C69" s="13">
        <v>4033</v>
      </c>
      <c r="D69" s="13">
        <v>2005</v>
      </c>
      <c r="E69" s="13">
        <v>2028</v>
      </c>
    </row>
    <row r="70" spans="1:5" x14ac:dyDescent="0.25">
      <c r="A70" s="11">
        <v>1995</v>
      </c>
      <c r="B70" s="11" t="s">
        <v>262</v>
      </c>
      <c r="C70" s="13">
        <v>3183</v>
      </c>
      <c r="D70" s="13">
        <v>1562</v>
      </c>
      <c r="E70" s="13">
        <v>1621</v>
      </c>
    </row>
    <row r="71" spans="1:5" x14ac:dyDescent="0.25">
      <c r="A71" s="11">
        <v>1995</v>
      </c>
      <c r="B71" s="11" t="s">
        <v>263</v>
      </c>
      <c r="C71" s="13">
        <v>6136</v>
      </c>
      <c r="D71" s="13">
        <v>3002</v>
      </c>
      <c r="E71" s="13">
        <v>3134</v>
      </c>
    </row>
    <row r="72" spans="1:5" x14ac:dyDescent="0.25">
      <c r="A72" s="11">
        <v>1995</v>
      </c>
      <c r="B72" s="11" t="s">
        <v>264</v>
      </c>
      <c r="C72" s="13">
        <v>14402</v>
      </c>
      <c r="D72" s="13">
        <v>7011</v>
      </c>
      <c r="E72" s="13">
        <v>7391</v>
      </c>
    </row>
    <row r="73" spans="1:5" x14ac:dyDescent="0.25">
      <c r="A73" s="11">
        <v>1995</v>
      </c>
      <c r="B73" s="11" t="s">
        <v>242</v>
      </c>
      <c r="C73" s="13">
        <v>3423</v>
      </c>
      <c r="D73" s="13">
        <v>1698</v>
      </c>
      <c r="E73" s="13">
        <v>1725</v>
      </c>
    </row>
    <row r="74" spans="1:5" x14ac:dyDescent="0.25">
      <c r="A74" s="11">
        <v>1995</v>
      </c>
      <c r="B74" s="11" t="s">
        <v>265</v>
      </c>
      <c r="C74" s="13">
        <v>7539</v>
      </c>
      <c r="D74" s="13">
        <v>3686</v>
      </c>
      <c r="E74" s="13">
        <v>3853</v>
      </c>
    </row>
    <row r="75" spans="1:5" x14ac:dyDescent="0.25">
      <c r="A75" s="11">
        <v>1995</v>
      </c>
      <c r="B75" s="11" t="s">
        <v>266</v>
      </c>
      <c r="C75" s="13">
        <v>9153</v>
      </c>
      <c r="D75" s="13">
        <v>4475</v>
      </c>
      <c r="E75" s="13">
        <v>4678</v>
      </c>
    </row>
    <row r="76" spans="1:5" x14ac:dyDescent="0.25">
      <c r="A76" s="11">
        <v>1995</v>
      </c>
      <c r="B76" s="11" t="s">
        <v>267</v>
      </c>
      <c r="C76" s="13">
        <v>231</v>
      </c>
      <c r="D76" s="13">
        <v>102</v>
      </c>
      <c r="E76" s="13">
        <v>129</v>
      </c>
    </row>
    <row r="77" spans="1:5" x14ac:dyDescent="0.25">
      <c r="A77" s="11">
        <v>1995</v>
      </c>
      <c r="B77" s="11" t="s">
        <v>268</v>
      </c>
      <c r="C77" s="13">
        <v>291</v>
      </c>
      <c r="D77" s="13">
        <v>144</v>
      </c>
      <c r="E77" s="13">
        <v>147</v>
      </c>
    </row>
    <row r="78" spans="1:5" x14ac:dyDescent="0.25">
      <c r="A78" s="11">
        <v>1995</v>
      </c>
      <c r="B78" s="11" t="s">
        <v>269</v>
      </c>
      <c r="C78" s="13">
        <v>4374</v>
      </c>
      <c r="D78" s="13">
        <v>2163</v>
      </c>
      <c r="E78" s="13">
        <v>2211</v>
      </c>
    </row>
    <row r="79" spans="1:5" x14ac:dyDescent="0.25">
      <c r="A79" s="11">
        <v>1995</v>
      </c>
      <c r="B79" s="11" t="s">
        <v>270</v>
      </c>
      <c r="C79" s="13">
        <v>302</v>
      </c>
      <c r="D79" s="13">
        <v>143</v>
      </c>
      <c r="E79" s="13">
        <v>159</v>
      </c>
    </row>
    <row r="80" spans="1:5" x14ac:dyDescent="0.25">
      <c r="A80" s="11">
        <v>1996</v>
      </c>
      <c r="B80" s="11" t="s">
        <v>11</v>
      </c>
      <c r="C80" s="13">
        <v>59296</v>
      </c>
      <c r="D80" s="13">
        <v>28773</v>
      </c>
      <c r="E80" s="13">
        <v>30523</v>
      </c>
    </row>
    <row r="81" spans="1:5" x14ac:dyDescent="0.25">
      <c r="A81" s="11">
        <v>1996</v>
      </c>
      <c r="B81" s="11" t="s">
        <v>260</v>
      </c>
      <c r="C81" s="13">
        <v>4135</v>
      </c>
      <c r="D81" s="13">
        <v>2035</v>
      </c>
      <c r="E81" s="13">
        <v>2100</v>
      </c>
    </row>
    <row r="82" spans="1:5" x14ac:dyDescent="0.25">
      <c r="A82" s="11">
        <v>1996</v>
      </c>
      <c r="B82" s="11" t="s">
        <v>261</v>
      </c>
      <c r="C82" s="13">
        <v>1132</v>
      </c>
      <c r="D82" s="13">
        <v>574</v>
      </c>
      <c r="E82" s="13">
        <v>558</v>
      </c>
    </row>
    <row r="83" spans="1:5" x14ac:dyDescent="0.25">
      <c r="A83" s="11">
        <v>1996</v>
      </c>
      <c r="B83" s="11" t="s">
        <v>233</v>
      </c>
      <c r="C83" s="13">
        <v>1610</v>
      </c>
      <c r="D83" s="13">
        <v>785</v>
      </c>
      <c r="E83" s="13">
        <v>825</v>
      </c>
    </row>
    <row r="84" spans="1:5" x14ac:dyDescent="0.25">
      <c r="A84" s="11">
        <v>1996</v>
      </c>
      <c r="B84" s="11" t="s">
        <v>240</v>
      </c>
      <c r="C84" s="13">
        <v>3830</v>
      </c>
      <c r="D84" s="13">
        <v>1877</v>
      </c>
      <c r="E84" s="13">
        <v>1953</v>
      </c>
    </row>
    <row r="85" spans="1:5" x14ac:dyDescent="0.25">
      <c r="A85" s="11">
        <v>1996</v>
      </c>
      <c r="B85" s="11" t="s">
        <v>262</v>
      </c>
      <c r="C85" s="13">
        <v>3189</v>
      </c>
      <c r="D85" s="13">
        <v>1522</v>
      </c>
      <c r="E85" s="13">
        <v>1667</v>
      </c>
    </row>
    <row r="86" spans="1:5" x14ac:dyDescent="0.25">
      <c r="A86" s="11">
        <v>1996</v>
      </c>
      <c r="B86" s="11" t="s">
        <v>263</v>
      </c>
      <c r="C86" s="13">
        <v>6050</v>
      </c>
      <c r="D86" s="13">
        <v>2882</v>
      </c>
      <c r="E86" s="13">
        <v>3168</v>
      </c>
    </row>
    <row r="87" spans="1:5" x14ac:dyDescent="0.25">
      <c r="A87" s="11">
        <v>1996</v>
      </c>
      <c r="B87" s="11" t="s">
        <v>264</v>
      </c>
      <c r="C87" s="13">
        <v>14209</v>
      </c>
      <c r="D87" s="13">
        <v>6856</v>
      </c>
      <c r="E87" s="13">
        <v>7353</v>
      </c>
    </row>
    <row r="88" spans="1:5" x14ac:dyDescent="0.25">
      <c r="A88" s="11">
        <v>1996</v>
      </c>
      <c r="B88" s="11" t="s">
        <v>242</v>
      </c>
      <c r="C88" s="13">
        <v>3332</v>
      </c>
      <c r="D88" s="13">
        <v>1595</v>
      </c>
      <c r="E88" s="13">
        <v>1737</v>
      </c>
    </row>
    <row r="89" spans="1:5" x14ac:dyDescent="0.25">
      <c r="A89" s="11">
        <v>1996</v>
      </c>
      <c r="B89" s="11" t="s">
        <v>265</v>
      </c>
      <c r="C89" s="13">
        <v>7626</v>
      </c>
      <c r="D89" s="13">
        <v>3715</v>
      </c>
      <c r="E89" s="13">
        <v>3911</v>
      </c>
    </row>
    <row r="90" spans="1:5" x14ac:dyDescent="0.25">
      <c r="A90" s="11">
        <v>1996</v>
      </c>
      <c r="B90" s="11" t="s">
        <v>266</v>
      </c>
      <c r="C90" s="13">
        <v>9086</v>
      </c>
      <c r="D90" s="13">
        <v>4436</v>
      </c>
      <c r="E90" s="13">
        <v>4650</v>
      </c>
    </row>
    <row r="91" spans="1:5" x14ac:dyDescent="0.25">
      <c r="A91" s="11">
        <v>1996</v>
      </c>
      <c r="B91" s="11" t="s">
        <v>267</v>
      </c>
      <c r="C91" s="13">
        <v>214</v>
      </c>
      <c r="D91" s="13">
        <v>87</v>
      </c>
      <c r="E91" s="13">
        <v>127</v>
      </c>
    </row>
    <row r="92" spans="1:5" x14ac:dyDescent="0.25">
      <c r="A92" s="11">
        <v>1996</v>
      </c>
      <c r="B92" s="11" t="s">
        <v>268</v>
      </c>
      <c r="C92" s="13">
        <v>269</v>
      </c>
      <c r="D92" s="13">
        <v>130</v>
      </c>
      <c r="E92" s="13">
        <v>139</v>
      </c>
    </row>
    <row r="93" spans="1:5" x14ac:dyDescent="0.25">
      <c r="A93" s="11">
        <v>1996</v>
      </c>
      <c r="B93" s="11" t="s">
        <v>269</v>
      </c>
      <c r="C93" s="13">
        <v>4333</v>
      </c>
      <c r="D93" s="13">
        <v>2138</v>
      </c>
      <c r="E93" s="13">
        <v>2195</v>
      </c>
    </row>
    <row r="94" spans="1:5" x14ac:dyDescent="0.25">
      <c r="A94" s="11">
        <v>1996</v>
      </c>
      <c r="B94" s="11" t="s">
        <v>270</v>
      </c>
      <c r="C94" s="13">
        <v>281</v>
      </c>
      <c r="D94" s="13">
        <v>141</v>
      </c>
      <c r="E94" s="13">
        <v>140</v>
      </c>
    </row>
    <row r="95" spans="1:5" x14ac:dyDescent="0.25">
      <c r="A95" s="11">
        <v>1997</v>
      </c>
      <c r="B95" s="11" t="s">
        <v>11</v>
      </c>
      <c r="C95" s="13">
        <v>59440</v>
      </c>
      <c r="D95" s="13">
        <v>28924</v>
      </c>
      <c r="E95" s="13">
        <v>30516</v>
      </c>
    </row>
    <row r="96" spans="1:5" x14ac:dyDescent="0.25">
      <c r="A96" s="11">
        <v>1997</v>
      </c>
      <c r="B96" s="11" t="s">
        <v>260</v>
      </c>
      <c r="C96" s="13">
        <v>4167</v>
      </c>
      <c r="D96" s="13">
        <v>2007</v>
      </c>
      <c r="E96" s="13">
        <v>2160</v>
      </c>
    </row>
    <row r="97" spans="1:5" x14ac:dyDescent="0.25">
      <c r="A97" s="11">
        <v>1997</v>
      </c>
      <c r="B97" s="11" t="s">
        <v>261</v>
      </c>
      <c r="C97" s="13">
        <v>1132</v>
      </c>
      <c r="D97" s="13">
        <v>567</v>
      </c>
      <c r="E97" s="13">
        <v>565</v>
      </c>
    </row>
    <row r="98" spans="1:5" x14ac:dyDescent="0.25">
      <c r="A98" s="11">
        <v>1997</v>
      </c>
      <c r="B98" s="11" t="s">
        <v>233</v>
      </c>
      <c r="C98" s="13">
        <v>1568</v>
      </c>
      <c r="D98" s="13">
        <v>766</v>
      </c>
      <c r="E98" s="13">
        <v>802</v>
      </c>
    </row>
    <row r="99" spans="1:5" x14ac:dyDescent="0.25">
      <c r="A99" s="11">
        <v>1997</v>
      </c>
      <c r="B99" s="11" t="s">
        <v>240</v>
      </c>
      <c r="C99" s="13">
        <v>3824</v>
      </c>
      <c r="D99" s="13">
        <v>1905</v>
      </c>
      <c r="E99" s="13">
        <v>1919</v>
      </c>
    </row>
    <row r="100" spans="1:5" x14ac:dyDescent="0.25">
      <c r="A100" s="11">
        <v>1997</v>
      </c>
      <c r="B100" s="11" t="s">
        <v>262</v>
      </c>
      <c r="C100" s="13">
        <v>3178</v>
      </c>
      <c r="D100" s="13">
        <v>1556</v>
      </c>
      <c r="E100" s="13">
        <v>1622</v>
      </c>
    </row>
    <row r="101" spans="1:5" x14ac:dyDescent="0.25">
      <c r="A101" s="11">
        <v>1997</v>
      </c>
      <c r="B101" s="11" t="s">
        <v>263</v>
      </c>
      <c r="C101" s="13">
        <v>6044</v>
      </c>
      <c r="D101" s="13">
        <v>2866</v>
      </c>
      <c r="E101" s="13">
        <v>3178</v>
      </c>
    </row>
    <row r="102" spans="1:5" x14ac:dyDescent="0.25">
      <c r="A102" s="11">
        <v>1997</v>
      </c>
      <c r="B102" s="11" t="s">
        <v>264</v>
      </c>
      <c r="C102" s="13">
        <v>14148</v>
      </c>
      <c r="D102" s="13">
        <v>6904</v>
      </c>
      <c r="E102" s="13">
        <v>7244</v>
      </c>
    </row>
    <row r="103" spans="1:5" x14ac:dyDescent="0.25">
      <c r="A103" s="11">
        <v>1997</v>
      </c>
      <c r="B103" s="11" t="s">
        <v>242</v>
      </c>
      <c r="C103" s="13">
        <v>3391</v>
      </c>
      <c r="D103" s="13">
        <v>1626</v>
      </c>
      <c r="E103" s="13">
        <v>1765</v>
      </c>
    </row>
    <row r="104" spans="1:5" x14ac:dyDescent="0.25">
      <c r="A104" s="11">
        <v>1997</v>
      </c>
      <c r="B104" s="11" t="s">
        <v>265</v>
      </c>
      <c r="C104" s="13">
        <v>7650</v>
      </c>
      <c r="D104" s="13">
        <v>3668</v>
      </c>
      <c r="E104" s="13">
        <v>3982</v>
      </c>
    </row>
    <row r="105" spans="1:5" x14ac:dyDescent="0.25">
      <c r="A105" s="11">
        <v>1997</v>
      </c>
      <c r="B105" s="11" t="s">
        <v>266</v>
      </c>
      <c r="C105" s="13">
        <v>9172</v>
      </c>
      <c r="D105" s="13">
        <v>4522</v>
      </c>
      <c r="E105" s="13">
        <v>4650</v>
      </c>
    </row>
    <row r="106" spans="1:5" x14ac:dyDescent="0.25">
      <c r="A106" s="11">
        <v>1997</v>
      </c>
      <c r="B106" s="11" t="s">
        <v>267</v>
      </c>
      <c r="C106" s="13">
        <v>224</v>
      </c>
      <c r="D106" s="13">
        <v>102</v>
      </c>
      <c r="E106" s="13">
        <v>122</v>
      </c>
    </row>
    <row r="107" spans="1:5" x14ac:dyDescent="0.25">
      <c r="A107" s="11">
        <v>1997</v>
      </c>
      <c r="B107" s="11" t="s">
        <v>268</v>
      </c>
      <c r="C107" s="13">
        <v>286</v>
      </c>
      <c r="D107" s="13">
        <v>157</v>
      </c>
      <c r="E107" s="13">
        <v>129</v>
      </c>
    </row>
    <row r="108" spans="1:5" x14ac:dyDescent="0.25">
      <c r="A108" s="11">
        <v>1997</v>
      </c>
      <c r="B108" s="11" t="s">
        <v>269</v>
      </c>
      <c r="C108" s="13">
        <v>4404</v>
      </c>
      <c r="D108" s="13">
        <v>2150</v>
      </c>
      <c r="E108" s="13">
        <v>2254</v>
      </c>
    </row>
    <row r="109" spans="1:5" x14ac:dyDescent="0.25">
      <c r="A109" s="11">
        <v>1997</v>
      </c>
      <c r="B109" s="11" t="s">
        <v>270</v>
      </c>
      <c r="C109" s="13">
        <v>252</v>
      </c>
      <c r="D109" s="13">
        <v>128</v>
      </c>
      <c r="E109" s="13">
        <v>124</v>
      </c>
    </row>
    <row r="110" spans="1:5" x14ac:dyDescent="0.25">
      <c r="A110" s="11">
        <v>1998</v>
      </c>
      <c r="B110" s="11" t="s">
        <v>11</v>
      </c>
      <c r="C110" s="13">
        <v>57319</v>
      </c>
      <c r="D110" s="13">
        <v>27823</v>
      </c>
      <c r="E110" s="13">
        <v>29496</v>
      </c>
    </row>
    <row r="111" spans="1:5" x14ac:dyDescent="0.25">
      <c r="A111" s="11">
        <v>1998</v>
      </c>
      <c r="B111" s="11" t="s">
        <v>260</v>
      </c>
      <c r="C111" s="13">
        <v>4056</v>
      </c>
      <c r="D111" s="13">
        <v>1973</v>
      </c>
      <c r="E111" s="13">
        <v>2083</v>
      </c>
    </row>
    <row r="112" spans="1:5" x14ac:dyDescent="0.25">
      <c r="A112" s="11">
        <v>1998</v>
      </c>
      <c r="B112" s="11" t="s">
        <v>261</v>
      </c>
      <c r="C112" s="13">
        <v>1038</v>
      </c>
      <c r="D112" s="13">
        <v>501</v>
      </c>
      <c r="E112" s="13">
        <v>537</v>
      </c>
    </row>
    <row r="113" spans="1:5" x14ac:dyDescent="0.25">
      <c r="A113" s="11">
        <v>1998</v>
      </c>
      <c r="B113" s="11" t="s">
        <v>233</v>
      </c>
      <c r="C113" s="13">
        <v>1514</v>
      </c>
      <c r="D113" s="13">
        <v>734</v>
      </c>
      <c r="E113" s="13">
        <v>780</v>
      </c>
    </row>
    <row r="114" spans="1:5" x14ac:dyDescent="0.25">
      <c r="A114" s="11">
        <v>1998</v>
      </c>
      <c r="B114" s="11" t="s">
        <v>240</v>
      </c>
      <c r="C114" s="13">
        <v>3854</v>
      </c>
      <c r="D114" s="13">
        <v>1886</v>
      </c>
      <c r="E114" s="13">
        <v>1968</v>
      </c>
    </row>
    <row r="115" spans="1:5" x14ac:dyDescent="0.25">
      <c r="A115" s="11">
        <v>1998</v>
      </c>
      <c r="B115" s="11" t="s">
        <v>262</v>
      </c>
      <c r="C115" s="13">
        <v>3158</v>
      </c>
      <c r="D115" s="13">
        <v>1504</v>
      </c>
      <c r="E115" s="13">
        <v>1654</v>
      </c>
    </row>
    <row r="116" spans="1:5" x14ac:dyDescent="0.25">
      <c r="A116" s="11">
        <v>1998</v>
      </c>
      <c r="B116" s="11" t="s">
        <v>263</v>
      </c>
      <c r="C116" s="13">
        <v>5967</v>
      </c>
      <c r="D116" s="13">
        <v>2881</v>
      </c>
      <c r="E116" s="13">
        <v>3086</v>
      </c>
    </row>
    <row r="117" spans="1:5" x14ac:dyDescent="0.25">
      <c r="A117" s="11">
        <v>1998</v>
      </c>
      <c r="B117" s="11" t="s">
        <v>264</v>
      </c>
      <c r="C117" s="13">
        <v>13316</v>
      </c>
      <c r="D117" s="13">
        <v>6445</v>
      </c>
      <c r="E117" s="13">
        <v>6871</v>
      </c>
    </row>
    <row r="118" spans="1:5" x14ac:dyDescent="0.25">
      <c r="A118" s="11">
        <v>1998</v>
      </c>
      <c r="B118" s="11" t="s">
        <v>242</v>
      </c>
      <c r="C118" s="13">
        <v>3301</v>
      </c>
      <c r="D118" s="13">
        <v>1583</v>
      </c>
      <c r="E118" s="13">
        <v>1718</v>
      </c>
    </row>
    <row r="119" spans="1:5" x14ac:dyDescent="0.25">
      <c r="A119" s="11">
        <v>1998</v>
      </c>
      <c r="B119" s="11" t="s">
        <v>265</v>
      </c>
      <c r="C119" s="13">
        <v>7381</v>
      </c>
      <c r="D119" s="13">
        <v>3593</v>
      </c>
      <c r="E119" s="13">
        <v>3788</v>
      </c>
    </row>
    <row r="120" spans="1:5" x14ac:dyDescent="0.25">
      <c r="A120" s="11">
        <v>1998</v>
      </c>
      <c r="B120" s="11" t="s">
        <v>266</v>
      </c>
      <c r="C120" s="13">
        <v>8805</v>
      </c>
      <c r="D120" s="13">
        <v>4320</v>
      </c>
      <c r="E120" s="13">
        <v>4485</v>
      </c>
    </row>
    <row r="121" spans="1:5" x14ac:dyDescent="0.25">
      <c r="A121" s="11">
        <v>1998</v>
      </c>
      <c r="B121" s="11" t="s">
        <v>267</v>
      </c>
      <c r="C121" s="13">
        <v>194</v>
      </c>
      <c r="D121" s="13">
        <v>91</v>
      </c>
      <c r="E121" s="13">
        <v>103</v>
      </c>
    </row>
    <row r="122" spans="1:5" x14ac:dyDescent="0.25">
      <c r="A122" s="11">
        <v>1998</v>
      </c>
      <c r="B122" s="11" t="s">
        <v>268</v>
      </c>
      <c r="C122" s="13">
        <v>265</v>
      </c>
      <c r="D122" s="13">
        <v>139</v>
      </c>
      <c r="E122" s="13">
        <v>126</v>
      </c>
    </row>
    <row r="123" spans="1:5" x14ac:dyDescent="0.25">
      <c r="A123" s="11">
        <v>1998</v>
      </c>
      <c r="B123" s="11" t="s">
        <v>269</v>
      </c>
      <c r="C123" s="13">
        <v>4196</v>
      </c>
      <c r="D123" s="13">
        <v>2030</v>
      </c>
      <c r="E123" s="13">
        <v>2166</v>
      </c>
    </row>
    <row r="124" spans="1:5" x14ac:dyDescent="0.25">
      <c r="A124" s="11">
        <v>1998</v>
      </c>
      <c r="B124" s="11" t="s">
        <v>270</v>
      </c>
      <c r="C124" s="13">
        <v>274</v>
      </c>
      <c r="D124" s="13">
        <v>143</v>
      </c>
      <c r="E124" s="13">
        <v>131</v>
      </c>
    </row>
    <row r="125" spans="1:5" x14ac:dyDescent="0.25">
      <c r="A125" s="11">
        <v>1999</v>
      </c>
      <c r="B125" s="11" t="s">
        <v>11</v>
      </c>
      <c r="C125" s="13">
        <v>55147</v>
      </c>
      <c r="D125" s="13">
        <v>26901</v>
      </c>
      <c r="E125" s="13">
        <v>28246</v>
      </c>
    </row>
    <row r="126" spans="1:5" x14ac:dyDescent="0.25">
      <c r="A126" s="11">
        <v>1999</v>
      </c>
      <c r="B126" s="11" t="s">
        <v>260</v>
      </c>
      <c r="C126" s="13">
        <v>3740</v>
      </c>
      <c r="D126" s="13">
        <v>1815</v>
      </c>
      <c r="E126" s="13">
        <v>1925</v>
      </c>
    </row>
    <row r="127" spans="1:5" x14ac:dyDescent="0.25">
      <c r="A127" s="11">
        <v>1999</v>
      </c>
      <c r="B127" s="11" t="s">
        <v>261</v>
      </c>
      <c r="C127" s="13">
        <v>1054</v>
      </c>
      <c r="D127" s="13">
        <v>523</v>
      </c>
      <c r="E127" s="13">
        <v>531</v>
      </c>
    </row>
    <row r="128" spans="1:5" x14ac:dyDescent="0.25">
      <c r="A128" s="11">
        <v>1999</v>
      </c>
      <c r="B128" s="11" t="s">
        <v>233</v>
      </c>
      <c r="C128" s="13">
        <v>1402</v>
      </c>
      <c r="D128" s="13">
        <v>684</v>
      </c>
      <c r="E128" s="13">
        <v>718</v>
      </c>
    </row>
    <row r="129" spans="1:5" x14ac:dyDescent="0.25">
      <c r="A129" s="11">
        <v>1999</v>
      </c>
      <c r="B129" s="11" t="s">
        <v>240</v>
      </c>
      <c r="C129" s="13">
        <v>3655</v>
      </c>
      <c r="D129" s="13">
        <v>1761</v>
      </c>
      <c r="E129" s="13">
        <v>1894</v>
      </c>
    </row>
    <row r="130" spans="1:5" x14ac:dyDescent="0.25">
      <c r="A130" s="11">
        <v>1999</v>
      </c>
      <c r="B130" s="11" t="s">
        <v>262</v>
      </c>
      <c r="C130" s="13">
        <v>3029</v>
      </c>
      <c r="D130" s="13">
        <v>1482</v>
      </c>
      <c r="E130" s="13">
        <v>1547</v>
      </c>
    </row>
    <row r="131" spans="1:5" x14ac:dyDescent="0.25">
      <c r="A131" s="11">
        <v>1999</v>
      </c>
      <c r="B131" s="11" t="s">
        <v>263</v>
      </c>
      <c r="C131" s="13">
        <v>5785</v>
      </c>
      <c r="D131" s="13">
        <v>2817</v>
      </c>
      <c r="E131" s="13">
        <v>2968</v>
      </c>
    </row>
    <row r="132" spans="1:5" x14ac:dyDescent="0.25">
      <c r="A132" s="11">
        <v>1999</v>
      </c>
      <c r="B132" s="11" t="s">
        <v>264</v>
      </c>
      <c r="C132" s="13">
        <v>12818</v>
      </c>
      <c r="D132" s="13">
        <v>6310</v>
      </c>
      <c r="E132" s="13">
        <v>6508</v>
      </c>
    </row>
    <row r="133" spans="1:5" x14ac:dyDescent="0.25">
      <c r="A133" s="11">
        <v>1999</v>
      </c>
      <c r="B133" s="11" t="s">
        <v>242</v>
      </c>
      <c r="C133" s="13">
        <v>3057</v>
      </c>
      <c r="D133" s="13">
        <v>1419</v>
      </c>
      <c r="E133" s="13">
        <v>1638</v>
      </c>
    </row>
    <row r="134" spans="1:5" x14ac:dyDescent="0.25">
      <c r="A134" s="11">
        <v>1999</v>
      </c>
      <c r="B134" s="11" t="s">
        <v>265</v>
      </c>
      <c r="C134" s="13">
        <v>7201</v>
      </c>
      <c r="D134" s="13">
        <v>3502</v>
      </c>
      <c r="E134" s="13">
        <v>3699</v>
      </c>
    </row>
    <row r="135" spans="1:5" x14ac:dyDescent="0.25">
      <c r="A135" s="11">
        <v>1999</v>
      </c>
      <c r="B135" s="11" t="s">
        <v>266</v>
      </c>
      <c r="C135" s="13">
        <v>8690</v>
      </c>
      <c r="D135" s="13">
        <v>4331</v>
      </c>
      <c r="E135" s="13">
        <v>4359</v>
      </c>
    </row>
    <row r="136" spans="1:5" x14ac:dyDescent="0.25">
      <c r="A136" s="11">
        <v>1999</v>
      </c>
      <c r="B136" s="11" t="s">
        <v>267</v>
      </c>
      <c r="C136" s="13">
        <v>188</v>
      </c>
      <c r="D136" s="13">
        <v>93</v>
      </c>
      <c r="E136" s="13">
        <v>95</v>
      </c>
    </row>
    <row r="137" spans="1:5" x14ac:dyDescent="0.25">
      <c r="A137" s="11">
        <v>1999</v>
      </c>
      <c r="B137" s="11" t="s">
        <v>268</v>
      </c>
      <c r="C137" s="13">
        <v>284</v>
      </c>
      <c r="D137" s="13">
        <v>144</v>
      </c>
      <c r="E137" s="13">
        <v>140</v>
      </c>
    </row>
    <row r="138" spans="1:5" x14ac:dyDescent="0.25">
      <c r="A138" s="11">
        <v>1999</v>
      </c>
      <c r="B138" s="11" t="s">
        <v>269</v>
      </c>
      <c r="C138" s="13">
        <v>3979</v>
      </c>
      <c r="D138" s="13">
        <v>1897</v>
      </c>
      <c r="E138" s="13">
        <v>2082</v>
      </c>
    </row>
    <row r="139" spans="1:5" x14ac:dyDescent="0.25">
      <c r="A139" s="11">
        <v>1999</v>
      </c>
      <c r="B139" s="11" t="s">
        <v>270</v>
      </c>
      <c r="C139" s="13">
        <v>265</v>
      </c>
      <c r="D139" s="13">
        <v>123</v>
      </c>
      <c r="E139" s="13">
        <v>142</v>
      </c>
    </row>
    <row r="140" spans="1:5" x14ac:dyDescent="0.25">
      <c r="A140" s="11">
        <v>2000</v>
      </c>
      <c r="B140" s="11" t="s">
        <v>11</v>
      </c>
      <c r="C140" s="13">
        <v>53076</v>
      </c>
      <c r="D140" s="13">
        <v>25880</v>
      </c>
      <c r="E140" s="13">
        <v>27196</v>
      </c>
    </row>
    <row r="141" spans="1:5" x14ac:dyDescent="0.25">
      <c r="A141" s="11">
        <v>2000</v>
      </c>
      <c r="B141" s="11" t="s">
        <v>260</v>
      </c>
      <c r="C141" s="13">
        <v>3671</v>
      </c>
      <c r="D141" s="13">
        <v>1821</v>
      </c>
      <c r="E141" s="13">
        <v>1850</v>
      </c>
    </row>
    <row r="142" spans="1:5" x14ac:dyDescent="0.25">
      <c r="A142" s="11">
        <v>2000</v>
      </c>
      <c r="B142" s="11" t="s">
        <v>261</v>
      </c>
      <c r="C142" s="13">
        <v>1068</v>
      </c>
      <c r="D142" s="13">
        <v>529</v>
      </c>
      <c r="E142" s="13">
        <v>539</v>
      </c>
    </row>
    <row r="143" spans="1:5" x14ac:dyDescent="0.25">
      <c r="A143" s="11">
        <v>2000</v>
      </c>
      <c r="B143" s="11" t="s">
        <v>233</v>
      </c>
      <c r="C143" s="13">
        <v>1369</v>
      </c>
      <c r="D143" s="13">
        <v>670</v>
      </c>
      <c r="E143" s="13">
        <v>699</v>
      </c>
    </row>
    <row r="144" spans="1:5" x14ac:dyDescent="0.25">
      <c r="A144" s="11">
        <v>2000</v>
      </c>
      <c r="B144" s="11" t="s">
        <v>240</v>
      </c>
      <c r="C144" s="13">
        <v>3498</v>
      </c>
      <c r="D144" s="13">
        <v>1674</v>
      </c>
      <c r="E144" s="13">
        <v>1824</v>
      </c>
    </row>
    <row r="145" spans="1:5" x14ac:dyDescent="0.25">
      <c r="A145" s="11">
        <v>2000</v>
      </c>
      <c r="B145" s="11" t="s">
        <v>262</v>
      </c>
      <c r="C145" s="13">
        <v>2921</v>
      </c>
      <c r="D145" s="13">
        <v>1451</v>
      </c>
      <c r="E145" s="13">
        <v>1470</v>
      </c>
    </row>
    <row r="146" spans="1:5" x14ac:dyDescent="0.25">
      <c r="A146" s="11">
        <v>2000</v>
      </c>
      <c r="B146" s="11" t="s">
        <v>263</v>
      </c>
      <c r="C146" s="13">
        <v>5320</v>
      </c>
      <c r="D146" s="13">
        <v>2530</v>
      </c>
      <c r="E146" s="13">
        <v>2790</v>
      </c>
    </row>
    <row r="147" spans="1:5" x14ac:dyDescent="0.25">
      <c r="A147" s="11">
        <v>2000</v>
      </c>
      <c r="B147" s="11" t="s">
        <v>264</v>
      </c>
      <c r="C147" s="13">
        <v>12359</v>
      </c>
      <c r="D147" s="13">
        <v>5967</v>
      </c>
      <c r="E147" s="13">
        <v>6392</v>
      </c>
    </row>
    <row r="148" spans="1:5" x14ac:dyDescent="0.25">
      <c r="A148" s="11">
        <v>2000</v>
      </c>
      <c r="B148" s="11" t="s">
        <v>242</v>
      </c>
      <c r="C148" s="13">
        <v>2945</v>
      </c>
      <c r="D148" s="13">
        <v>1401</v>
      </c>
      <c r="E148" s="13">
        <v>1544</v>
      </c>
    </row>
    <row r="149" spans="1:5" x14ac:dyDescent="0.25">
      <c r="A149" s="11">
        <v>2000</v>
      </c>
      <c r="B149" s="11" t="s">
        <v>265</v>
      </c>
      <c r="C149" s="13">
        <v>6994</v>
      </c>
      <c r="D149" s="13">
        <v>3483</v>
      </c>
      <c r="E149" s="13">
        <v>3511</v>
      </c>
    </row>
    <row r="150" spans="1:5" x14ac:dyDescent="0.25">
      <c r="A150" s="11">
        <v>2000</v>
      </c>
      <c r="B150" s="11" t="s">
        <v>266</v>
      </c>
      <c r="C150" s="13">
        <v>8479</v>
      </c>
      <c r="D150" s="13">
        <v>4181</v>
      </c>
      <c r="E150" s="13">
        <v>4298</v>
      </c>
    </row>
    <row r="151" spans="1:5" x14ac:dyDescent="0.25">
      <c r="A151" s="11">
        <v>2000</v>
      </c>
      <c r="B151" s="11" t="s">
        <v>267</v>
      </c>
      <c r="C151" s="13">
        <v>152</v>
      </c>
      <c r="D151" s="13">
        <v>83</v>
      </c>
      <c r="E151" s="13">
        <v>69</v>
      </c>
    </row>
    <row r="152" spans="1:5" x14ac:dyDescent="0.25">
      <c r="A152" s="11">
        <v>2000</v>
      </c>
      <c r="B152" s="11" t="s">
        <v>268</v>
      </c>
      <c r="C152" s="13">
        <v>226</v>
      </c>
      <c r="D152" s="13">
        <v>109</v>
      </c>
      <c r="E152" s="13">
        <v>117</v>
      </c>
    </row>
    <row r="153" spans="1:5" x14ac:dyDescent="0.25">
      <c r="A153" s="11">
        <v>2000</v>
      </c>
      <c r="B153" s="11" t="s">
        <v>269</v>
      </c>
      <c r="C153" s="13">
        <v>3846</v>
      </c>
      <c r="D153" s="13">
        <v>1873</v>
      </c>
      <c r="E153" s="13">
        <v>1973</v>
      </c>
    </row>
    <row r="154" spans="1:5" x14ac:dyDescent="0.25">
      <c r="A154" s="11">
        <v>2000</v>
      </c>
      <c r="B154" s="11" t="s">
        <v>270</v>
      </c>
      <c r="C154" s="13">
        <v>228</v>
      </c>
      <c r="D154" s="13">
        <v>108</v>
      </c>
      <c r="E154" s="13">
        <v>120</v>
      </c>
    </row>
    <row r="155" spans="1:5" x14ac:dyDescent="0.25">
      <c r="A155" s="11">
        <v>2001</v>
      </c>
      <c r="B155" s="11" t="s">
        <v>11</v>
      </c>
      <c r="C155" s="13">
        <v>52527</v>
      </c>
      <c r="D155" s="13">
        <v>25741</v>
      </c>
      <c r="E155" s="13">
        <v>26786</v>
      </c>
    </row>
    <row r="156" spans="1:5" x14ac:dyDescent="0.25">
      <c r="A156" s="11">
        <v>2001</v>
      </c>
      <c r="B156" s="11" t="s">
        <v>260</v>
      </c>
      <c r="C156" s="13">
        <v>3675</v>
      </c>
      <c r="D156" s="13">
        <v>1807</v>
      </c>
      <c r="E156" s="13">
        <v>1868</v>
      </c>
    </row>
    <row r="157" spans="1:5" x14ac:dyDescent="0.25">
      <c r="A157" s="11">
        <v>2001</v>
      </c>
      <c r="B157" s="11" t="s">
        <v>261</v>
      </c>
      <c r="C157" s="13">
        <v>1066</v>
      </c>
      <c r="D157" s="13">
        <v>537</v>
      </c>
      <c r="E157" s="13">
        <v>529</v>
      </c>
    </row>
    <row r="158" spans="1:5" x14ac:dyDescent="0.25">
      <c r="A158" s="11">
        <v>2001</v>
      </c>
      <c r="B158" s="11" t="s">
        <v>233</v>
      </c>
      <c r="C158" s="13">
        <v>1283</v>
      </c>
      <c r="D158" s="13">
        <v>622</v>
      </c>
      <c r="E158" s="13">
        <v>661</v>
      </c>
    </row>
    <row r="159" spans="1:5" x14ac:dyDescent="0.25">
      <c r="A159" s="11">
        <v>2001</v>
      </c>
      <c r="B159" s="11" t="s">
        <v>240</v>
      </c>
      <c r="C159" s="13">
        <v>3642</v>
      </c>
      <c r="D159" s="13">
        <v>1782</v>
      </c>
      <c r="E159" s="13">
        <v>1860</v>
      </c>
    </row>
    <row r="160" spans="1:5" x14ac:dyDescent="0.25">
      <c r="A160" s="11">
        <v>2001</v>
      </c>
      <c r="B160" s="11" t="s">
        <v>262</v>
      </c>
      <c r="C160" s="13">
        <v>2817</v>
      </c>
      <c r="D160" s="13">
        <v>1403</v>
      </c>
      <c r="E160" s="13">
        <v>1414</v>
      </c>
    </row>
    <row r="161" spans="1:5" x14ac:dyDescent="0.25">
      <c r="A161" s="11">
        <v>2001</v>
      </c>
      <c r="B161" s="11" t="s">
        <v>263</v>
      </c>
      <c r="C161" s="13">
        <v>5213</v>
      </c>
      <c r="D161" s="13">
        <v>2558</v>
      </c>
      <c r="E161" s="13">
        <v>2655</v>
      </c>
    </row>
    <row r="162" spans="1:5" x14ac:dyDescent="0.25">
      <c r="A162" s="11">
        <v>2001</v>
      </c>
      <c r="B162" s="11" t="s">
        <v>264</v>
      </c>
      <c r="C162" s="13">
        <v>12200</v>
      </c>
      <c r="D162" s="13">
        <v>6000</v>
      </c>
      <c r="E162" s="13">
        <v>6200</v>
      </c>
    </row>
    <row r="163" spans="1:5" x14ac:dyDescent="0.25">
      <c r="A163" s="11">
        <v>2001</v>
      </c>
      <c r="B163" s="11" t="s">
        <v>242</v>
      </c>
      <c r="C163" s="13">
        <v>2911</v>
      </c>
      <c r="D163" s="13">
        <v>1402</v>
      </c>
      <c r="E163" s="13">
        <v>1509</v>
      </c>
    </row>
    <row r="164" spans="1:5" x14ac:dyDescent="0.25">
      <c r="A164" s="11">
        <v>2001</v>
      </c>
      <c r="B164" s="11" t="s">
        <v>265</v>
      </c>
      <c r="C164" s="13">
        <v>6837</v>
      </c>
      <c r="D164" s="13">
        <v>3305</v>
      </c>
      <c r="E164" s="13">
        <v>3532</v>
      </c>
    </row>
    <row r="165" spans="1:5" x14ac:dyDescent="0.25">
      <c r="A165" s="11">
        <v>2001</v>
      </c>
      <c r="B165" s="11" t="s">
        <v>266</v>
      </c>
      <c r="C165" s="13">
        <v>8331</v>
      </c>
      <c r="D165" s="13">
        <v>4123</v>
      </c>
      <c r="E165" s="13">
        <v>4208</v>
      </c>
    </row>
    <row r="166" spans="1:5" x14ac:dyDescent="0.25">
      <c r="A166" s="11">
        <v>2001</v>
      </c>
      <c r="B166" s="11" t="s">
        <v>267</v>
      </c>
      <c r="C166" s="13">
        <v>174</v>
      </c>
      <c r="D166" s="13">
        <v>93</v>
      </c>
      <c r="E166" s="13">
        <v>81</v>
      </c>
    </row>
    <row r="167" spans="1:5" x14ac:dyDescent="0.25">
      <c r="A167" s="11">
        <v>2001</v>
      </c>
      <c r="B167" s="11" t="s">
        <v>268</v>
      </c>
      <c r="C167" s="13">
        <v>247</v>
      </c>
      <c r="D167" s="13">
        <v>115</v>
      </c>
      <c r="E167" s="13">
        <v>132</v>
      </c>
    </row>
    <row r="168" spans="1:5" x14ac:dyDescent="0.25">
      <c r="A168" s="11">
        <v>2001</v>
      </c>
      <c r="B168" s="11" t="s">
        <v>269</v>
      </c>
      <c r="C168" s="13">
        <v>3905</v>
      </c>
      <c r="D168" s="13">
        <v>1885</v>
      </c>
      <c r="E168" s="13">
        <v>2020</v>
      </c>
    </row>
    <row r="169" spans="1:5" x14ac:dyDescent="0.25">
      <c r="A169" s="11">
        <v>2001</v>
      </c>
      <c r="B169" s="11" t="s">
        <v>270</v>
      </c>
      <c r="C169" s="13">
        <v>226</v>
      </c>
      <c r="D169" s="13">
        <v>109</v>
      </c>
      <c r="E169" s="13">
        <v>117</v>
      </c>
    </row>
    <row r="170" spans="1:5" x14ac:dyDescent="0.25">
      <c r="A170" s="11">
        <v>2002</v>
      </c>
      <c r="B170" s="11" t="s">
        <v>11</v>
      </c>
      <c r="C170" s="13">
        <v>51270</v>
      </c>
      <c r="D170" s="13">
        <v>25052</v>
      </c>
      <c r="E170" s="13">
        <v>26218</v>
      </c>
    </row>
    <row r="171" spans="1:5" x14ac:dyDescent="0.25">
      <c r="A171" s="11">
        <v>2002</v>
      </c>
      <c r="B171" s="11" t="s">
        <v>260</v>
      </c>
      <c r="C171" s="13">
        <v>3491</v>
      </c>
      <c r="D171" s="13">
        <v>1691</v>
      </c>
      <c r="E171" s="13">
        <v>1800</v>
      </c>
    </row>
    <row r="172" spans="1:5" x14ac:dyDescent="0.25">
      <c r="A172" s="11">
        <v>2002</v>
      </c>
      <c r="B172" s="11" t="s">
        <v>261</v>
      </c>
      <c r="C172" s="13">
        <v>1021</v>
      </c>
      <c r="D172" s="13">
        <v>499</v>
      </c>
      <c r="E172" s="13">
        <v>522</v>
      </c>
    </row>
    <row r="173" spans="1:5" x14ac:dyDescent="0.25">
      <c r="A173" s="11">
        <v>2002</v>
      </c>
      <c r="B173" s="11" t="s">
        <v>233</v>
      </c>
      <c r="C173" s="13">
        <v>1343</v>
      </c>
      <c r="D173" s="13">
        <v>639</v>
      </c>
      <c r="E173" s="13">
        <v>704</v>
      </c>
    </row>
    <row r="174" spans="1:5" x14ac:dyDescent="0.25">
      <c r="A174" s="11">
        <v>2002</v>
      </c>
      <c r="B174" s="11" t="s">
        <v>240</v>
      </c>
      <c r="C174" s="13">
        <v>3536</v>
      </c>
      <c r="D174" s="13">
        <v>1711</v>
      </c>
      <c r="E174" s="13">
        <v>1825</v>
      </c>
    </row>
    <row r="175" spans="1:5" x14ac:dyDescent="0.25">
      <c r="A175" s="11">
        <v>2002</v>
      </c>
      <c r="B175" s="11" t="s">
        <v>262</v>
      </c>
      <c r="C175" s="13">
        <v>2820</v>
      </c>
      <c r="D175" s="13">
        <v>1357</v>
      </c>
      <c r="E175" s="13">
        <v>1463</v>
      </c>
    </row>
    <row r="176" spans="1:5" x14ac:dyDescent="0.25">
      <c r="A176" s="11">
        <v>2002</v>
      </c>
      <c r="B176" s="11" t="s">
        <v>263</v>
      </c>
      <c r="C176" s="13">
        <v>5300</v>
      </c>
      <c r="D176" s="13">
        <v>2570</v>
      </c>
      <c r="E176" s="13">
        <v>2730</v>
      </c>
    </row>
    <row r="177" spans="1:5" x14ac:dyDescent="0.25">
      <c r="A177" s="11">
        <v>2002</v>
      </c>
      <c r="B177" s="11" t="s">
        <v>264</v>
      </c>
      <c r="C177" s="13">
        <v>11767</v>
      </c>
      <c r="D177" s="13">
        <v>5815</v>
      </c>
      <c r="E177" s="13">
        <v>5952</v>
      </c>
    </row>
    <row r="178" spans="1:5" x14ac:dyDescent="0.25">
      <c r="A178" s="11">
        <v>2002</v>
      </c>
      <c r="B178" s="11" t="s">
        <v>242</v>
      </c>
      <c r="C178" s="13">
        <v>2732</v>
      </c>
      <c r="D178" s="13">
        <v>1350</v>
      </c>
      <c r="E178" s="13">
        <v>1382</v>
      </c>
    </row>
    <row r="179" spans="1:5" x14ac:dyDescent="0.25">
      <c r="A179" s="11">
        <v>2002</v>
      </c>
      <c r="B179" s="11" t="s">
        <v>265</v>
      </c>
      <c r="C179" s="13">
        <v>6740</v>
      </c>
      <c r="D179" s="13">
        <v>3354</v>
      </c>
      <c r="E179" s="13">
        <v>3386</v>
      </c>
    </row>
    <row r="180" spans="1:5" x14ac:dyDescent="0.25">
      <c r="A180" s="11">
        <v>2002</v>
      </c>
      <c r="B180" s="11" t="s">
        <v>266</v>
      </c>
      <c r="C180" s="13">
        <v>8210</v>
      </c>
      <c r="D180" s="13">
        <v>3969</v>
      </c>
      <c r="E180" s="13">
        <v>4241</v>
      </c>
    </row>
    <row r="181" spans="1:5" x14ac:dyDescent="0.25">
      <c r="A181" s="11">
        <v>2002</v>
      </c>
      <c r="B181" s="11" t="s">
        <v>267</v>
      </c>
      <c r="C181" s="13">
        <v>164</v>
      </c>
      <c r="D181" s="13">
        <v>91</v>
      </c>
      <c r="E181" s="13">
        <v>73</v>
      </c>
    </row>
    <row r="182" spans="1:5" x14ac:dyDescent="0.25">
      <c r="A182" s="11">
        <v>2002</v>
      </c>
      <c r="B182" s="11" t="s">
        <v>268</v>
      </c>
      <c r="C182" s="13">
        <v>209</v>
      </c>
      <c r="D182" s="13">
        <v>85</v>
      </c>
      <c r="E182" s="13">
        <v>124</v>
      </c>
    </row>
    <row r="183" spans="1:5" x14ac:dyDescent="0.25">
      <c r="A183" s="11">
        <v>2002</v>
      </c>
      <c r="B183" s="11" t="s">
        <v>269</v>
      </c>
      <c r="C183" s="13">
        <v>3695</v>
      </c>
      <c r="D183" s="13">
        <v>1793</v>
      </c>
      <c r="E183" s="13">
        <v>1902</v>
      </c>
    </row>
    <row r="184" spans="1:5" x14ac:dyDescent="0.25">
      <c r="A184" s="11">
        <v>2002</v>
      </c>
      <c r="B184" s="11" t="s">
        <v>270</v>
      </c>
      <c r="C184" s="13">
        <v>242</v>
      </c>
      <c r="D184" s="13">
        <v>128</v>
      </c>
      <c r="E184" s="13">
        <v>114</v>
      </c>
    </row>
    <row r="185" spans="1:5" x14ac:dyDescent="0.25">
      <c r="A185" s="11">
        <v>2003</v>
      </c>
      <c r="B185" s="11" t="s">
        <v>11</v>
      </c>
      <c r="C185" s="13">
        <v>52432</v>
      </c>
      <c r="D185" s="13">
        <v>25526</v>
      </c>
      <c r="E185" s="13">
        <v>26906</v>
      </c>
    </row>
    <row r="186" spans="1:5" x14ac:dyDescent="0.25">
      <c r="A186" s="11">
        <v>2003</v>
      </c>
      <c r="B186" s="11" t="s">
        <v>260</v>
      </c>
      <c r="C186" s="13">
        <v>3602</v>
      </c>
      <c r="D186" s="13">
        <v>1756</v>
      </c>
      <c r="E186" s="13">
        <v>1846</v>
      </c>
    </row>
    <row r="187" spans="1:5" x14ac:dyDescent="0.25">
      <c r="A187" s="11">
        <v>2003</v>
      </c>
      <c r="B187" s="11" t="s">
        <v>261</v>
      </c>
      <c r="C187" s="13">
        <v>1048</v>
      </c>
      <c r="D187" s="13">
        <v>520</v>
      </c>
      <c r="E187" s="13">
        <v>528</v>
      </c>
    </row>
    <row r="188" spans="1:5" x14ac:dyDescent="0.25">
      <c r="A188" s="11">
        <v>2003</v>
      </c>
      <c r="B188" s="11" t="s">
        <v>233</v>
      </c>
      <c r="C188" s="13">
        <v>1307</v>
      </c>
      <c r="D188" s="13">
        <v>661</v>
      </c>
      <c r="E188" s="13">
        <v>646</v>
      </c>
    </row>
    <row r="189" spans="1:5" x14ac:dyDescent="0.25">
      <c r="A189" s="11">
        <v>2003</v>
      </c>
      <c r="B189" s="11" t="s">
        <v>240</v>
      </c>
      <c r="C189" s="13">
        <v>3642</v>
      </c>
      <c r="D189" s="13">
        <v>1776</v>
      </c>
      <c r="E189" s="13">
        <v>1866</v>
      </c>
    </row>
    <row r="190" spans="1:5" x14ac:dyDescent="0.25">
      <c r="A190" s="11">
        <v>2003</v>
      </c>
      <c r="B190" s="11" t="s">
        <v>262</v>
      </c>
      <c r="C190" s="13">
        <v>2929</v>
      </c>
      <c r="D190" s="13">
        <v>1394</v>
      </c>
      <c r="E190" s="13">
        <v>1535</v>
      </c>
    </row>
    <row r="191" spans="1:5" x14ac:dyDescent="0.25">
      <c r="A191" s="11">
        <v>2003</v>
      </c>
      <c r="B191" s="11" t="s">
        <v>263</v>
      </c>
      <c r="C191" s="13">
        <v>5195</v>
      </c>
      <c r="D191" s="13">
        <v>2529</v>
      </c>
      <c r="E191" s="13">
        <v>2666</v>
      </c>
    </row>
    <row r="192" spans="1:5" x14ac:dyDescent="0.25">
      <c r="A192" s="11">
        <v>2003</v>
      </c>
      <c r="B192" s="11" t="s">
        <v>264</v>
      </c>
      <c r="C192" s="13">
        <v>12003</v>
      </c>
      <c r="D192" s="13">
        <v>5763</v>
      </c>
      <c r="E192" s="13">
        <v>6240</v>
      </c>
    </row>
    <row r="193" spans="1:5" x14ac:dyDescent="0.25">
      <c r="A193" s="11">
        <v>2003</v>
      </c>
      <c r="B193" s="11" t="s">
        <v>242</v>
      </c>
      <c r="C193" s="13">
        <v>2817</v>
      </c>
      <c r="D193" s="13">
        <v>1422</v>
      </c>
      <c r="E193" s="13">
        <v>1395</v>
      </c>
    </row>
    <row r="194" spans="1:5" x14ac:dyDescent="0.25">
      <c r="A194" s="11">
        <v>2003</v>
      </c>
      <c r="B194" s="11" t="s">
        <v>265</v>
      </c>
      <c r="C194" s="13">
        <v>6863</v>
      </c>
      <c r="D194" s="13">
        <v>3387</v>
      </c>
      <c r="E194" s="13">
        <v>3476</v>
      </c>
    </row>
    <row r="195" spans="1:5" x14ac:dyDescent="0.25">
      <c r="A195" s="11">
        <v>2003</v>
      </c>
      <c r="B195" s="11" t="s">
        <v>266</v>
      </c>
      <c r="C195" s="13">
        <v>8420</v>
      </c>
      <c r="D195" s="13">
        <v>4094</v>
      </c>
      <c r="E195" s="13">
        <v>4326</v>
      </c>
    </row>
    <row r="196" spans="1:5" x14ac:dyDescent="0.25">
      <c r="A196" s="11">
        <v>2003</v>
      </c>
      <c r="B196" s="11" t="s">
        <v>267</v>
      </c>
      <c r="C196" s="13">
        <v>171</v>
      </c>
      <c r="D196" s="13">
        <v>80</v>
      </c>
      <c r="E196" s="13">
        <v>91</v>
      </c>
    </row>
    <row r="197" spans="1:5" x14ac:dyDescent="0.25">
      <c r="A197" s="11">
        <v>2003</v>
      </c>
      <c r="B197" s="11" t="s">
        <v>268</v>
      </c>
      <c r="C197" s="13">
        <v>251</v>
      </c>
      <c r="D197" s="13">
        <v>118</v>
      </c>
      <c r="E197" s="13">
        <v>133</v>
      </c>
    </row>
    <row r="198" spans="1:5" x14ac:dyDescent="0.25">
      <c r="A198" s="11">
        <v>2003</v>
      </c>
      <c r="B198" s="11" t="s">
        <v>269</v>
      </c>
      <c r="C198" s="13">
        <v>3929</v>
      </c>
      <c r="D198" s="13">
        <v>1897</v>
      </c>
      <c r="E198" s="13">
        <v>2032</v>
      </c>
    </row>
    <row r="199" spans="1:5" x14ac:dyDescent="0.25">
      <c r="A199" s="11">
        <v>2003</v>
      </c>
      <c r="B199" s="11" t="s">
        <v>270</v>
      </c>
      <c r="C199" s="13">
        <v>255</v>
      </c>
      <c r="D199" s="13">
        <v>129</v>
      </c>
      <c r="E199" s="13">
        <v>126</v>
      </c>
    </row>
    <row r="200" spans="1:5" x14ac:dyDescent="0.25">
      <c r="A200" s="11">
        <v>2004</v>
      </c>
      <c r="B200" s="11" t="s">
        <v>11</v>
      </c>
      <c r="C200" s="13">
        <v>53957</v>
      </c>
      <c r="D200" s="13">
        <v>26188</v>
      </c>
      <c r="E200" s="13">
        <v>27769</v>
      </c>
    </row>
    <row r="201" spans="1:5" x14ac:dyDescent="0.25">
      <c r="A201" s="11">
        <v>2004</v>
      </c>
      <c r="B201" s="11" t="s">
        <v>260</v>
      </c>
      <c r="C201" s="13">
        <v>3707</v>
      </c>
      <c r="D201" s="13">
        <v>1793</v>
      </c>
      <c r="E201" s="13">
        <v>1914</v>
      </c>
    </row>
    <row r="202" spans="1:5" x14ac:dyDescent="0.25">
      <c r="A202" s="11">
        <v>2004</v>
      </c>
      <c r="B202" s="11" t="s">
        <v>261</v>
      </c>
      <c r="C202" s="13">
        <v>1052</v>
      </c>
      <c r="D202" s="13">
        <v>500</v>
      </c>
      <c r="E202" s="13">
        <v>552</v>
      </c>
    </row>
    <row r="203" spans="1:5" x14ac:dyDescent="0.25">
      <c r="A203" s="11">
        <v>2004</v>
      </c>
      <c r="B203" s="11" t="s">
        <v>233</v>
      </c>
      <c r="C203" s="13">
        <v>1431</v>
      </c>
      <c r="D203" s="13">
        <v>705</v>
      </c>
      <c r="E203" s="13">
        <v>726</v>
      </c>
    </row>
    <row r="204" spans="1:5" x14ac:dyDescent="0.25">
      <c r="A204" s="11">
        <v>2004</v>
      </c>
      <c r="B204" s="11" t="s">
        <v>240</v>
      </c>
      <c r="C204" s="13">
        <v>3735</v>
      </c>
      <c r="D204" s="13">
        <v>1830</v>
      </c>
      <c r="E204" s="13">
        <v>1905</v>
      </c>
    </row>
    <row r="205" spans="1:5" x14ac:dyDescent="0.25">
      <c r="A205" s="11">
        <v>2004</v>
      </c>
      <c r="B205" s="11" t="s">
        <v>262</v>
      </c>
      <c r="C205" s="13">
        <v>3170</v>
      </c>
      <c r="D205" s="13">
        <v>1543</v>
      </c>
      <c r="E205" s="13">
        <v>1627</v>
      </c>
    </row>
    <row r="206" spans="1:5" x14ac:dyDescent="0.25">
      <c r="A206" s="11">
        <v>2004</v>
      </c>
      <c r="B206" s="11" t="s">
        <v>263</v>
      </c>
      <c r="C206" s="13">
        <v>5317</v>
      </c>
      <c r="D206" s="13">
        <v>2563</v>
      </c>
      <c r="E206" s="13">
        <v>2754</v>
      </c>
    </row>
    <row r="207" spans="1:5" x14ac:dyDescent="0.25">
      <c r="A207" s="11">
        <v>2004</v>
      </c>
      <c r="B207" s="11" t="s">
        <v>264</v>
      </c>
      <c r="C207" s="13">
        <v>12224</v>
      </c>
      <c r="D207" s="13">
        <v>6016</v>
      </c>
      <c r="E207" s="13">
        <v>6208</v>
      </c>
    </row>
    <row r="208" spans="1:5" x14ac:dyDescent="0.25">
      <c r="A208" s="11">
        <v>2004</v>
      </c>
      <c r="B208" s="11" t="s">
        <v>242</v>
      </c>
      <c r="C208" s="13">
        <v>2982</v>
      </c>
      <c r="D208" s="13">
        <v>1425</v>
      </c>
      <c r="E208" s="13">
        <v>1557</v>
      </c>
    </row>
    <row r="209" spans="1:5" x14ac:dyDescent="0.25">
      <c r="A209" s="11">
        <v>2004</v>
      </c>
      <c r="B209" s="11" t="s">
        <v>265</v>
      </c>
      <c r="C209" s="13">
        <v>7363</v>
      </c>
      <c r="D209" s="13">
        <v>3619</v>
      </c>
      <c r="E209" s="13">
        <v>3744</v>
      </c>
    </row>
    <row r="210" spans="1:5" x14ac:dyDescent="0.25">
      <c r="A210" s="11">
        <v>2004</v>
      </c>
      <c r="B210" s="11" t="s">
        <v>266</v>
      </c>
      <c r="C210" s="13">
        <v>8457</v>
      </c>
      <c r="D210" s="13">
        <v>4027</v>
      </c>
      <c r="E210" s="13">
        <v>4430</v>
      </c>
    </row>
    <row r="211" spans="1:5" x14ac:dyDescent="0.25">
      <c r="A211" s="11">
        <v>2004</v>
      </c>
      <c r="B211" s="11" t="s">
        <v>267</v>
      </c>
      <c r="C211" s="13">
        <v>171</v>
      </c>
      <c r="D211" s="13">
        <v>78</v>
      </c>
      <c r="E211" s="13">
        <v>93</v>
      </c>
    </row>
    <row r="212" spans="1:5" x14ac:dyDescent="0.25">
      <c r="A212" s="11">
        <v>2004</v>
      </c>
      <c r="B212" s="11" t="s">
        <v>268</v>
      </c>
      <c r="C212" s="13">
        <v>230</v>
      </c>
      <c r="D212" s="13">
        <v>111</v>
      </c>
      <c r="E212" s="13">
        <v>119</v>
      </c>
    </row>
    <row r="213" spans="1:5" x14ac:dyDescent="0.25">
      <c r="A213" s="11">
        <v>2004</v>
      </c>
      <c r="B213" s="11" t="s">
        <v>269</v>
      </c>
      <c r="C213" s="13">
        <v>3895</v>
      </c>
      <c r="D213" s="13">
        <v>1865</v>
      </c>
      <c r="E213" s="13">
        <v>2030</v>
      </c>
    </row>
    <row r="214" spans="1:5" x14ac:dyDescent="0.25">
      <c r="A214" s="11">
        <v>2004</v>
      </c>
      <c r="B214" s="11" t="s">
        <v>270</v>
      </c>
      <c r="C214" s="13">
        <v>223</v>
      </c>
      <c r="D214" s="13">
        <v>113</v>
      </c>
      <c r="E214" s="13">
        <v>110</v>
      </c>
    </row>
    <row r="215" spans="1:5" x14ac:dyDescent="0.25">
      <c r="A215" s="11">
        <v>2005</v>
      </c>
      <c r="B215" s="11" t="s">
        <v>11</v>
      </c>
      <c r="C215" s="13">
        <v>54386</v>
      </c>
      <c r="D215" s="13">
        <v>26303</v>
      </c>
      <c r="E215" s="13">
        <v>28083</v>
      </c>
    </row>
    <row r="216" spans="1:5" x14ac:dyDescent="0.25">
      <c r="A216" s="11">
        <v>2005</v>
      </c>
      <c r="B216" s="11" t="s">
        <v>260</v>
      </c>
      <c r="C216" s="13">
        <v>3613</v>
      </c>
      <c r="D216" s="13">
        <v>1782</v>
      </c>
      <c r="E216" s="13">
        <v>1831</v>
      </c>
    </row>
    <row r="217" spans="1:5" x14ac:dyDescent="0.25">
      <c r="A217" s="11">
        <v>2005</v>
      </c>
      <c r="B217" s="11" t="s">
        <v>261</v>
      </c>
      <c r="C217" s="13">
        <v>1047</v>
      </c>
      <c r="D217" s="13">
        <v>505</v>
      </c>
      <c r="E217" s="13">
        <v>542</v>
      </c>
    </row>
    <row r="218" spans="1:5" x14ac:dyDescent="0.25">
      <c r="A218" s="11">
        <v>2005</v>
      </c>
      <c r="B218" s="11" t="s">
        <v>233</v>
      </c>
      <c r="C218" s="13">
        <v>1407</v>
      </c>
      <c r="D218" s="13">
        <v>674</v>
      </c>
      <c r="E218" s="13">
        <v>733</v>
      </c>
    </row>
    <row r="219" spans="1:5" x14ac:dyDescent="0.25">
      <c r="A219" s="11">
        <v>2005</v>
      </c>
      <c r="B219" s="11" t="s">
        <v>240</v>
      </c>
      <c r="C219" s="13">
        <v>3831</v>
      </c>
      <c r="D219" s="13">
        <v>1906</v>
      </c>
      <c r="E219" s="13">
        <v>1925</v>
      </c>
    </row>
    <row r="220" spans="1:5" x14ac:dyDescent="0.25">
      <c r="A220" s="11">
        <v>2005</v>
      </c>
      <c r="B220" s="11" t="s">
        <v>262</v>
      </c>
      <c r="C220" s="13">
        <v>3139</v>
      </c>
      <c r="D220" s="13">
        <v>1516</v>
      </c>
      <c r="E220" s="13">
        <v>1623</v>
      </c>
    </row>
    <row r="221" spans="1:5" x14ac:dyDescent="0.25">
      <c r="A221" s="11">
        <v>2005</v>
      </c>
      <c r="B221" s="11" t="s">
        <v>263</v>
      </c>
      <c r="C221" s="13">
        <v>5404</v>
      </c>
      <c r="D221" s="13">
        <v>2636</v>
      </c>
      <c r="E221" s="13">
        <v>2768</v>
      </c>
    </row>
    <row r="222" spans="1:5" x14ac:dyDescent="0.25">
      <c r="A222" s="11">
        <v>2005</v>
      </c>
      <c r="B222" s="11" t="s">
        <v>264</v>
      </c>
      <c r="C222" s="13">
        <v>12432</v>
      </c>
      <c r="D222" s="13">
        <v>6005</v>
      </c>
      <c r="E222" s="13">
        <v>6427</v>
      </c>
    </row>
    <row r="223" spans="1:5" x14ac:dyDescent="0.25">
      <c r="A223" s="11">
        <v>2005</v>
      </c>
      <c r="B223" s="11" t="s">
        <v>242</v>
      </c>
      <c r="C223" s="13">
        <v>3006</v>
      </c>
      <c r="D223" s="13">
        <v>1434</v>
      </c>
      <c r="E223" s="13">
        <v>1572</v>
      </c>
    </row>
    <row r="224" spans="1:5" x14ac:dyDescent="0.25">
      <c r="A224" s="11">
        <v>2005</v>
      </c>
      <c r="B224" s="11" t="s">
        <v>265</v>
      </c>
      <c r="C224" s="13">
        <v>7156</v>
      </c>
      <c r="D224" s="13">
        <v>3436</v>
      </c>
      <c r="E224" s="13">
        <v>3720</v>
      </c>
    </row>
    <row r="225" spans="1:5" x14ac:dyDescent="0.25">
      <c r="A225" s="11">
        <v>2005</v>
      </c>
      <c r="B225" s="11" t="s">
        <v>266</v>
      </c>
      <c r="C225" s="13">
        <v>8724</v>
      </c>
      <c r="D225" s="13">
        <v>4150</v>
      </c>
      <c r="E225" s="13">
        <v>4574</v>
      </c>
    </row>
    <row r="226" spans="1:5" x14ac:dyDescent="0.25">
      <c r="A226" s="11">
        <v>2005</v>
      </c>
      <c r="B226" s="11" t="s">
        <v>267</v>
      </c>
      <c r="C226" s="13">
        <v>180</v>
      </c>
      <c r="D226" s="13">
        <v>91</v>
      </c>
      <c r="E226" s="13">
        <v>89</v>
      </c>
    </row>
    <row r="227" spans="1:5" x14ac:dyDescent="0.25">
      <c r="A227" s="11">
        <v>2005</v>
      </c>
      <c r="B227" s="11" t="s">
        <v>268</v>
      </c>
      <c r="C227" s="13">
        <v>227</v>
      </c>
      <c r="D227" s="13">
        <v>105</v>
      </c>
      <c r="E227" s="13">
        <v>122</v>
      </c>
    </row>
    <row r="228" spans="1:5" x14ac:dyDescent="0.25">
      <c r="A228" s="11">
        <v>2005</v>
      </c>
      <c r="B228" s="11" t="s">
        <v>269</v>
      </c>
      <c r="C228" s="13">
        <v>3987</v>
      </c>
      <c r="D228" s="13">
        <v>1940</v>
      </c>
      <c r="E228" s="13">
        <v>2047</v>
      </c>
    </row>
    <row r="229" spans="1:5" x14ac:dyDescent="0.25">
      <c r="A229" s="11">
        <v>2005</v>
      </c>
      <c r="B229" s="11" t="s">
        <v>270</v>
      </c>
      <c r="C229" s="13">
        <v>233</v>
      </c>
      <c r="D229" s="13">
        <v>123</v>
      </c>
      <c r="E229" s="13">
        <v>110</v>
      </c>
    </row>
    <row r="230" spans="1:5" x14ac:dyDescent="0.25">
      <c r="A230" s="11">
        <v>2006</v>
      </c>
      <c r="B230" s="11" t="s">
        <v>11</v>
      </c>
      <c r="C230" s="13">
        <v>55690</v>
      </c>
      <c r="D230" s="13">
        <v>27217</v>
      </c>
      <c r="E230" s="13">
        <v>28473</v>
      </c>
    </row>
    <row r="231" spans="1:5" x14ac:dyDescent="0.25">
      <c r="A231" s="11">
        <v>2006</v>
      </c>
      <c r="B231" s="11" t="s">
        <v>260</v>
      </c>
      <c r="C231" s="13">
        <v>3829</v>
      </c>
      <c r="D231" s="13">
        <v>1898</v>
      </c>
      <c r="E231" s="13">
        <v>1931</v>
      </c>
    </row>
    <row r="232" spans="1:5" x14ac:dyDescent="0.25">
      <c r="A232" s="11">
        <v>2006</v>
      </c>
      <c r="B232" s="11" t="s">
        <v>261</v>
      </c>
      <c r="C232" s="13">
        <v>1111</v>
      </c>
      <c r="D232" s="13">
        <v>535</v>
      </c>
      <c r="E232" s="13">
        <v>576</v>
      </c>
    </row>
    <row r="233" spans="1:5" x14ac:dyDescent="0.25">
      <c r="A233" s="11">
        <v>2006</v>
      </c>
      <c r="B233" s="11" t="s">
        <v>233</v>
      </c>
      <c r="C233" s="13">
        <v>1471</v>
      </c>
      <c r="D233" s="13">
        <v>712</v>
      </c>
      <c r="E233" s="13">
        <v>759</v>
      </c>
    </row>
    <row r="234" spans="1:5" x14ac:dyDescent="0.25">
      <c r="A234" s="11">
        <v>2006</v>
      </c>
      <c r="B234" s="11" t="s">
        <v>240</v>
      </c>
      <c r="C234" s="13">
        <v>3999</v>
      </c>
      <c r="D234" s="13">
        <v>1993</v>
      </c>
      <c r="E234" s="13">
        <v>2006</v>
      </c>
    </row>
    <row r="235" spans="1:5" x14ac:dyDescent="0.25">
      <c r="A235" s="11">
        <v>2006</v>
      </c>
      <c r="B235" s="11" t="s">
        <v>262</v>
      </c>
      <c r="C235" s="13">
        <v>3211</v>
      </c>
      <c r="D235" s="13">
        <v>1535</v>
      </c>
      <c r="E235" s="13">
        <v>1676</v>
      </c>
    </row>
    <row r="236" spans="1:5" x14ac:dyDescent="0.25">
      <c r="A236" s="11">
        <v>2006</v>
      </c>
      <c r="B236" s="11" t="s">
        <v>263</v>
      </c>
      <c r="C236" s="13">
        <v>5688</v>
      </c>
      <c r="D236" s="13">
        <v>2754</v>
      </c>
      <c r="E236" s="13">
        <v>2934</v>
      </c>
    </row>
    <row r="237" spans="1:5" x14ac:dyDescent="0.25">
      <c r="A237" s="11">
        <v>2006</v>
      </c>
      <c r="B237" s="11" t="s">
        <v>264</v>
      </c>
      <c r="C237" s="13">
        <v>12125</v>
      </c>
      <c r="D237" s="13">
        <v>5934</v>
      </c>
      <c r="E237" s="13">
        <v>6191</v>
      </c>
    </row>
    <row r="238" spans="1:5" x14ac:dyDescent="0.25">
      <c r="A238" s="11">
        <v>2006</v>
      </c>
      <c r="B238" s="11" t="s">
        <v>242</v>
      </c>
      <c r="C238" s="13">
        <v>2940</v>
      </c>
      <c r="D238" s="13">
        <v>1444</v>
      </c>
      <c r="E238" s="13">
        <v>1496</v>
      </c>
    </row>
    <row r="239" spans="1:5" x14ac:dyDescent="0.25">
      <c r="A239" s="11">
        <v>2006</v>
      </c>
      <c r="B239" s="11" t="s">
        <v>265</v>
      </c>
      <c r="C239" s="13">
        <v>7525</v>
      </c>
      <c r="D239" s="13">
        <v>3649</v>
      </c>
      <c r="E239" s="13">
        <v>3876</v>
      </c>
    </row>
    <row r="240" spans="1:5" x14ac:dyDescent="0.25">
      <c r="A240" s="11">
        <v>2006</v>
      </c>
      <c r="B240" s="11" t="s">
        <v>266</v>
      </c>
      <c r="C240" s="13">
        <v>9028</v>
      </c>
      <c r="D240" s="13">
        <v>4404</v>
      </c>
      <c r="E240" s="13">
        <v>4624</v>
      </c>
    </row>
    <row r="241" spans="1:5" x14ac:dyDescent="0.25">
      <c r="A241" s="11">
        <v>2006</v>
      </c>
      <c r="B241" s="11" t="s">
        <v>267</v>
      </c>
      <c r="C241" s="13">
        <v>213</v>
      </c>
      <c r="D241" s="13">
        <v>108</v>
      </c>
      <c r="E241" s="13">
        <v>105</v>
      </c>
    </row>
    <row r="242" spans="1:5" x14ac:dyDescent="0.25">
      <c r="A242" s="11">
        <v>2006</v>
      </c>
      <c r="B242" s="11" t="s">
        <v>268</v>
      </c>
      <c r="C242" s="13">
        <v>268</v>
      </c>
      <c r="D242" s="13">
        <v>142</v>
      </c>
      <c r="E242" s="13">
        <v>126</v>
      </c>
    </row>
    <row r="243" spans="1:5" x14ac:dyDescent="0.25">
      <c r="A243" s="11">
        <v>2006</v>
      </c>
      <c r="B243" s="11" t="s">
        <v>269</v>
      </c>
      <c r="C243" s="13">
        <v>4008</v>
      </c>
      <c r="D243" s="13">
        <v>1971</v>
      </c>
      <c r="E243" s="13">
        <v>2037</v>
      </c>
    </row>
    <row r="244" spans="1:5" x14ac:dyDescent="0.25">
      <c r="A244" s="11">
        <v>2006</v>
      </c>
      <c r="B244" s="11" t="s">
        <v>270</v>
      </c>
      <c r="C244" s="13">
        <v>274</v>
      </c>
      <c r="D244" s="13">
        <v>138</v>
      </c>
      <c r="E244" s="13">
        <v>136</v>
      </c>
    </row>
    <row r="245" spans="1:5" x14ac:dyDescent="0.25">
      <c r="A245" s="11">
        <v>2007</v>
      </c>
      <c r="B245" s="11" t="s">
        <v>11</v>
      </c>
      <c r="C245" s="13">
        <v>57781</v>
      </c>
      <c r="D245" s="13">
        <v>28087</v>
      </c>
      <c r="E245" s="13">
        <v>29694</v>
      </c>
    </row>
    <row r="246" spans="1:5" x14ac:dyDescent="0.25">
      <c r="A246" s="11">
        <v>2007</v>
      </c>
      <c r="B246" s="11" t="s">
        <v>260</v>
      </c>
      <c r="C246" s="13">
        <v>3861</v>
      </c>
      <c r="D246" s="13">
        <v>1857</v>
      </c>
      <c r="E246" s="13">
        <v>2004</v>
      </c>
    </row>
    <row r="247" spans="1:5" x14ac:dyDescent="0.25">
      <c r="A247" s="11">
        <v>2007</v>
      </c>
      <c r="B247" s="11" t="s">
        <v>261</v>
      </c>
      <c r="C247" s="13">
        <v>1170</v>
      </c>
      <c r="D247" s="13">
        <v>593</v>
      </c>
      <c r="E247" s="13">
        <v>577</v>
      </c>
    </row>
    <row r="248" spans="1:5" x14ac:dyDescent="0.25">
      <c r="A248" s="11">
        <v>2007</v>
      </c>
      <c r="B248" s="11" t="s">
        <v>233</v>
      </c>
      <c r="C248" s="13">
        <v>1507</v>
      </c>
      <c r="D248" s="13">
        <v>741</v>
      </c>
      <c r="E248" s="13">
        <v>766</v>
      </c>
    </row>
    <row r="249" spans="1:5" x14ac:dyDescent="0.25">
      <c r="A249" s="11">
        <v>2007</v>
      </c>
      <c r="B249" s="11" t="s">
        <v>240</v>
      </c>
      <c r="C249" s="13">
        <v>4076</v>
      </c>
      <c r="D249" s="13">
        <v>1976</v>
      </c>
      <c r="E249" s="13">
        <v>2100</v>
      </c>
    </row>
    <row r="250" spans="1:5" x14ac:dyDescent="0.25">
      <c r="A250" s="11">
        <v>2007</v>
      </c>
      <c r="B250" s="11" t="s">
        <v>262</v>
      </c>
      <c r="C250" s="13">
        <v>3404</v>
      </c>
      <c r="D250" s="13">
        <v>1691</v>
      </c>
      <c r="E250" s="13">
        <v>1713</v>
      </c>
    </row>
    <row r="251" spans="1:5" x14ac:dyDescent="0.25">
      <c r="A251" s="11">
        <v>2007</v>
      </c>
      <c r="B251" s="11" t="s">
        <v>263</v>
      </c>
      <c r="C251" s="13">
        <v>6108</v>
      </c>
      <c r="D251" s="13">
        <v>2924</v>
      </c>
      <c r="E251" s="13">
        <v>3184</v>
      </c>
    </row>
    <row r="252" spans="1:5" x14ac:dyDescent="0.25">
      <c r="A252" s="11">
        <v>2007</v>
      </c>
      <c r="B252" s="11" t="s">
        <v>264</v>
      </c>
      <c r="C252" s="13">
        <v>12799</v>
      </c>
      <c r="D252" s="13">
        <v>6272</v>
      </c>
      <c r="E252" s="13">
        <v>6527</v>
      </c>
    </row>
    <row r="253" spans="1:5" x14ac:dyDescent="0.25">
      <c r="A253" s="11">
        <v>2007</v>
      </c>
      <c r="B253" s="11" t="s">
        <v>242</v>
      </c>
      <c r="C253" s="13">
        <v>3073</v>
      </c>
      <c r="D253" s="13">
        <v>1463</v>
      </c>
      <c r="E253" s="13">
        <v>1610</v>
      </c>
    </row>
    <row r="254" spans="1:5" x14ac:dyDescent="0.25">
      <c r="A254" s="11">
        <v>2007</v>
      </c>
      <c r="B254" s="11" t="s">
        <v>265</v>
      </c>
      <c r="C254" s="13">
        <v>7497</v>
      </c>
      <c r="D254" s="13">
        <v>3594</v>
      </c>
      <c r="E254" s="13">
        <v>3903</v>
      </c>
    </row>
    <row r="255" spans="1:5" x14ac:dyDescent="0.25">
      <c r="A255" s="11">
        <v>2007</v>
      </c>
      <c r="B255" s="11" t="s">
        <v>266</v>
      </c>
      <c r="C255" s="13">
        <v>9378</v>
      </c>
      <c r="D255" s="13">
        <v>4573</v>
      </c>
      <c r="E255" s="13">
        <v>4805</v>
      </c>
    </row>
    <row r="256" spans="1:5" x14ac:dyDescent="0.25">
      <c r="A256" s="11">
        <v>2007</v>
      </c>
      <c r="B256" s="11" t="s">
        <v>267</v>
      </c>
      <c r="C256" s="13">
        <v>190</v>
      </c>
      <c r="D256" s="13">
        <v>96</v>
      </c>
      <c r="E256" s="13">
        <v>94</v>
      </c>
    </row>
    <row r="257" spans="1:5" x14ac:dyDescent="0.25">
      <c r="A257" s="11">
        <v>2007</v>
      </c>
      <c r="B257" s="11" t="s">
        <v>268</v>
      </c>
      <c r="C257" s="13">
        <v>244</v>
      </c>
      <c r="D257" s="13">
        <v>115</v>
      </c>
      <c r="E257" s="13">
        <v>129</v>
      </c>
    </row>
    <row r="258" spans="1:5" x14ac:dyDescent="0.25">
      <c r="A258" s="11">
        <v>2007</v>
      </c>
      <c r="B258" s="11" t="s">
        <v>269</v>
      </c>
      <c r="C258" s="13">
        <v>4211</v>
      </c>
      <c r="D258" s="13">
        <v>2075</v>
      </c>
      <c r="E258" s="13">
        <v>2136</v>
      </c>
    </row>
    <row r="259" spans="1:5" x14ac:dyDescent="0.25">
      <c r="A259" s="11">
        <v>2007</v>
      </c>
      <c r="B259" s="11" t="s">
        <v>270</v>
      </c>
      <c r="C259" s="13">
        <v>263</v>
      </c>
      <c r="D259" s="13">
        <v>117</v>
      </c>
      <c r="E259" s="13">
        <v>146</v>
      </c>
    </row>
    <row r="260" spans="1:5" x14ac:dyDescent="0.25">
      <c r="A260" s="11">
        <v>2008</v>
      </c>
      <c r="B260" s="11" t="s">
        <v>11</v>
      </c>
      <c r="C260" s="13">
        <v>60041</v>
      </c>
      <c r="D260" s="13">
        <v>29471</v>
      </c>
      <c r="E260" s="13">
        <v>30570</v>
      </c>
    </row>
    <row r="261" spans="1:5" x14ac:dyDescent="0.25">
      <c r="A261" s="11">
        <v>2008</v>
      </c>
      <c r="B261" s="11" t="s">
        <v>260</v>
      </c>
      <c r="C261" s="13">
        <v>3919</v>
      </c>
      <c r="D261" s="13">
        <v>1855</v>
      </c>
      <c r="E261" s="13">
        <v>2064</v>
      </c>
    </row>
    <row r="262" spans="1:5" x14ac:dyDescent="0.25">
      <c r="A262" s="11">
        <v>2008</v>
      </c>
      <c r="B262" s="11" t="s">
        <v>261</v>
      </c>
      <c r="C262" s="13">
        <v>1138</v>
      </c>
      <c r="D262" s="13">
        <v>580</v>
      </c>
      <c r="E262" s="13">
        <v>558</v>
      </c>
    </row>
    <row r="263" spans="1:5" x14ac:dyDescent="0.25">
      <c r="A263" s="11">
        <v>2008</v>
      </c>
      <c r="B263" s="11" t="s">
        <v>233</v>
      </c>
      <c r="C263" s="13">
        <v>1430</v>
      </c>
      <c r="D263" s="13">
        <v>713</v>
      </c>
      <c r="E263" s="13">
        <v>717</v>
      </c>
    </row>
    <row r="264" spans="1:5" x14ac:dyDescent="0.25">
      <c r="A264" s="11">
        <v>2008</v>
      </c>
      <c r="B264" s="11" t="s">
        <v>240</v>
      </c>
      <c r="C264" s="13">
        <v>4349</v>
      </c>
      <c r="D264" s="13">
        <v>2129</v>
      </c>
      <c r="E264" s="13">
        <v>2220</v>
      </c>
    </row>
    <row r="265" spans="1:5" x14ac:dyDescent="0.25">
      <c r="A265" s="11">
        <v>2008</v>
      </c>
      <c r="B265" s="11" t="s">
        <v>262</v>
      </c>
      <c r="C265" s="13">
        <v>3455</v>
      </c>
      <c r="D265" s="13">
        <v>1746</v>
      </c>
      <c r="E265" s="13">
        <v>1709</v>
      </c>
    </row>
    <row r="266" spans="1:5" x14ac:dyDescent="0.25">
      <c r="A266" s="11">
        <v>2008</v>
      </c>
      <c r="B266" s="11" t="s">
        <v>263</v>
      </c>
      <c r="C266" s="13">
        <v>6323</v>
      </c>
      <c r="D266" s="13">
        <v>3130</v>
      </c>
      <c r="E266" s="13">
        <v>3193</v>
      </c>
    </row>
    <row r="267" spans="1:5" x14ac:dyDescent="0.25">
      <c r="A267" s="11">
        <v>2008</v>
      </c>
      <c r="B267" s="11" t="s">
        <v>264</v>
      </c>
      <c r="C267" s="13">
        <v>13185</v>
      </c>
      <c r="D267" s="13">
        <v>6469</v>
      </c>
      <c r="E267" s="13">
        <v>6716</v>
      </c>
    </row>
    <row r="268" spans="1:5" x14ac:dyDescent="0.25">
      <c r="A268" s="11">
        <v>2008</v>
      </c>
      <c r="B268" s="11" t="s">
        <v>242</v>
      </c>
      <c r="C268" s="13">
        <v>3289</v>
      </c>
      <c r="D268" s="13">
        <v>1576</v>
      </c>
      <c r="E268" s="13">
        <v>1713</v>
      </c>
    </row>
    <row r="269" spans="1:5" x14ac:dyDescent="0.25">
      <c r="A269" s="11">
        <v>2008</v>
      </c>
      <c r="B269" s="11" t="s">
        <v>265</v>
      </c>
      <c r="C269" s="13">
        <v>7871</v>
      </c>
      <c r="D269" s="13">
        <v>3907</v>
      </c>
      <c r="E269" s="13">
        <v>3964</v>
      </c>
    </row>
    <row r="270" spans="1:5" x14ac:dyDescent="0.25">
      <c r="A270" s="11">
        <v>2008</v>
      </c>
      <c r="B270" s="11" t="s">
        <v>266</v>
      </c>
      <c r="C270" s="13">
        <v>9895</v>
      </c>
      <c r="D270" s="13">
        <v>4856</v>
      </c>
      <c r="E270" s="13">
        <v>5039</v>
      </c>
    </row>
    <row r="271" spans="1:5" x14ac:dyDescent="0.25">
      <c r="A271" s="11">
        <v>2008</v>
      </c>
      <c r="B271" s="11" t="s">
        <v>267</v>
      </c>
      <c r="C271" s="13">
        <v>214</v>
      </c>
      <c r="D271" s="13">
        <v>95</v>
      </c>
      <c r="E271" s="13">
        <v>119</v>
      </c>
    </row>
    <row r="272" spans="1:5" x14ac:dyDescent="0.25">
      <c r="A272" s="11">
        <v>2008</v>
      </c>
      <c r="B272" s="11" t="s">
        <v>268</v>
      </c>
      <c r="C272" s="13">
        <v>278</v>
      </c>
      <c r="D272" s="13">
        <v>133</v>
      </c>
      <c r="E272" s="13">
        <v>145</v>
      </c>
    </row>
    <row r="273" spans="1:5" x14ac:dyDescent="0.25">
      <c r="A273" s="11">
        <v>2008</v>
      </c>
      <c r="B273" s="11" t="s">
        <v>269</v>
      </c>
      <c r="C273" s="13">
        <v>4438</v>
      </c>
      <c r="D273" s="13">
        <v>2166</v>
      </c>
      <c r="E273" s="13">
        <v>2272</v>
      </c>
    </row>
    <row r="274" spans="1:5" x14ac:dyDescent="0.25">
      <c r="A274" s="11">
        <v>2008</v>
      </c>
      <c r="B274" s="11" t="s">
        <v>270</v>
      </c>
      <c r="C274" s="13">
        <v>257</v>
      </c>
      <c r="D274" s="13">
        <v>116</v>
      </c>
      <c r="E274" s="13">
        <v>141</v>
      </c>
    </row>
    <row r="275" spans="1:5" x14ac:dyDescent="0.25">
      <c r="A275" s="11">
        <v>2009</v>
      </c>
      <c r="B275" s="11" t="s">
        <v>11</v>
      </c>
      <c r="C275" s="13">
        <v>59046</v>
      </c>
      <c r="D275" s="13">
        <v>28881</v>
      </c>
      <c r="E275" s="13">
        <v>30165</v>
      </c>
    </row>
    <row r="276" spans="1:5" x14ac:dyDescent="0.25">
      <c r="A276" s="11">
        <v>2009</v>
      </c>
      <c r="B276" s="11" t="s">
        <v>260</v>
      </c>
      <c r="C276" s="13">
        <v>3914</v>
      </c>
      <c r="D276" s="13">
        <v>1947</v>
      </c>
      <c r="E276" s="13">
        <v>1967</v>
      </c>
    </row>
    <row r="277" spans="1:5" x14ac:dyDescent="0.25">
      <c r="A277" s="11">
        <v>2009</v>
      </c>
      <c r="B277" s="11" t="s">
        <v>261</v>
      </c>
      <c r="C277" s="13">
        <v>1159</v>
      </c>
      <c r="D277" s="13">
        <v>590</v>
      </c>
      <c r="E277" s="13">
        <v>569</v>
      </c>
    </row>
    <row r="278" spans="1:5" x14ac:dyDescent="0.25">
      <c r="A278" s="11">
        <v>2009</v>
      </c>
      <c r="B278" s="11" t="s">
        <v>233</v>
      </c>
      <c r="C278" s="13">
        <v>1507</v>
      </c>
      <c r="D278" s="13">
        <v>755</v>
      </c>
      <c r="E278" s="13">
        <v>752</v>
      </c>
    </row>
    <row r="279" spans="1:5" x14ac:dyDescent="0.25">
      <c r="A279" s="11">
        <v>2009</v>
      </c>
      <c r="B279" s="11" t="s">
        <v>240</v>
      </c>
      <c r="C279" s="13">
        <v>4135</v>
      </c>
      <c r="D279" s="13">
        <v>1986</v>
      </c>
      <c r="E279" s="13">
        <v>2149</v>
      </c>
    </row>
    <row r="280" spans="1:5" x14ac:dyDescent="0.25">
      <c r="A280" s="11">
        <v>2009</v>
      </c>
      <c r="B280" s="11" t="s">
        <v>262</v>
      </c>
      <c r="C280" s="13">
        <v>3347</v>
      </c>
      <c r="D280" s="13">
        <v>1675</v>
      </c>
      <c r="E280" s="13">
        <v>1672</v>
      </c>
    </row>
    <row r="281" spans="1:5" x14ac:dyDescent="0.25">
      <c r="A281" s="11">
        <v>2009</v>
      </c>
      <c r="B281" s="11" t="s">
        <v>263</v>
      </c>
      <c r="C281" s="13">
        <v>6433</v>
      </c>
      <c r="D281" s="13">
        <v>3080</v>
      </c>
      <c r="E281" s="13">
        <v>3353</v>
      </c>
    </row>
    <row r="282" spans="1:5" x14ac:dyDescent="0.25">
      <c r="A282" s="11">
        <v>2009</v>
      </c>
      <c r="B282" s="11" t="s">
        <v>264</v>
      </c>
      <c r="C282" s="13">
        <v>13053</v>
      </c>
      <c r="D282" s="13">
        <v>6337</v>
      </c>
      <c r="E282" s="13">
        <v>6716</v>
      </c>
    </row>
    <row r="283" spans="1:5" x14ac:dyDescent="0.25">
      <c r="A283" s="11">
        <v>2009</v>
      </c>
      <c r="B283" s="11" t="s">
        <v>242</v>
      </c>
      <c r="C283" s="13">
        <v>3189</v>
      </c>
      <c r="D283" s="13">
        <v>1553</v>
      </c>
      <c r="E283" s="13">
        <v>1636</v>
      </c>
    </row>
    <row r="284" spans="1:5" x14ac:dyDescent="0.25">
      <c r="A284" s="11">
        <v>2009</v>
      </c>
      <c r="B284" s="11" t="s">
        <v>265</v>
      </c>
      <c r="C284" s="13">
        <v>7534</v>
      </c>
      <c r="D284" s="13">
        <v>3735</v>
      </c>
      <c r="E284" s="13">
        <v>3799</v>
      </c>
    </row>
    <row r="285" spans="1:5" x14ac:dyDescent="0.25">
      <c r="A285" s="11">
        <v>2009</v>
      </c>
      <c r="B285" s="11" t="s">
        <v>266</v>
      </c>
      <c r="C285" s="13">
        <v>9718</v>
      </c>
      <c r="D285" s="13">
        <v>4746</v>
      </c>
      <c r="E285" s="13">
        <v>4972</v>
      </c>
    </row>
    <row r="286" spans="1:5" x14ac:dyDescent="0.25">
      <c r="A286" s="11">
        <v>2009</v>
      </c>
      <c r="B286" s="11" t="s">
        <v>267</v>
      </c>
      <c r="C286" s="13">
        <v>199</v>
      </c>
      <c r="D286" s="13">
        <v>95</v>
      </c>
      <c r="E286" s="13">
        <v>104</v>
      </c>
    </row>
    <row r="287" spans="1:5" x14ac:dyDescent="0.25">
      <c r="A287" s="11">
        <v>2009</v>
      </c>
      <c r="B287" s="11" t="s">
        <v>268</v>
      </c>
      <c r="C287" s="13">
        <v>273</v>
      </c>
      <c r="D287" s="13">
        <v>131</v>
      </c>
      <c r="E287" s="13">
        <v>142</v>
      </c>
    </row>
    <row r="288" spans="1:5" x14ac:dyDescent="0.25">
      <c r="A288" s="11">
        <v>2009</v>
      </c>
      <c r="B288" s="11" t="s">
        <v>269</v>
      </c>
      <c r="C288" s="13">
        <v>4358</v>
      </c>
      <c r="D288" s="13">
        <v>2143</v>
      </c>
      <c r="E288" s="13">
        <v>2215</v>
      </c>
    </row>
    <row r="289" spans="1:5" x14ac:dyDescent="0.25">
      <c r="A289" s="11">
        <v>2009</v>
      </c>
      <c r="B289" s="11" t="s">
        <v>270</v>
      </c>
      <c r="C289" s="13">
        <v>227</v>
      </c>
      <c r="D289" s="13">
        <v>108</v>
      </c>
      <c r="E289" s="13">
        <v>119</v>
      </c>
    </row>
    <row r="290" spans="1:5" x14ac:dyDescent="0.25">
      <c r="A290" s="11">
        <v>2010</v>
      </c>
      <c r="B290" s="11" t="s">
        <v>11</v>
      </c>
      <c r="C290" s="13">
        <v>58791</v>
      </c>
      <c r="D290" s="13">
        <v>28919</v>
      </c>
      <c r="E290" s="13">
        <v>29872</v>
      </c>
    </row>
    <row r="291" spans="1:5" x14ac:dyDescent="0.25">
      <c r="A291" s="11">
        <v>2010</v>
      </c>
      <c r="B291" s="11" t="s">
        <v>260</v>
      </c>
      <c r="C291" s="13">
        <v>3819</v>
      </c>
      <c r="D291" s="13">
        <v>1890</v>
      </c>
      <c r="E291" s="13">
        <v>1929</v>
      </c>
    </row>
    <row r="292" spans="1:5" x14ac:dyDescent="0.25">
      <c r="A292" s="11">
        <v>2010</v>
      </c>
      <c r="B292" s="11" t="s">
        <v>261</v>
      </c>
      <c r="C292" s="13">
        <v>1161</v>
      </c>
      <c r="D292" s="13">
        <v>565</v>
      </c>
      <c r="E292" s="13">
        <v>596</v>
      </c>
    </row>
    <row r="293" spans="1:5" x14ac:dyDescent="0.25">
      <c r="A293" s="11">
        <v>2010</v>
      </c>
      <c r="B293" s="11" t="s">
        <v>233</v>
      </c>
      <c r="C293" s="13">
        <v>1445</v>
      </c>
      <c r="D293" s="13">
        <v>697</v>
      </c>
      <c r="E293" s="13">
        <v>748</v>
      </c>
    </row>
    <row r="294" spans="1:5" x14ac:dyDescent="0.25">
      <c r="A294" s="11">
        <v>2010</v>
      </c>
      <c r="B294" s="11" t="s">
        <v>240</v>
      </c>
      <c r="C294" s="13">
        <v>4172</v>
      </c>
      <c r="D294" s="13">
        <v>1981</v>
      </c>
      <c r="E294" s="13">
        <v>2191</v>
      </c>
    </row>
    <row r="295" spans="1:5" x14ac:dyDescent="0.25">
      <c r="A295" s="11">
        <v>2010</v>
      </c>
      <c r="B295" s="11" t="s">
        <v>262</v>
      </c>
      <c r="C295" s="13">
        <v>3330</v>
      </c>
      <c r="D295" s="13">
        <v>1658</v>
      </c>
      <c r="E295" s="13">
        <v>1672</v>
      </c>
    </row>
    <row r="296" spans="1:5" x14ac:dyDescent="0.25">
      <c r="A296" s="11">
        <v>2010</v>
      </c>
      <c r="B296" s="11" t="s">
        <v>263</v>
      </c>
      <c r="C296" s="13">
        <v>6254</v>
      </c>
      <c r="D296" s="13">
        <v>3096</v>
      </c>
      <c r="E296" s="13">
        <v>3158</v>
      </c>
    </row>
    <row r="297" spans="1:5" x14ac:dyDescent="0.25">
      <c r="A297" s="11">
        <v>2010</v>
      </c>
      <c r="B297" s="11" t="s">
        <v>264</v>
      </c>
      <c r="C297" s="13">
        <v>13191</v>
      </c>
      <c r="D297" s="13">
        <v>6475</v>
      </c>
      <c r="E297" s="13">
        <v>6716</v>
      </c>
    </row>
    <row r="298" spans="1:5" x14ac:dyDescent="0.25">
      <c r="A298" s="11">
        <v>2010</v>
      </c>
      <c r="B298" s="11" t="s">
        <v>242</v>
      </c>
      <c r="C298" s="13">
        <v>3230</v>
      </c>
      <c r="D298" s="13">
        <v>1588</v>
      </c>
      <c r="E298" s="13">
        <v>1642</v>
      </c>
    </row>
    <row r="299" spans="1:5" x14ac:dyDescent="0.25">
      <c r="A299" s="11">
        <v>2010</v>
      </c>
      <c r="B299" s="11" t="s">
        <v>265</v>
      </c>
      <c r="C299" s="13">
        <v>7347</v>
      </c>
      <c r="D299" s="13">
        <v>3630</v>
      </c>
      <c r="E299" s="13">
        <v>3717</v>
      </c>
    </row>
    <row r="300" spans="1:5" x14ac:dyDescent="0.25">
      <c r="A300" s="11">
        <v>2010</v>
      </c>
      <c r="B300" s="11" t="s">
        <v>266</v>
      </c>
      <c r="C300" s="13">
        <v>9837</v>
      </c>
      <c r="D300" s="13">
        <v>4908</v>
      </c>
      <c r="E300" s="13">
        <v>4929</v>
      </c>
    </row>
    <row r="301" spans="1:5" x14ac:dyDescent="0.25">
      <c r="A301" s="11">
        <v>2010</v>
      </c>
      <c r="B301" s="11" t="s">
        <v>267</v>
      </c>
      <c r="C301" s="13">
        <v>197</v>
      </c>
      <c r="D301" s="13">
        <v>86</v>
      </c>
      <c r="E301" s="13">
        <v>111</v>
      </c>
    </row>
    <row r="302" spans="1:5" x14ac:dyDescent="0.25">
      <c r="A302" s="11">
        <v>2010</v>
      </c>
      <c r="B302" s="11" t="s">
        <v>268</v>
      </c>
      <c r="C302" s="13">
        <v>266</v>
      </c>
      <c r="D302" s="13">
        <v>122</v>
      </c>
      <c r="E302" s="13">
        <v>144</v>
      </c>
    </row>
    <row r="303" spans="1:5" x14ac:dyDescent="0.25">
      <c r="A303" s="11">
        <v>2010</v>
      </c>
      <c r="B303" s="11" t="s">
        <v>269</v>
      </c>
      <c r="C303" s="13">
        <v>4307</v>
      </c>
      <c r="D303" s="13">
        <v>2119</v>
      </c>
      <c r="E303" s="13">
        <v>2188</v>
      </c>
    </row>
    <row r="304" spans="1:5" x14ac:dyDescent="0.25">
      <c r="A304" s="11">
        <v>2010</v>
      </c>
      <c r="B304" s="11" t="s">
        <v>270</v>
      </c>
      <c r="C304" s="13">
        <v>235</v>
      </c>
      <c r="D304" s="13">
        <v>104</v>
      </c>
      <c r="E304" s="13">
        <v>131</v>
      </c>
    </row>
    <row r="305" spans="1:5" x14ac:dyDescent="0.25">
      <c r="A305" s="11">
        <v>2011</v>
      </c>
      <c r="B305" s="11" t="s">
        <v>11</v>
      </c>
      <c r="C305" s="13">
        <v>58590</v>
      </c>
      <c r="D305" s="13">
        <v>28479</v>
      </c>
      <c r="E305" s="13">
        <v>30111</v>
      </c>
    </row>
    <row r="306" spans="1:5" x14ac:dyDescent="0.25">
      <c r="A306" s="11">
        <v>2011</v>
      </c>
      <c r="B306" s="11" t="s">
        <v>260</v>
      </c>
      <c r="C306" s="13">
        <v>3887</v>
      </c>
      <c r="D306" s="13">
        <v>1907</v>
      </c>
      <c r="E306" s="13">
        <v>1980</v>
      </c>
    </row>
    <row r="307" spans="1:5" x14ac:dyDescent="0.25">
      <c r="A307" s="11">
        <v>2011</v>
      </c>
      <c r="B307" s="11" t="s">
        <v>261</v>
      </c>
      <c r="C307" s="13">
        <v>1108</v>
      </c>
      <c r="D307" s="13">
        <v>514</v>
      </c>
      <c r="E307" s="13">
        <v>594</v>
      </c>
    </row>
    <row r="308" spans="1:5" x14ac:dyDescent="0.25">
      <c r="A308" s="11">
        <v>2011</v>
      </c>
      <c r="B308" s="11" t="s">
        <v>233</v>
      </c>
      <c r="C308" s="13">
        <v>1396</v>
      </c>
      <c r="D308" s="13">
        <v>697</v>
      </c>
      <c r="E308" s="13">
        <v>699</v>
      </c>
    </row>
    <row r="309" spans="1:5" x14ac:dyDescent="0.25">
      <c r="A309" s="11">
        <v>2011</v>
      </c>
      <c r="B309" s="11" t="s">
        <v>240</v>
      </c>
      <c r="C309" s="13">
        <v>4268</v>
      </c>
      <c r="D309" s="13">
        <v>2057</v>
      </c>
      <c r="E309" s="13">
        <v>2211</v>
      </c>
    </row>
    <row r="310" spans="1:5" x14ac:dyDescent="0.25">
      <c r="A310" s="11">
        <v>2011</v>
      </c>
      <c r="B310" s="11" t="s">
        <v>262</v>
      </c>
      <c r="C310" s="13">
        <v>3154</v>
      </c>
      <c r="D310" s="13">
        <v>1539</v>
      </c>
      <c r="E310" s="13">
        <v>1615</v>
      </c>
    </row>
    <row r="311" spans="1:5" x14ac:dyDescent="0.25">
      <c r="A311" s="11">
        <v>2011</v>
      </c>
      <c r="B311" s="11" t="s">
        <v>263</v>
      </c>
      <c r="C311" s="13">
        <v>6276</v>
      </c>
      <c r="D311" s="13">
        <v>3016</v>
      </c>
      <c r="E311" s="13">
        <v>3260</v>
      </c>
    </row>
    <row r="312" spans="1:5" x14ac:dyDescent="0.25">
      <c r="A312" s="11">
        <v>2011</v>
      </c>
      <c r="B312" s="11" t="s">
        <v>264</v>
      </c>
      <c r="C312" s="13">
        <v>13068</v>
      </c>
      <c r="D312" s="13">
        <v>6379</v>
      </c>
      <c r="E312" s="13">
        <v>6689</v>
      </c>
    </row>
    <row r="313" spans="1:5" x14ac:dyDescent="0.25">
      <c r="A313" s="11">
        <v>2011</v>
      </c>
      <c r="B313" s="11" t="s">
        <v>242</v>
      </c>
      <c r="C313" s="13">
        <v>3090</v>
      </c>
      <c r="D313" s="13">
        <v>1508</v>
      </c>
      <c r="E313" s="13">
        <v>1582</v>
      </c>
    </row>
    <row r="314" spans="1:5" x14ac:dyDescent="0.25">
      <c r="A314" s="11">
        <v>2011</v>
      </c>
      <c r="B314" s="11" t="s">
        <v>265</v>
      </c>
      <c r="C314" s="13">
        <v>7495</v>
      </c>
      <c r="D314" s="13">
        <v>3598</v>
      </c>
      <c r="E314" s="13">
        <v>3897</v>
      </c>
    </row>
    <row r="315" spans="1:5" x14ac:dyDescent="0.25">
      <c r="A315" s="11">
        <v>2011</v>
      </c>
      <c r="B315" s="11" t="s">
        <v>266</v>
      </c>
      <c r="C315" s="13">
        <v>9799</v>
      </c>
      <c r="D315" s="13">
        <v>4773</v>
      </c>
      <c r="E315" s="13">
        <v>5026</v>
      </c>
    </row>
    <row r="316" spans="1:5" x14ac:dyDescent="0.25">
      <c r="A316" s="11">
        <v>2011</v>
      </c>
      <c r="B316" s="11" t="s">
        <v>267</v>
      </c>
      <c r="C316" s="13">
        <v>205</v>
      </c>
      <c r="D316" s="13">
        <v>107</v>
      </c>
      <c r="E316" s="13">
        <v>98</v>
      </c>
    </row>
    <row r="317" spans="1:5" x14ac:dyDescent="0.25">
      <c r="A317" s="11">
        <v>2011</v>
      </c>
      <c r="B317" s="11" t="s">
        <v>268</v>
      </c>
      <c r="C317" s="13">
        <v>242</v>
      </c>
      <c r="D317" s="13">
        <v>111</v>
      </c>
      <c r="E317" s="13">
        <v>131</v>
      </c>
    </row>
    <row r="318" spans="1:5" x14ac:dyDescent="0.25">
      <c r="A318" s="11">
        <v>2011</v>
      </c>
      <c r="B318" s="11" t="s">
        <v>269</v>
      </c>
      <c r="C318" s="13">
        <v>4367</v>
      </c>
      <c r="D318" s="13">
        <v>2170</v>
      </c>
      <c r="E318" s="13">
        <v>2197</v>
      </c>
    </row>
    <row r="319" spans="1:5" x14ac:dyDescent="0.25">
      <c r="A319" s="11">
        <v>2011</v>
      </c>
      <c r="B319" s="11" t="s">
        <v>270</v>
      </c>
      <c r="C319" s="13">
        <v>235</v>
      </c>
      <c r="D319" s="13">
        <v>103</v>
      </c>
      <c r="E319" s="13">
        <v>132</v>
      </c>
    </row>
    <row r="320" spans="1:5" x14ac:dyDescent="0.25">
      <c r="A320" s="11">
        <v>2012</v>
      </c>
      <c r="B320" s="11" t="s">
        <v>11</v>
      </c>
      <c r="C320" s="13">
        <v>58027</v>
      </c>
      <c r="D320" s="13">
        <v>28314</v>
      </c>
      <c r="E320" s="13">
        <v>29713</v>
      </c>
    </row>
    <row r="321" spans="1:5" x14ac:dyDescent="0.25">
      <c r="A321" s="11">
        <v>2012</v>
      </c>
      <c r="B321" s="11" t="s">
        <v>260</v>
      </c>
      <c r="C321" s="13">
        <v>3701</v>
      </c>
      <c r="D321" s="13">
        <v>1806</v>
      </c>
      <c r="E321" s="13">
        <v>1895</v>
      </c>
    </row>
    <row r="322" spans="1:5" x14ac:dyDescent="0.25">
      <c r="A322" s="11">
        <v>2012</v>
      </c>
      <c r="B322" s="11" t="s">
        <v>261</v>
      </c>
      <c r="C322" s="13">
        <v>1140</v>
      </c>
      <c r="D322" s="13">
        <v>560</v>
      </c>
      <c r="E322" s="13">
        <v>580</v>
      </c>
    </row>
    <row r="323" spans="1:5" x14ac:dyDescent="0.25">
      <c r="A323" s="11">
        <v>2012</v>
      </c>
      <c r="B323" s="11" t="s">
        <v>233</v>
      </c>
      <c r="C323" s="13">
        <v>1390</v>
      </c>
      <c r="D323" s="13">
        <v>656</v>
      </c>
      <c r="E323" s="13">
        <v>734</v>
      </c>
    </row>
    <row r="324" spans="1:5" x14ac:dyDescent="0.25">
      <c r="A324" s="11">
        <v>2012</v>
      </c>
      <c r="B324" s="11" t="s">
        <v>240</v>
      </c>
      <c r="C324" s="13">
        <v>4019</v>
      </c>
      <c r="D324" s="13">
        <v>1893</v>
      </c>
      <c r="E324" s="13">
        <v>2126</v>
      </c>
    </row>
    <row r="325" spans="1:5" x14ac:dyDescent="0.25">
      <c r="A325" s="11">
        <v>2012</v>
      </c>
      <c r="B325" s="11" t="s">
        <v>262</v>
      </c>
      <c r="C325" s="13">
        <v>3254</v>
      </c>
      <c r="D325" s="13">
        <v>1577</v>
      </c>
      <c r="E325" s="13">
        <v>1677</v>
      </c>
    </row>
    <row r="326" spans="1:5" x14ac:dyDescent="0.25">
      <c r="A326" s="11">
        <v>2012</v>
      </c>
      <c r="B326" s="11" t="s">
        <v>263</v>
      </c>
      <c r="C326" s="13">
        <v>6470</v>
      </c>
      <c r="D326" s="13">
        <v>3218</v>
      </c>
      <c r="E326" s="13">
        <v>3252</v>
      </c>
    </row>
    <row r="327" spans="1:5" x14ac:dyDescent="0.25">
      <c r="A327" s="11">
        <v>2012</v>
      </c>
      <c r="B327" s="11" t="s">
        <v>264</v>
      </c>
      <c r="C327" s="13">
        <v>13098</v>
      </c>
      <c r="D327" s="13">
        <v>6422</v>
      </c>
      <c r="E327" s="13">
        <v>6676</v>
      </c>
    </row>
    <row r="328" spans="1:5" x14ac:dyDescent="0.25">
      <c r="A328" s="11">
        <v>2012</v>
      </c>
      <c r="B328" s="11" t="s">
        <v>242</v>
      </c>
      <c r="C328" s="13">
        <v>3145</v>
      </c>
      <c r="D328" s="13">
        <v>1547</v>
      </c>
      <c r="E328" s="13">
        <v>1598</v>
      </c>
    </row>
    <row r="329" spans="1:5" x14ac:dyDescent="0.25">
      <c r="A329" s="11">
        <v>2012</v>
      </c>
      <c r="B329" s="11" t="s">
        <v>265</v>
      </c>
      <c r="C329" s="13">
        <v>7115</v>
      </c>
      <c r="D329" s="13">
        <v>3479</v>
      </c>
      <c r="E329" s="13">
        <v>3636</v>
      </c>
    </row>
    <row r="330" spans="1:5" x14ac:dyDescent="0.25">
      <c r="A330" s="11">
        <v>2012</v>
      </c>
      <c r="B330" s="11" t="s">
        <v>266</v>
      </c>
      <c r="C330" s="13">
        <v>9830</v>
      </c>
      <c r="D330" s="13">
        <v>4799</v>
      </c>
      <c r="E330" s="13">
        <v>5031</v>
      </c>
    </row>
    <row r="331" spans="1:5" x14ac:dyDescent="0.25">
      <c r="A331" s="11">
        <v>2012</v>
      </c>
      <c r="B331" s="11" t="s">
        <v>267</v>
      </c>
      <c r="C331" s="13">
        <v>201</v>
      </c>
      <c r="D331" s="13">
        <v>81</v>
      </c>
      <c r="E331" s="13">
        <v>120</v>
      </c>
    </row>
    <row r="332" spans="1:5" x14ac:dyDescent="0.25">
      <c r="A332" s="11">
        <v>2012</v>
      </c>
      <c r="B332" s="11" t="s">
        <v>268</v>
      </c>
      <c r="C332" s="13">
        <v>276</v>
      </c>
      <c r="D332" s="13">
        <v>124</v>
      </c>
      <c r="E332" s="13">
        <v>152</v>
      </c>
    </row>
    <row r="333" spans="1:5" x14ac:dyDescent="0.25">
      <c r="A333" s="11">
        <v>2012</v>
      </c>
      <c r="B333" s="11" t="s">
        <v>269</v>
      </c>
      <c r="C333" s="13">
        <v>4151</v>
      </c>
      <c r="D333" s="13">
        <v>2039</v>
      </c>
      <c r="E333" s="13">
        <v>2112</v>
      </c>
    </row>
    <row r="334" spans="1:5" x14ac:dyDescent="0.25">
      <c r="A334" s="11">
        <v>2012</v>
      </c>
      <c r="B334" s="11" t="s">
        <v>270</v>
      </c>
      <c r="C334" s="13">
        <v>237</v>
      </c>
      <c r="D334" s="13">
        <v>113</v>
      </c>
      <c r="E334" s="13">
        <v>124</v>
      </c>
    </row>
    <row r="335" spans="1:5" x14ac:dyDescent="0.25">
      <c r="A335" s="11">
        <v>2013</v>
      </c>
      <c r="B335" s="11" t="s">
        <v>11</v>
      </c>
      <c r="C335" s="13">
        <v>56014</v>
      </c>
      <c r="D335" s="13">
        <v>27186</v>
      </c>
      <c r="E335" s="13">
        <v>28828</v>
      </c>
    </row>
    <row r="336" spans="1:5" x14ac:dyDescent="0.25">
      <c r="A336" s="11">
        <v>2013</v>
      </c>
      <c r="B336" s="11" t="s">
        <v>260</v>
      </c>
      <c r="C336" s="13">
        <v>3647</v>
      </c>
      <c r="D336" s="13">
        <v>1705</v>
      </c>
      <c r="E336" s="13">
        <v>1942</v>
      </c>
    </row>
    <row r="337" spans="1:5" x14ac:dyDescent="0.25">
      <c r="A337" s="11">
        <v>2013</v>
      </c>
      <c r="B337" s="11" t="s">
        <v>261</v>
      </c>
      <c r="C337" s="13">
        <v>1138</v>
      </c>
      <c r="D337" s="13">
        <v>567</v>
      </c>
      <c r="E337" s="13">
        <v>571</v>
      </c>
    </row>
    <row r="338" spans="1:5" x14ac:dyDescent="0.25">
      <c r="A338" s="11">
        <v>2013</v>
      </c>
      <c r="B338" s="11" t="s">
        <v>233</v>
      </c>
      <c r="C338" s="13">
        <v>1327</v>
      </c>
      <c r="D338" s="13">
        <v>633</v>
      </c>
      <c r="E338" s="13">
        <v>694</v>
      </c>
    </row>
    <row r="339" spans="1:5" x14ac:dyDescent="0.25">
      <c r="A339" s="11">
        <v>2013</v>
      </c>
      <c r="B339" s="11" t="s">
        <v>240</v>
      </c>
      <c r="C339" s="13">
        <v>3872</v>
      </c>
      <c r="D339" s="13">
        <v>1911</v>
      </c>
      <c r="E339" s="13">
        <v>1961</v>
      </c>
    </row>
    <row r="340" spans="1:5" x14ac:dyDescent="0.25">
      <c r="A340" s="11">
        <v>2013</v>
      </c>
      <c r="B340" s="11" t="s">
        <v>262</v>
      </c>
      <c r="C340" s="13">
        <v>3025</v>
      </c>
      <c r="D340" s="13">
        <v>1462</v>
      </c>
      <c r="E340" s="13">
        <v>1563</v>
      </c>
    </row>
    <row r="341" spans="1:5" x14ac:dyDescent="0.25">
      <c r="A341" s="11">
        <v>2013</v>
      </c>
      <c r="B341" s="11" t="s">
        <v>263</v>
      </c>
      <c r="C341" s="13">
        <v>6153</v>
      </c>
      <c r="D341" s="13">
        <v>2999</v>
      </c>
      <c r="E341" s="13">
        <v>3154</v>
      </c>
    </row>
    <row r="342" spans="1:5" x14ac:dyDescent="0.25">
      <c r="A342" s="11">
        <v>2013</v>
      </c>
      <c r="B342" s="11" t="s">
        <v>264</v>
      </c>
      <c r="C342" s="13">
        <v>12583</v>
      </c>
      <c r="D342" s="13">
        <v>6093</v>
      </c>
      <c r="E342" s="13">
        <v>6490</v>
      </c>
    </row>
    <row r="343" spans="1:5" x14ac:dyDescent="0.25">
      <c r="A343" s="11">
        <v>2013</v>
      </c>
      <c r="B343" s="11" t="s">
        <v>242</v>
      </c>
      <c r="C343" s="13">
        <v>2942</v>
      </c>
      <c r="D343" s="13">
        <v>1438</v>
      </c>
      <c r="E343" s="13">
        <v>1504</v>
      </c>
    </row>
    <row r="344" spans="1:5" x14ac:dyDescent="0.25">
      <c r="A344" s="11">
        <v>2013</v>
      </c>
      <c r="B344" s="11" t="s">
        <v>265</v>
      </c>
      <c r="C344" s="13">
        <v>7010</v>
      </c>
      <c r="D344" s="13">
        <v>3396</v>
      </c>
      <c r="E344" s="13">
        <v>3614</v>
      </c>
    </row>
    <row r="345" spans="1:5" x14ac:dyDescent="0.25">
      <c r="A345" s="11">
        <v>2013</v>
      </c>
      <c r="B345" s="11" t="s">
        <v>266</v>
      </c>
      <c r="C345" s="13">
        <v>9588</v>
      </c>
      <c r="D345" s="13">
        <v>4682</v>
      </c>
      <c r="E345" s="13">
        <v>4906</v>
      </c>
    </row>
    <row r="346" spans="1:5" x14ac:dyDescent="0.25">
      <c r="A346" s="11">
        <v>2013</v>
      </c>
      <c r="B346" s="11" t="s">
        <v>267</v>
      </c>
      <c r="C346" s="13">
        <v>201</v>
      </c>
      <c r="D346" s="13">
        <v>91</v>
      </c>
      <c r="E346" s="13">
        <v>110</v>
      </c>
    </row>
    <row r="347" spans="1:5" x14ac:dyDescent="0.25">
      <c r="A347" s="11">
        <v>2013</v>
      </c>
      <c r="B347" s="11" t="s">
        <v>268</v>
      </c>
      <c r="C347" s="13">
        <v>261</v>
      </c>
      <c r="D347" s="13">
        <v>134</v>
      </c>
      <c r="E347" s="13">
        <v>127</v>
      </c>
    </row>
    <row r="348" spans="1:5" x14ac:dyDescent="0.25">
      <c r="A348" s="11">
        <v>2013</v>
      </c>
      <c r="B348" s="11" t="s">
        <v>269</v>
      </c>
      <c r="C348" s="13">
        <v>4021</v>
      </c>
      <c r="D348" s="13">
        <v>1959</v>
      </c>
      <c r="E348" s="13">
        <v>2062</v>
      </c>
    </row>
    <row r="349" spans="1:5" x14ac:dyDescent="0.25">
      <c r="A349" s="11">
        <v>2013</v>
      </c>
      <c r="B349" s="11" t="s">
        <v>270</v>
      </c>
      <c r="C349" s="13">
        <v>246</v>
      </c>
      <c r="D349" s="13">
        <v>116</v>
      </c>
      <c r="E349" s="13">
        <v>130</v>
      </c>
    </row>
    <row r="350" spans="1:5" x14ac:dyDescent="0.25">
      <c r="A350" s="11">
        <v>2014</v>
      </c>
      <c r="B350" s="11" t="s">
        <v>11</v>
      </c>
      <c r="C350" s="13">
        <v>56725</v>
      </c>
      <c r="D350" s="13">
        <v>27669</v>
      </c>
      <c r="E350" s="13">
        <v>29056</v>
      </c>
    </row>
    <row r="351" spans="1:5" x14ac:dyDescent="0.25">
      <c r="A351" s="11">
        <v>2014</v>
      </c>
      <c r="B351" s="11" t="s">
        <v>260</v>
      </c>
      <c r="C351" s="13">
        <v>3571</v>
      </c>
      <c r="D351" s="13">
        <v>1777</v>
      </c>
      <c r="E351" s="13">
        <v>1794</v>
      </c>
    </row>
    <row r="352" spans="1:5" x14ac:dyDescent="0.25">
      <c r="A352" s="11">
        <v>2014</v>
      </c>
      <c r="B352" s="11" t="s">
        <v>261</v>
      </c>
      <c r="C352" s="13">
        <v>1081</v>
      </c>
      <c r="D352" s="13">
        <v>550</v>
      </c>
      <c r="E352" s="13">
        <v>531</v>
      </c>
    </row>
    <row r="353" spans="1:5" x14ac:dyDescent="0.25">
      <c r="A353" s="11">
        <v>2014</v>
      </c>
      <c r="B353" s="11" t="s">
        <v>233</v>
      </c>
      <c r="C353" s="13">
        <v>1286</v>
      </c>
      <c r="D353" s="13">
        <v>608</v>
      </c>
      <c r="E353" s="13">
        <v>678</v>
      </c>
    </row>
    <row r="354" spans="1:5" x14ac:dyDescent="0.25">
      <c r="A354" s="11">
        <v>2014</v>
      </c>
      <c r="B354" s="11" t="s">
        <v>240</v>
      </c>
      <c r="C354" s="13">
        <v>3889</v>
      </c>
      <c r="D354" s="13">
        <v>1882</v>
      </c>
      <c r="E354" s="13">
        <v>2007</v>
      </c>
    </row>
    <row r="355" spans="1:5" x14ac:dyDescent="0.25">
      <c r="A355" s="11">
        <v>2014</v>
      </c>
      <c r="B355" s="11" t="s">
        <v>262</v>
      </c>
      <c r="C355" s="13">
        <v>3114</v>
      </c>
      <c r="D355" s="13">
        <v>1504</v>
      </c>
      <c r="E355" s="13">
        <v>1610</v>
      </c>
    </row>
    <row r="356" spans="1:5" x14ac:dyDescent="0.25">
      <c r="A356" s="11">
        <v>2014</v>
      </c>
      <c r="B356" s="11" t="s">
        <v>263</v>
      </c>
      <c r="C356" s="13">
        <v>6332</v>
      </c>
      <c r="D356" s="13">
        <v>3042</v>
      </c>
      <c r="E356" s="13">
        <v>3290</v>
      </c>
    </row>
    <row r="357" spans="1:5" x14ac:dyDescent="0.25">
      <c r="A357" s="11">
        <v>2014</v>
      </c>
      <c r="B357" s="11" t="s">
        <v>264</v>
      </c>
      <c r="C357" s="13">
        <v>12788</v>
      </c>
      <c r="D357" s="13">
        <v>6243</v>
      </c>
      <c r="E357" s="13">
        <v>6545</v>
      </c>
    </row>
    <row r="358" spans="1:5" x14ac:dyDescent="0.25">
      <c r="A358" s="11">
        <v>2014</v>
      </c>
      <c r="B358" s="11" t="s">
        <v>242</v>
      </c>
      <c r="C358" s="13">
        <v>3037</v>
      </c>
      <c r="D358" s="13">
        <v>1494</v>
      </c>
      <c r="E358" s="13">
        <v>1543</v>
      </c>
    </row>
    <row r="359" spans="1:5" x14ac:dyDescent="0.25">
      <c r="A359" s="11">
        <v>2014</v>
      </c>
      <c r="B359" s="11" t="s">
        <v>265</v>
      </c>
      <c r="C359" s="13">
        <v>7121</v>
      </c>
      <c r="D359" s="13">
        <v>3481</v>
      </c>
      <c r="E359" s="13">
        <v>3640</v>
      </c>
    </row>
    <row r="360" spans="1:5" x14ac:dyDescent="0.25">
      <c r="A360" s="11">
        <v>2014</v>
      </c>
      <c r="B360" s="11" t="s">
        <v>266</v>
      </c>
      <c r="C360" s="13">
        <v>9628</v>
      </c>
      <c r="D360" s="13">
        <v>4758</v>
      </c>
      <c r="E360" s="13">
        <v>4870</v>
      </c>
    </row>
    <row r="361" spans="1:5" x14ac:dyDescent="0.25">
      <c r="A361" s="11">
        <v>2014</v>
      </c>
      <c r="B361" s="11" t="s">
        <v>267</v>
      </c>
      <c r="C361" s="13">
        <v>181</v>
      </c>
      <c r="D361" s="13">
        <v>72</v>
      </c>
      <c r="E361" s="13">
        <v>109</v>
      </c>
    </row>
    <row r="362" spans="1:5" x14ac:dyDescent="0.25">
      <c r="A362" s="11">
        <v>2014</v>
      </c>
      <c r="B362" s="11" t="s">
        <v>268</v>
      </c>
      <c r="C362" s="13">
        <v>253</v>
      </c>
      <c r="D362" s="13">
        <v>139</v>
      </c>
      <c r="E362" s="13">
        <v>114</v>
      </c>
    </row>
    <row r="363" spans="1:5" x14ac:dyDescent="0.25">
      <c r="A363" s="11">
        <v>2014</v>
      </c>
      <c r="B363" s="11" t="s">
        <v>269</v>
      </c>
      <c r="C363" s="13">
        <v>4218</v>
      </c>
      <c r="D363" s="13">
        <v>2008</v>
      </c>
      <c r="E363" s="13">
        <v>2210</v>
      </c>
    </row>
    <row r="364" spans="1:5" x14ac:dyDescent="0.25">
      <c r="A364" s="11">
        <v>2014</v>
      </c>
      <c r="B364" s="11" t="s">
        <v>270</v>
      </c>
      <c r="C364" s="13">
        <v>226</v>
      </c>
      <c r="D364" s="13">
        <v>111</v>
      </c>
      <c r="E364" s="13">
        <v>115</v>
      </c>
    </row>
    <row r="365" spans="1:5" x14ac:dyDescent="0.25">
      <c r="A365" s="11">
        <v>2015</v>
      </c>
      <c r="B365" s="11" t="s">
        <v>11</v>
      </c>
      <c r="C365" s="13">
        <v>55098</v>
      </c>
      <c r="D365" s="13">
        <v>26744</v>
      </c>
      <c r="E365" s="13">
        <v>28354</v>
      </c>
    </row>
    <row r="366" spans="1:5" x14ac:dyDescent="0.25">
      <c r="A366" s="11">
        <v>2015</v>
      </c>
      <c r="B366" s="11" t="s">
        <v>260</v>
      </c>
      <c r="C366" s="13">
        <v>3612</v>
      </c>
      <c r="D366" s="13">
        <v>1749</v>
      </c>
      <c r="E366" s="13">
        <v>1863</v>
      </c>
    </row>
    <row r="367" spans="1:5" x14ac:dyDescent="0.25">
      <c r="A367" s="11">
        <v>2015</v>
      </c>
      <c r="B367" s="11" t="s">
        <v>261</v>
      </c>
      <c r="C367" s="13">
        <v>1037</v>
      </c>
      <c r="D367" s="13">
        <v>526</v>
      </c>
      <c r="E367" s="13">
        <v>511</v>
      </c>
    </row>
    <row r="368" spans="1:5" x14ac:dyDescent="0.25">
      <c r="A368" s="11">
        <v>2015</v>
      </c>
      <c r="B368" s="11" t="s">
        <v>233</v>
      </c>
      <c r="C368" s="13">
        <v>1256</v>
      </c>
      <c r="D368" s="13">
        <v>623</v>
      </c>
      <c r="E368" s="13">
        <v>633</v>
      </c>
    </row>
    <row r="369" spans="1:5" x14ac:dyDescent="0.25">
      <c r="A369" s="11">
        <v>2015</v>
      </c>
      <c r="B369" s="11" t="s">
        <v>240</v>
      </c>
      <c r="C369" s="13">
        <v>3755</v>
      </c>
      <c r="D369" s="13">
        <v>1863</v>
      </c>
      <c r="E369" s="13">
        <v>1892</v>
      </c>
    </row>
    <row r="370" spans="1:5" x14ac:dyDescent="0.25">
      <c r="A370" s="11">
        <v>2015</v>
      </c>
      <c r="B370" s="11" t="s">
        <v>262</v>
      </c>
      <c r="C370" s="13">
        <v>2939</v>
      </c>
      <c r="D370" s="13">
        <v>1384</v>
      </c>
      <c r="E370" s="13">
        <v>1555</v>
      </c>
    </row>
    <row r="371" spans="1:5" x14ac:dyDescent="0.25">
      <c r="A371" s="11">
        <v>2015</v>
      </c>
      <c r="B371" s="11" t="s">
        <v>263</v>
      </c>
      <c r="C371" s="13">
        <v>6405</v>
      </c>
      <c r="D371" s="13">
        <v>3135</v>
      </c>
      <c r="E371" s="13">
        <v>3270</v>
      </c>
    </row>
    <row r="372" spans="1:5" x14ac:dyDescent="0.25">
      <c r="A372" s="11">
        <v>2015</v>
      </c>
      <c r="B372" s="11" t="s">
        <v>264</v>
      </c>
      <c r="C372" s="13">
        <v>12275</v>
      </c>
      <c r="D372" s="13">
        <v>6007</v>
      </c>
      <c r="E372" s="13">
        <v>6268</v>
      </c>
    </row>
    <row r="373" spans="1:5" x14ac:dyDescent="0.25">
      <c r="A373" s="11">
        <v>2015</v>
      </c>
      <c r="B373" s="11" t="s">
        <v>242</v>
      </c>
      <c r="C373" s="13">
        <v>2908</v>
      </c>
      <c r="D373" s="13">
        <v>1395</v>
      </c>
      <c r="E373" s="13">
        <v>1513</v>
      </c>
    </row>
    <row r="374" spans="1:5" x14ac:dyDescent="0.25">
      <c r="A374" s="11">
        <v>2015</v>
      </c>
      <c r="B374" s="11" t="s">
        <v>265</v>
      </c>
      <c r="C374" s="13">
        <v>6901</v>
      </c>
      <c r="D374" s="13">
        <v>3347</v>
      </c>
      <c r="E374" s="13">
        <v>3554</v>
      </c>
    </row>
    <row r="375" spans="1:5" x14ac:dyDescent="0.25">
      <c r="A375" s="11">
        <v>2015</v>
      </c>
      <c r="B375" s="11" t="s">
        <v>266</v>
      </c>
      <c r="C375" s="13">
        <v>9386</v>
      </c>
      <c r="D375" s="13">
        <v>4502</v>
      </c>
      <c r="E375" s="13">
        <v>4884</v>
      </c>
    </row>
    <row r="376" spans="1:5" x14ac:dyDescent="0.25">
      <c r="A376" s="11">
        <v>2015</v>
      </c>
      <c r="B376" s="11" t="s">
        <v>267</v>
      </c>
      <c r="C376" s="13">
        <v>191</v>
      </c>
      <c r="D376" s="13">
        <v>96</v>
      </c>
      <c r="E376" s="13">
        <v>95</v>
      </c>
    </row>
    <row r="377" spans="1:5" x14ac:dyDescent="0.25">
      <c r="A377" s="11">
        <v>2015</v>
      </c>
      <c r="B377" s="11" t="s">
        <v>268</v>
      </c>
      <c r="C377" s="13">
        <v>234</v>
      </c>
      <c r="D377" s="13">
        <v>112</v>
      </c>
      <c r="E377" s="13">
        <v>122</v>
      </c>
    </row>
    <row r="378" spans="1:5" x14ac:dyDescent="0.25">
      <c r="A378" s="11">
        <v>2015</v>
      </c>
      <c r="B378" s="11" t="s">
        <v>269</v>
      </c>
      <c r="C378" s="13">
        <v>3977</v>
      </c>
      <c r="D378" s="13">
        <v>1900</v>
      </c>
      <c r="E378" s="13">
        <v>2077</v>
      </c>
    </row>
    <row r="379" spans="1:5" x14ac:dyDescent="0.25">
      <c r="A379" s="11">
        <v>2015</v>
      </c>
      <c r="B379" s="11" t="s">
        <v>270</v>
      </c>
      <c r="C379" s="13">
        <v>222</v>
      </c>
      <c r="D379" s="13">
        <v>105</v>
      </c>
      <c r="E379" s="13">
        <v>117</v>
      </c>
    </row>
    <row r="380" spans="1:5" x14ac:dyDescent="0.25">
      <c r="A380" s="11">
        <v>2016</v>
      </c>
      <c r="B380" s="11" t="s">
        <v>11</v>
      </c>
      <c r="C380" s="13">
        <v>54488</v>
      </c>
      <c r="D380" s="13">
        <v>26252</v>
      </c>
      <c r="E380" s="13">
        <v>28236</v>
      </c>
    </row>
    <row r="381" spans="1:5" x14ac:dyDescent="0.25">
      <c r="A381" s="11">
        <v>2016</v>
      </c>
      <c r="B381" s="11" t="s">
        <v>260</v>
      </c>
      <c r="C381" s="13">
        <v>3495</v>
      </c>
      <c r="D381" s="13">
        <v>1673</v>
      </c>
      <c r="E381" s="13">
        <v>1822</v>
      </c>
    </row>
    <row r="382" spans="1:5" x14ac:dyDescent="0.25">
      <c r="A382" s="11">
        <v>2016</v>
      </c>
      <c r="B382" s="11" t="s">
        <v>261</v>
      </c>
      <c r="C382" s="13">
        <v>1005</v>
      </c>
      <c r="D382" s="13">
        <v>483</v>
      </c>
      <c r="E382" s="13">
        <v>522</v>
      </c>
    </row>
    <row r="383" spans="1:5" x14ac:dyDescent="0.25">
      <c r="A383" s="11">
        <v>2016</v>
      </c>
      <c r="B383" s="11" t="s">
        <v>233</v>
      </c>
      <c r="C383" s="13">
        <v>1318</v>
      </c>
      <c r="D383" s="13">
        <v>663</v>
      </c>
      <c r="E383" s="13">
        <v>655</v>
      </c>
    </row>
    <row r="384" spans="1:5" x14ac:dyDescent="0.25">
      <c r="A384" s="11">
        <v>2016</v>
      </c>
      <c r="B384" s="11" t="s">
        <v>240</v>
      </c>
      <c r="C384" s="13">
        <v>3739</v>
      </c>
      <c r="D384" s="13">
        <v>1809</v>
      </c>
      <c r="E384" s="13">
        <v>1930</v>
      </c>
    </row>
    <row r="385" spans="1:5" x14ac:dyDescent="0.25">
      <c r="A385" s="11">
        <v>2016</v>
      </c>
      <c r="B385" s="11" t="s">
        <v>262</v>
      </c>
      <c r="C385" s="13">
        <v>2877</v>
      </c>
      <c r="D385" s="13">
        <v>1373</v>
      </c>
      <c r="E385" s="13">
        <v>1504</v>
      </c>
    </row>
    <row r="386" spans="1:5" x14ac:dyDescent="0.25">
      <c r="A386" s="11">
        <v>2016</v>
      </c>
      <c r="B386" s="11" t="s">
        <v>263</v>
      </c>
      <c r="C386" s="13">
        <v>6271</v>
      </c>
      <c r="D386" s="13">
        <v>3013</v>
      </c>
      <c r="E386" s="13">
        <v>3258</v>
      </c>
    </row>
    <row r="387" spans="1:5" x14ac:dyDescent="0.25">
      <c r="A387" s="11">
        <v>2016</v>
      </c>
      <c r="B387" s="11" t="s">
        <v>264</v>
      </c>
      <c r="C387" s="13">
        <v>12082</v>
      </c>
      <c r="D387" s="13">
        <v>5853</v>
      </c>
      <c r="E387" s="13">
        <v>6229</v>
      </c>
    </row>
    <row r="388" spans="1:5" x14ac:dyDescent="0.25">
      <c r="A388" s="11">
        <v>2016</v>
      </c>
      <c r="B388" s="11" t="s">
        <v>242</v>
      </c>
      <c r="C388" s="13">
        <v>2849</v>
      </c>
      <c r="D388" s="13">
        <v>1364</v>
      </c>
      <c r="E388" s="13">
        <v>1485</v>
      </c>
    </row>
    <row r="389" spans="1:5" x14ac:dyDescent="0.25">
      <c r="A389" s="11">
        <v>2016</v>
      </c>
      <c r="B389" s="11" t="s">
        <v>265</v>
      </c>
      <c r="C389" s="13">
        <v>6826</v>
      </c>
      <c r="D389" s="13">
        <v>3262</v>
      </c>
      <c r="E389" s="13">
        <v>3564</v>
      </c>
    </row>
    <row r="390" spans="1:5" x14ac:dyDescent="0.25">
      <c r="A390" s="11">
        <v>2016</v>
      </c>
      <c r="B390" s="11" t="s">
        <v>266</v>
      </c>
      <c r="C390" s="13">
        <v>9418</v>
      </c>
      <c r="D390" s="13">
        <v>4562</v>
      </c>
      <c r="E390" s="13">
        <v>4856</v>
      </c>
    </row>
    <row r="391" spans="1:5" x14ac:dyDescent="0.25">
      <c r="A391" s="11">
        <v>2016</v>
      </c>
      <c r="B391" s="11" t="s">
        <v>267</v>
      </c>
      <c r="C391" s="13">
        <v>178</v>
      </c>
      <c r="D391" s="13">
        <v>89</v>
      </c>
      <c r="E391" s="13">
        <v>89</v>
      </c>
    </row>
    <row r="392" spans="1:5" x14ac:dyDescent="0.25">
      <c r="A392" s="11">
        <v>2016</v>
      </c>
      <c r="B392" s="11" t="s">
        <v>268</v>
      </c>
      <c r="C392" s="13">
        <v>266</v>
      </c>
      <c r="D392" s="13">
        <v>125</v>
      </c>
      <c r="E392" s="13">
        <v>141</v>
      </c>
    </row>
    <row r="393" spans="1:5" x14ac:dyDescent="0.25">
      <c r="A393" s="11">
        <v>2016</v>
      </c>
      <c r="B393" s="11" t="s">
        <v>269</v>
      </c>
      <c r="C393" s="13">
        <v>3926</v>
      </c>
      <c r="D393" s="13">
        <v>1871</v>
      </c>
      <c r="E393" s="13">
        <v>2055</v>
      </c>
    </row>
    <row r="394" spans="1:5" x14ac:dyDescent="0.25">
      <c r="A394" s="11">
        <v>2016</v>
      </c>
      <c r="B394" s="11" t="s">
        <v>270</v>
      </c>
      <c r="C394" s="13">
        <v>238</v>
      </c>
      <c r="D394" s="13">
        <v>112</v>
      </c>
      <c r="E394" s="13">
        <v>126</v>
      </c>
    </row>
    <row r="395" spans="1:5" x14ac:dyDescent="0.25">
      <c r="A395" s="11">
        <v>2017</v>
      </c>
      <c r="B395" s="11" t="s">
        <v>11</v>
      </c>
      <c r="C395" s="13">
        <v>52861</v>
      </c>
      <c r="D395" s="13">
        <v>25646</v>
      </c>
      <c r="E395" s="13">
        <v>27215</v>
      </c>
    </row>
    <row r="396" spans="1:5" x14ac:dyDescent="0.25">
      <c r="A396" s="11">
        <v>2017</v>
      </c>
      <c r="B396" s="11" t="s">
        <v>260</v>
      </c>
      <c r="C396" s="13">
        <v>3281</v>
      </c>
      <c r="D396" s="13">
        <v>1575</v>
      </c>
      <c r="E396" s="13">
        <v>1706</v>
      </c>
    </row>
    <row r="397" spans="1:5" x14ac:dyDescent="0.25">
      <c r="A397" s="11">
        <v>2017</v>
      </c>
      <c r="B397" s="11" t="s">
        <v>261</v>
      </c>
      <c r="C397" s="13">
        <v>989</v>
      </c>
      <c r="D397" s="13">
        <v>498</v>
      </c>
      <c r="E397" s="13">
        <v>491</v>
      </c>
    </row>
    <row r="398" spans="1:5" x14ac:dyDescent="0.25">
      <c r="A398" s="11">
        <v>2017</v>
      </c>
      <c r="B398" s="11" t="s">
        <v>233</v>
      </c>
      <c r="C398" s="13">
        <v>1248</v>
      </c>
      <c r="D398" s="13">
        <v>609</v>
      </c>
      <c r="E398" s="13">
        <v>639</v>
      </c>
    </row>
    <row r="399" spans="1:5" x14ac:dyDescent="0.25">
      <c r="A399" s="11">
        <v>2017</v>
      </c>
      <c r="B399" s="11" t="s">
        <v>240</v>
      </c>
      <c r="C399" s="13">
        <v>3465</v>
      </c>
      <c r="D399" s="13">
        <v>1677</v>
      </c>
      <c r="E399" s="13">
        <v>1788</v>
      </c>
    </row>
    <row r="400" spans="1:5" x14ac:dyDescent="0.25">
      <c r="A400" s="11">
        <v>2017</v>
      </c>
      <c r="B400" s="11" t="s">
        <v>262</v>
      </c>
      <c r="C400" s="13">
        <v>2907</v>
      </c>
      <c r="D400" s="13">
        <v>1409</v>
      </c>
      <c r="E400" s="13">
        <v>1498</v>
      </c>
    </row>
    <row r="401" spans="1:5" x14ac:dyDescent="0.25">
      <c r="A401" s="11">
        <v>2017</v>
      </c>
      <c r="B401" s="11" t="s">
        <v>263</v>
      </c>
      <c r="C401" s="13">
        <v>5917</v>
      </c>
      <c r="D401" s="13">
        <v>2866</v>
      </c>
      <c r="E401" s="13">
        <v>3051</v>
      </c>
    </row>
    <row r="402" spans="1:5" x14ac:dyDescent="0.25">
      <c r="A402" s="11">
        <v>2017</v>
      </c>
      <c r="B402" s="11" t="s">
        <v>264</v>
      </c>
      <c r="C402" s="13">
        <v>12126</v>
      </c>
      <c r="D402" s="13">
        <v>5864</v>
      </c>
      <c r="E402" s="13">
        <v>6262</v>
      </c>
    </row>
    <row r="403" spans="1:5" x14ac:dyDescent="0.25">
      <c r="A403" s="11">
        <v>2017</v>
      </c>
      <c r="B403" s="11" t="s">
        <v>242</v>
      </c>
      <c r="C403" s="13">
        <v>2754</v>
      </c>
      <c r="D403" s="13">
        <v>1342</v>
      </c>
      <c r="E403" s="13">
        <v>1412</v>
      </c>
    </row>
    <row r="404" spans="1:5" x14ac:dyDescent="0.25">
      <c r="A404" s="11">
        <v>2017</v>
      </c>
      <c r="B404" s="11" t="s">
        <v>265</v>
      </c>
      <c r="C404" s="13">
        <v>6763</v>
      </c>
      <c r="D404" s="13">
        <v>3289</v>
      </c>
      <c r="E404" s="13">
        <v>3474</v>
      </c>
    </row>
    <row r="405" spans="1:5" x14ac:dyDescent="0.25">
      <c r="A405" s="11">
        <v>2017</v>
      </c>
      <c r="B405" s="11" t="s">
        <v>266</v>
      </c>
      <c r="C405" s="13">
        <v>9037</v>
      </c>
      <c r="D405" s="13">
        <v>4363</v>
      </c>
      <c r="E405" s="13">
        <v>4674</v>
      </c>
    </row>
    <row r="406" spans="1:5" x14ac:dyDescent="0.25">
      <c r="A406" s="11">
        <v>2017</v>
      </c>
      <c r="B406" s="11" t="s">
        <v>267</v>
      </c>
      <c r="C406" s="13">
        <v>184</v>
      </c>
      <c r="D406" s="13">
        <v>99</v>
      </c>
      <c r="E406" s="13">
        <v>85</v>
      </c>
    </row>
    <row r="407" spans="1:5" x14ac:dyDescent="0.25">
      <c r="A407" s="11">
        <v>2017</v>
      </c>
      <c r="B407" s="11" t="s">
        <v>268</v>
      </c>
      <c r="C407" s="13">
        <v>218</v>
      </c>
      <c r="D407" s="13">
        <v>113</v>
      </c>
      <c r="E407" s="13">
        <v>105</v>
      </c>
    </row>
    <row r="408" spans="1:5" x14ac:dyDescent="0.25">
      <c r="A408" s="11">
        <v>2017</v>
      </c>
      <c r="B408" s="11" t="s">
        <v>269</v>
      </c>
      <c r="C408" s="13">
        <v>3757</v>
      </c>
      <c r="D408" s="13">
        <v>1843</v>
      </c>
      <c r="E408" s="13">
        <v>1914</v>
      </c>
    </row>
    <row r="409" spans="1:5" x14ac:dyDescent="0.25">
      <c r="A409" s="11">
        <v>2017</v>
      </c>
      <c r="B409" s="11" t="s">
        <v>270</v>
      </c>
      <c r="C409" s="13">
        <v>215</v>
      </c>
      <c r="D409" s="13">
        <v>99</v>
      </c>
      <c r="E409" s="13">
        <v>116</v>
      </c>
    </row>
    <row r="410" spans="1:5" x14ac:dyDescent="0.25">
      <c r="A410" s="11">
        <v>2018</v>
      </c>
      <c r="B410" s="11" t="s">
        <v>11</v>
      </c>
      <c r="C410" s="13">
        <v>51308</v>
      </c>
      <c r="D410" s="13">
        <v>24976</v>
      </c>
      <c r="E410" s="13">
        <v>26332</v>
      </c>
    </row>
    <row r="411" spans="1:5" x14ac:dyDescent="0.25">
      <c r="A411" s="11">
        <v>2018</v>
      </c>
      <c r="B411" s="11" t="s">
        <v>260</v>
      </c>
      <c r="C411" s="13">
        <v>3233</v>
      </c>
      <c r="D411" s="13">
        <v>1591</v>
      </c>
      <c r="E411" s="13">
        <v>1642</v>
      </c>
    </row>
    <row r="412" spans="1:5" x14ac:dyDescent="0.25">
      <c r="A412" s="11">
        <v>2018</v>
      </c>
      <c r="B412" s="11" t="s">
        <v>261</v>
      </c>
      <c r="C412" s="13">
        <v>984</v>
      </c>
      <c r="D412" s="13">
        <v>451</v>
      </c>
      <c r="E412" s="13">
        <v>533</v>
      </c>
    </row>
    <row r="413" spans="1:5" x14ac:dyDescent="0.25">
      <c r="A413" s="11">
        <v>2018</v>
      </c>
      <c r="B413" s="11" t="s">
        <v>233</v>
      </c>
      <c r="C413" s="13">
        <v>1198</v>
      </c>
      <c r="D413" s="13">
        <v>606</v>
      </c>
      <c r="E413" s="13">
        <v>592</v>
      </c>
    </row>
    <row r="414" spans="1:5" x14ac:dyDescent="0.25">
      <c r="A414" s="11">
        <v>2018</v>
      </c>
      <c r="B414" s="11" t="s">
        <v>240</v>
      </c>
      <c r="C414" s="13">
        <v>3479</v>
      </c>
      <c r="D414" s="13">
        <v>1699</v>
      </c>
      <c r="E414" s="13">
        <v>1780</v>
      </c>
    </row>
    <row r="415" spans="1:5" x14ac:dyDescent="0.25">
      <c r="A415" s="11">
        <v>2018</v>
      </c>
      <c r="B415" s="11" t="s">
        <v>262</v>
      </c>
      <c r="C415" s="13">
        <v>2715</v>
      </c>
      <c r="D415" s="13">
        <v>1298</v>
      </c>
      <c r="E415" s="13">
        <v>1417</v>
      </c>
    </row>
    <row r="416" spans="1:5" x14ac:dyDescent="0.25">
      <c r="A416" s="11">
        <v>2018</v>
      </c>
      <c r="B416" s="11" t="s">
        <v>263</v>
      </c>
      <c r="C416" s="13">
        <v>5859</v>
      </c>
      <c r="D416" s="13">
        <v>2808</v>
      </c>
      <c r="E416" s="13">
        <v>3051</v>
      </c>
    </row>
    <row r="417" spans="1:5" x14ac:dyDescent="0.25">
      <c r="A417" s="11">
        <v>2018</v>
      </c>
      <c r="B417" s="11" t="s">
        <v>264</v>
      </c>
      <c r="C417" s="13">
        <v>11623</v>
      </c>
      <c r="D417" s="13">
        <v>5718</v>
      </c>
      <c r="E417" s="13">
        <v>5905</v>
      </c>
    </row>
    <row r="418" spans="1:5" x14ac:dyDescent="0.25">
      <c r="A418" s="11">
        <v>2018</v>
      </c>
      <c r="B418" s="11" t="s">
        <v>242</v>
      </c>
      <c r="C418" s="13">
        <v>2653</v>
      </c>
      <c r="D418" s="13">
        <v>1258</v>
      </c>
      <c r="E418" s="13">
        <v>1395</v>
      </c>
    </row>
    <row r="419" spans="1:5" x14ac:dyDescent="0.25">
      <c r="A419" s="11">
        <v>2018</v>
      </c>
      <c r="B419" s="11" t="s">
        <v>265</v>
      </c>
      <c r="C419" s="13">
        <v>6540</v>
      </c>
      <c r="D419" s="13">
        <v>3206</v>
      </c>
      <c r="E419" s="13">
        <v>3334</v>
      </c>
    </row>
    <row r="420" spans="1:5" x14ac:dyDescent="0.25">
      <c r="A420" s="11">
        <v>2018</v>
      </c>
      <c r="B420" s="11" t="s">
        <v>266</v>
      </c>
      <c r="C420" s="13">
        <v>8748</v>
      </c>
      <c r="D420" s="13">
        <v>4277</v>
      </c>
      <c r="E420" s="13">
        <v>4471</v>
      </c>
    </row>
    <row r="421" spans="1:5" x14ac:dyDescent="0.25">
      <c r="A421" s="11">
        <v>2018</v>
      </c>
      <c r="B421" s="11" t="s">
        <v>267</v>
      </c>
      <c r="C421" s="13">
        <v>186</v>
      </c>
      <c r="D421" s="13">
        <v>92</v>
      </c>
      <c r="E421" s="13">
        <v>94</v>
      </c>
    </row>
    <row r="422" spans="1:5" x14ac:dyDescent="0.25">
      <c r="A422" s="11">
        <v>2018</v>
      </c>
      <c r="B422" s="11" t="s">
        <v>268</v>
      </c>
      <c r="C422" s="13">
        <v>215</v>
      </c>
      <c r="D422" s="13">
        <v>103</v>
      </c>
      <c r="E422" s="13">
        <v>112</v>
      </c>
    </row>
    <row r="423" spans="1:5" x14ac:dyDescent="0.25">
      <c r="A423" s="11">
        <v>2018</v>
      </c>
      <c r="B423" s="11" t="s">
        <v>269</v>
      </c>
      <c r="C423" s="13">
        <v>3669</v>
      </c>
      <c r="D423" s="13">
        <v>1772</v>
      </c>
      <c r="E423" s="13">
        <v>1897</v>
      </c>
    </row>
    <row r="424" spans="1:5" x14ac:dyDescent="0.25">
      <c r="A424" s="11">
        <v>2018</v>
      </c>
      <c r="B424" s="11" t="s">
        <v>270</v>
      </c>
      <c r="C424" s="13">
        <v>206</v>
      </c>
      <c r="D424" s="13">
        <v>97</v>
      </c>
      <c r="E424" s="13">
        <v>109</v>
      </c>
    </row>
    <row r="425" spans="1:5" x14ac:dyDescent="0.25">
      <c r="A425" s="11">
        <v>2019</v>
      </c>
      <c r="B425" s="11" t="s">
        <v>11</v>
      </c>
      <c r="C425" s="13">
        <v>49863</v>
      </c>
      <c r="D425" s="13">
        <v>24176</v>
      </c>
      <c r="E425" s="13">
        <v>25687</v>
      </c>
    </row>
    <row r="426" spans="1:5" x14ac:dyDescent="0.25">
      <c r="A426" s="11">
        <v>2019</v>
      </c>
      <c r="B426" s="11" t="s">
        <v>260</v>
      </c>
      <c r="C426" s="13">
        <v>3137</v>
      </c>
      <c r="D426" s="13">
        <v>1539</v>
      </c>
      <c r="E426" s="13">
        <v>1598</v>
      </c>
    </row>
    <row r="427" spans="1:5" x14ac:dyDescent="0.25">
      <c r="A427" s="11">
        <v>2019</v>
      </c>
      <c r="B427" s="11" t="s">
        <v>261</v>
      </c>
      <c r="C427" s="13">
        <v>916</v>
      </c>
      <c r="D427" s="13">
        <v>434</v>
      </c>
      <c r="E427" s="13">
        <v>482</v>
      </c>
    </row>
    <row r="428" spans="1:5" x14ac:dyDescent="0.25">
      <c r="A428" s="11">
        <v>2019</v>
      </c>
      <c r="B428" s="11" t="s">
        <v>233</v>
      </c>
      <c r="C428" s="13">
        <v>1153</v>
      </c>
      <c r="D428" s="13">
        <v>548</v>
      </c>
      <c r="E428" s="13">
        <v>605</v>
      </c>
    </row>
    <row r="429" spans="1:5" x14ac:dyDescent="0.25">
      <c r="A429" s="11">
        <v>2019</v>
      </c>
      <c r="B429" s="11" t="s">
        <v>240</v>
      </c>
      <c r="C429" s="13">
        <v>3325</v>
      </c>
      <c r="D429" s="13">
        <v>1599</v>
      </c>
      <c r="E429" s="13">
        <v>1726</v>
      </c>
    </row>
    <row r="430" spans="1:5" x14ac:dyDescent="0.25">
      <c r="A430" s="11">
        <v>2019</v>
      </c>
      <c r="B430" s="11" t="s">
        <v>262</v>
      </c>
      <c r="C430" s="13">
        <v>2611</v>
      </c>
      <c r="D430" s="13">
        <v>1247</v>
      </c>
      <c r="E430" s="13">
        <v>1364</v>
      </c>
    </row>
    <row r="431" spans="1:5" x14ac:dyDescent="0.25">
      <c r="A431" s="11">
        <v>2019</v>
      </c>
      <c r="B431" s="11" t="s">
        <v>263</v>
      </c>
      <c r="C431" s="13">
        <v>5476</v>
      </c>
      <c r="D431" s="13">
        <v>2707</v>
      </c>
      <c r="E431" s="13">
        <v>2769</v>
      </c>
    </row>
    <row r="432" spans="1:5" x14ac:dyDescent="0.25">
      <c r="A432" s="11">
        <v>2019</v>
      </c>
      <c r="B432" s="11" t="s">
        <v>264</v>
      </c>
      <c r="C432" s="13">
        <v>11424</v>
      </c>
      <c r="D432" s="13">
        <v>5535</v>
      </c>
      <c r="E432" s="13">
        <v>5889</v>
      </c>
    </row>
    <row r="433" spans="1:5" x14ac:dyDescent="0.25">
      <c r="A433" s="11">
        <v>2019</v>
      </c>
      <c r="B433" s="11" t="s">
        <v>242</v>
      </c>
      <c r="C433" s="13">
        <v>2597</v>
      </c>
      <c r="D433" s="13">
        <v>1234</v>
      </c>
      <c r="E433" s="13">
        <v>1363</v>
      </c>
    </row>
    <row r="434" spans="1:5" x14ac:dyDescent="0.25">
      <c r="A434" s="11">
        <v>2019</v>
      </c>
      <c r="B434" s="11" t="s">
        <v>265</v>
      </c>
      <c r="C434" s="13">
        <v>6547</v>
      </c>
      <c r="D434" s="13">
        <v>3226</v>
      </c>
      <c r="E434" s="13">
        <v>3321</v>
      </c>
    </row>
    <row r="435" spans="1:5" x14ac:dyDescent="0.25">
      <c r="A435" s="11">
        <v>2019</v>
      </c>
      <c r="B435" s="11" t="s">
        <v>266</v>
      </c>
      <c r="C435" s="13">
        <v>8511</v>
      </c>
      <c r="D435" s="13">
        <v>4100</v>
      </c>
      <c r="E435" s="13">
        <v>4411</v>
      </c>
    </row>
    <row r="436" spans="1:5" x14ac:dyDescent="0.25">
      <c r="A436" s="11">
        <v>2019</v>
      </c>
      <c r="B436" s="11" t="s">
        <v>267</v>
      </c>
      <c r="C436" s="13">
        <v>182</v>
      </c>
      <c r="D436" s="13">
        <v>81</v>
      </c>
      <c r="E436" s="13">
        <v>101</v>
      </c>
    </row>
    <row r="437" spans="1:5" x14ac:dyDescent="0.25">
      <c r="A437" s="11">
        <v>2019</v>
      </c>
      <c r="B437" s="11" t="s">
        <v>268</v>
      </c>
      <c r="C437" s="13">
        <v>205</v>
      </c>
      <c r="D437" s="13">
        <v>106</v>
      </c>
      <c r="E437" s="13">
        <v>99</v>
      </c>
    </row>
    <row r="438" spans="1:5" x14ac:dyDescent="0.25">
      <c r="A438" s="11">
        <v>2019</v>
      </c>
      <c r="B438" s="11" t="s">
        <v>269</v>
      </c>
      <c r="C438" s="13">
        <v>3579</v>
      </c>
      <c r="D438" s="13">
        <v>1711</v>
      </c>
      <c r="E438" s="13">
        <v>1868</v>
      </c>
    </row>
    <row r="439" spans="1:5" x14ac:dyDescent="0.25">
      <c r="A439" s="11">
        <v>2019</v>
      </c>
      <c r="B439" s="11" t="s">
        <v>270</v>
      </c>
      <c r="C439" s="13">
        <v>200</v>
      </c>
      <c r="D439" s="13">
        <v>109</v>
      </c>
      <c r="E439" s="13">
        <v>91</v>
      </c>
    </row>
    <row r="440" spans="1:5" x14ac:dyDescent="0.25">
      <c r="A440" s="11">
        <v>2020</v>
      </c>
      <c r="B440" s="11" t="s">
        <v>11</v>
      </c>
      <c r="C440" s="13">
        <v>46809</v>
      </c>
      <c r="D440" s="13">
        <v>22837</v>
      </c>
      <c r="E440" s="13">
        <v>23972</v>
      </c>
    </row>
    <row r="441" spans="1:5" x14ac:dyDescent="0.25">
      <c r="A441" s="11">
        <v>2020</v>
      </c>
      <c r="B441" s="11" t="s">
        <v>260</v>
      </c>
      <c r="C441" s="13">
        <v>3037</v>
      </c>
      <c r="D441" s="13">
        <v>1489</v>
      </c>
      <c r="E441" s="13">
        <v>1548</v>
      </c>
    </row>
    <row r="442" spans="1:5" x14ac:dyDescent="0.25">
      <c r="A442" s="11">
        <v>2020</v>
      </c>
      <c r="B442" s="11" t="s">
        <v>261</v>
      </c>
      <c r="C442" s="13">
        <v>845</v>
      </c>
      <c r="D442" s="13">
        <v>380</v>
      </c>
      <c r="E442" s="13">
        <v>465</v>
      </c>
    </row>
    <row r="443" spans="1:5" x14ac:dyDescent="0.25">
      <c r="A443" s="11">
        <v>2020</v>
      </c>
      <c r="B443" s="11" t="s">
        <v>233</v>
      </c>
      <c r="C443" s="13">
        <v>1137</v>
      </c>
      <c r="D443" s="13">
        <v>547</v>
      </c>
      <c r="E443" s="13">
        <v>590</v>
      </c>
    </row>
    <row r="444" spans="1:5" x14ac:dyDescent="0.25">
      <c r="A444" s="11">
        <v>2020</v>
      </c>
      <c r="B444" s="11" t="s">
        <v>240</v>
      </c>
      <c r="C444" s="13">
        <v>3144</v>
      </c>
      <c r="D444" s="13">
        <v>1509</v>
      </c>
      <c r="E444" s="13">
        <v>1635</v>
      </c>
    </row>
    <row r="445" spans="1:5" x14ac:dyDescent="0.25">
      <c r="A445" s="11">
        <v>2020</v>
      </c>
      <c r="B445" s="11" t="s">
        <v>262</v>
      </c>
      <c r="C445" s="13">
        <v>2572</v>
      </c>
      <c r="D445" s="13">
        <v>1236</v>
      </c>
      <c r="E445" s="13">
        <v>1336</v>
      </c>
    </row>
    <row r="446" spans="1:5" x14ac:dyDescent="0.25">
      <c r="A446" s="11">
        <v>2020</v>
      </c>
      <c r="B446" s="11" t="s">
        <v>263</v>
      </c>
      <c r="C446" s="13">
        <v>5149</v>
      </c>
      <c r="D446" s="13">
        <v>2484</v>
      </c>
      <c r="E446" s="13">
        <v>2665</v>
      </c>
    </row>
    <row r="447" spans="1:5" x14ac:dyDescent="0.25">
      <c r="A447" s="11">
        <v>2020</v>
      </c>
      <c r="B447" s="11" t="s">
        <v>264</v>
      </c>
      <c r="C447" s="13">
        <v>10473</v>
      </c>
      <c r="D447" s="13">
        <v>5191</v>
      </c>
      <c r="E447" s="13">
        <v>5282</v>
      </c>
    </row>
    <row r="448" spans="1:5" x14ac:dyDescent="0.25">
      <c r="A448" s="11">
        <v>2020</v>
      </c>
      <c r="B448" s="11" t="s">
        <v>242</v>
      </c>
      <c r="C448" s="13">
        <v>2457</v>
      </c>
      <c r="D448" s="13">
        <v>1204</v>
      </c>
      <c r="E448" s="13">
        <v>1253</v>
      </c>
    </row>
    <row r="449" spans="1:5" x14ac:dyDescent="0.25">
      <c r="A449" s="11">
        <v>2020</v>
      </c>
      <c r="B449" s="11" t="s">
        <v>265</v>
      </c>
      <c r="C449" s="13">
        <v>5969</v>
      </c>
      <c r="D449" s="13">
        <v>2941</v>
      </c>
      <c r="E449" s="13">
        <v>3028</v>
      </c>
    </row>
    <row r="450" spans="1:5" x14ac:dyDescent="0.25">
      <c r="A450" s="11">
        <v>2020</v>
      </c>
      <c r="B450" s="11" t="s">
        <v>266</v>
      </c>
      <c r="C450" s="13">
        <v>8151</v>
      </c>
      <c r="D450" s="13">
        <v>3999</v>
      </c>
      <c r="E450" s="13">
        <v>4152</v>
      </c>
    </row>
    <row r="451" spans="1:5" x14ac:dyDescent="0.25">
      <c r="A451" s="11">
        <v>2020</v>
      </c>
      <c r="B451" s="11" t="s">
        <v>267</v>
      </c>
      <c r="C451" s="13">
        <v>183</v>
      </c>
      <c r="D451" s="13">
        <v>88</v>
      </c>
      <c r="E451" s="13">
        <v>95</v>
      </c>
    </row>
    <row r="452" spans="1:5" x14ac:dyDescent="0.25">
      <c r="A452" s="11">
        <v>2020</v>
      </c>
      <c r="B452" s="11" t="s">
        <v>268</v>
      </c>
      <c r="C452" s="13">
        <v>176</v>
      </c>
      <c r="D452" s="13">
        <v>86</v>
      </c>
      <c r="E452" s="13">
        <v>90</v>
      </c>
    </row>
    <row r="453" spans="1:5" x14ac:dyDescent="0.25">
      <c r="A453" s="11">
        <v>2020</v>
      </c>
      <c r="B453" s="11" t="s">
        <v>269</v>
      </c>
      <c r="C453" s="13">
        <v>3333</v>
      </c>
      <c r="D453" s="13">
        <v>1590</v>
      </c>
      <c r="E453" s="13">
        <v>1743</v>
      </c>
    </row>
    <row r="454" spans="1:5" x14ac:dyDescent="0.25">
      <c r="A454" s="11">
        <v>2020</v>
      </c>
      <c r="B454" s="11" t="s">
        <v>270</v>
      </c>
      <c r="C454" s="13">
        <v>183</v>
      </c>
      <c r="D454" s="13">
        <v>93</v>
      </c>
      <c r="E454" s="13">
        <v>90</v>
      </c>
    </row>
    <row r="455" spans="1:5" x14ac:dyDescent="0.25">
      <c r="A455" s="11">
        <v>2021</v>
      </c>
      <c r="B455" s="11" t="s">
        <v>11</v>
      </c>
      <c r="C455" s="13">
        <v>47786</v>
      </c>
      <c r="D455" s="13">
        <v>23244</v>
      </c>
      <c r="E455" s="13">
        <v>24542</v>
      </c>
    </row>
    <row r="456" spans="1:5" x14ac:dyDescent="0.25">
      <c r="A456" s="11">
        <v>2021</v>
      </c>
      <c r="B456" s="11" t="s">
        <v>260</v>
      </c>
      <c r="C456" s="13">
        <v>2965</v>
      </c>
      <c r="D456" s="13">
        <v>1446</v>
      </c>
      <c r="E456" s="13">
        <v>1519</v>
      </c>
    </row>
    <row r="457" spans="1:5" x14ac:dyDescent="0.25">
      <c r="A457" s="11">
        <v>2021</v>
      </c>
      <c r="B457" s="11" t="s">
        <v>261</v>
      </c>
      <c r="C457" s="13">
        <v>852</v>
      </c>
      <c r="D457" s="13">
        <v>406</v>
      </c>
      <c r="E457" s="13">
        <v>446</v>
      </c>
    </row>
    <row r="458" spans="1:5" x14ac:dyDescent="0.25">
      <c r="A458" s="11">
        <v>2021</v>
      </c>
      <c r="B458" s="11" t="s">
        <v>233</v>
      </c>
      <c r="C458" s="13">
        <v>1083</v>
      </c>
      <c r="D458" s="13">
        <v>525</v>
      </c>
      <c r="E458" s="13">
        <v>558</v>
      </c>
    </row>
    <row r="459" spans="1:5" x14ac:dyDescent="0.25">
      <c r="A459" s="11">
        <v>2021</v>
      </c>
      <c r="B459" s="11" t="s">
        <v>240</v>
      </c>
      <c r="C459" s="13">
        <v>3157</v>
      </c>
      <c r="D459" s="13">
        <v>1534</v>
      </c>
      <c r="E459" s="13">
        <v>1623</v>
      </c>
    </row>
    <row r="460" spans="1:5" x14ac:dyDescent="0.25">
      <c r="A460" s="11">
        <v>2021</v>
      </c>
      <c r="B460" s="11" t="s">
        <v>262</v>
      </c>
      <c r="C460" s="13">
        <v>2634</v>
      </c>
      <c r="D460" s="13">
        <v>1259</v>
      </c>
      <c r="E460" s="13">
        <v>1375</v>
      </c>
    </row>
    <row r="461" spans="1:5" x14ac:dyDescent="0.25">
      <c r="A461" s="11">
        <v>2021</v>
      </c>
      <c r="B461" s="11" t="s">
        <v>263</v>
      </c>
      <c r="C461" s="13">
        <v>5226</v>
      </c>
      <c r="D461" s="13">
        <v>2579</v>
      </c>
      <c r="E461" s="13">
        <v>2647</v>
      </c>
    </row>
    <row r="462" spans="1:5" x14ac:dyDescent="0.25">
      <c r="A462" s="11">
        <v>2021</v>
      </c>
      <c r="B462" s="11" t="s">
        <v>264</v>
      </c>
      <c r="C462" s="13">
        <v>10638</v>
      </c>
      <c r="D462" s="13">
        <v>5139</v>
      </c>
      <c r="E462" s="13">
        <v>5499</v>
      </c>
    </row>
    <row r="463" spans="1:5" x14ac:dyDescent="0.25">
      <c r="A463" s="11">
        <v>2021</v>
      </c>
      <c r="B463" s="11" t="s">
        <v>242</v>
      </c>
      <c r="C463" s="13">
        <v>2484</v>
      </c>
      <c r="D463" s="13">
        <v>1227</v>
      </c>
      <c r="E463" s="13">
        <v>1257</v>
      </c>
    </row>
    <row r="464" spans="1:5" x14ac:dyDescent="0.25">
      <c r="A464" s="11">
        <v>2021</v>
      </c>
      <c r="B464" s="11" t="s">
        <v>265</v>
      </c>
      <c r="C464" s="13">
        <v>6405</v>
      </c>
      <c r="D464" s="13">
        <v>3079</v>
      </c>
      <c r="E464" s="13">
        <v>3326</v>
      </c>
    </row>
    <row r="465" spans="1:5" x14ac:dyDescent="0.25">
      <c r="A465" s="11">
        <v>2021</v>
      </c>
      <c r="B465" s="11" t="s">
        <v>266</v>
      </c>
      <c r="C465" s="13">
        <v>8426</v>
      </c>
      <c r="D465" s="13">
        <v>4120</v>
      </c>
      <c r="E465" s="13">
        <v>4306</v>
      </c>
    </row>
    <row r="466" spans="1:5" x14ac:dyDescent="0.25">
      <c r="A466" s="11">
        <v>2021</v>
      </c>
      <c r="B466" s="11" t="s">
        <v>267</v>
      </c>
      <c r="C466" s="13">
        <v>171</v>
      </c>
      <c r="D466" s="13">
        <v>73</v>
      </c>
      <c r="E466" s="13">
        <v>98</v>
      </c>
    </row>
    <row r="467" spans="1:5" x14ac:dyDescent="0.25">
      <c r="A467" s="11">
        <v>2021</v>
      </c>
      <c r="B467" s="11" t="s">
        <v>268</v>
      </c>
      <c r="C467" s="13">
        <v>200</v>
      </c>
      <c r="D467" s="13">
        <v>94</v>
      </c>
      <c r="E467" s="13">
        <v>106</v>
      </c>
    </row>
    <row r="468" spans="1:5" x14ac:dyDescent="0.25">
      <c r="A468" s="11">
        <v>2021</v>
      </c>
      <c r="B468" s="11" t="s">
        <v>269</v>
      </c>
      <c r="C468" s="13">
        <v>3364</v>
      </c>
      <c r="D468" s="13">
        <v>1674</v>
      </c>
      <c r="E468" s="13">
        <v>1690</v>
      </c>
    </row>
    <row r="469" spans="1:5" x14ac:dyDescent="0.25">
      <c r="A469" s="11">
        <v>2021</v>
      </c>
      <c r="B469" s="11" t="s">
        <v>270</v>
      </c>
      <c r="C469" s="13">
        <v>181</v>
      </c>
      <c r="D469" s="13">
        <v>89</v>
      </c>
      <c r="E469" s="13">
        <v>92</v>
      </c>
    </row>
    <row r="470" spans="1:5" x14ac:dyDescent="0.25">
      <c r="A470" s="11">
        <v>2022</v>
      </c>
      <c r="B470" s="11" t="s">
        <v>11</v>
      </c>
      <c r="C470" s="13">
        <v>46959</v>
      </c>
      <c r="D470" s="13">
        <v>22700</v>
      </c>
      <c r="E470" s="13">
        <v>24259</v>
      </c>
    </row>
    <row r="471" spans="1:5" x14ac:dyDescent="0.25">
      <c r="A471" s="11">
        <v>2022</v>
      </c>
      <c r="B471" s="11" t="s">
        <v>260</v>
      </c>
      <c r="C471" s="13">
        <v>2812</v>
      </c>
      <c r="D471" s="13">
        <v>1374</v>
      </c>
      <c r="E471" s="13">
        <v>1438</v>
      </c>
    </row>
    <row r="472" spans="1:5" x14ac:dyDescent="0.25">
      <c r="A472" s="11">
        <v>2022</v>
      </c>
      <c r="B472" s="11" t="s">
        <v>261</v>
      </c>
      <c r="C472" s="13">
        <v>847</v>
      </c>
      <c r="D472" s="13">
        <v>410</v>
      </c>
      <c r="E472" s="13">
        <v>437</v>
      </c>
    </row>
    <row r="473" spans="1:5" x14ac:dyDescent="0.25">
      <c r="A473" s="11">
        <v>2022</v>
      </c>
      <c r="B473" s="11" t="s">
        <v>233</v>
      </c>
      <c r="C473" s="13">
        <v>1093</v>
      </c>
      <c r="D473" s="13">
        <v>543</v>
      </c>
      <c r="E473" s="13">
        <v>550</v>
      </c>
    </row>
    <row r="474" spans="1:5" x14ac:dyDescent="0.25">
      <c r="A474" s="11">
        <v>2022</v>
      </c>
      <c r="B474" s="11" t="s">
        <v>240</v>
      </c>
      <c r="C474" s="13">
        <v>2990</v>
      </c>
      <c r="D474" s="13">
        <v>1470</v>
      </c>
      <c r="E474" s="13">
        <v>1520</v>
      </c>
    </row>
    <row r="475" spans="1:5" x14ac:dyDescent="0.25">
      <c r="A475" s="11">
        <v>2022</v>
      </c>
      <c r="B475" s="11" t="s">
        <v>262</v>
      </c>
      <c r="C475" s="13">
        <v>2530</v>
      </c>
      <c r="D475" s="13">
        <v>1229</v>
      </c>
      <c r="E475" s="13">
        <v>1301</v>
      </c>
    </row>
    <row r="476" spans="1:5" x14ac:dyDescent="0.25">
      <c r="A476" s="11">
        <v>2022</v>
      </c>
      <c r="B476" s="11" t="s">
        <v>263</v>
      </c>
      <c r="C476" s="13">
        <v>4834</v>
      </c>
      <c r="D476" s="13">
        <v>2348</v>
      </c>
      <c r="E476" s="13">
        <v>2486</v>
      </c>
    </row>
    <row r="477" spans="1:5" x14ac:dyDescent="0.25">
      <c r="A477" s="11">
        <v>2022</v>
      </c>
      <c r="B477" s="11" t="s">
        <v>264</v>
      </c>
      <c r="C477" s="13">
        <v>10966</v>
      </c>
      <c r="D477" s="13">
        <v>5193</v>
      </c>
      <c r="E477" s="13">
        <v>5773</v>
      </c>
    </row>
    <row r="478" spans="1:5" x14ac:dyDescent="0.25">
      <c r="A478" s="11">
        <v>2022</v>
      </c>
      <c r="B478" s="11" t="s">
        <v>242</v>
      </c>
      <c r="C478" s="13">
        <v>2488</v>
      </c>
      <c r="D478" s="13">
        <v>1202</v>
      </c>
      <c r="E478" s="13">
        <v>1286</v>
      </c>
    </row>
    <row r="479" spans="1:5" x14ac:dyDescent="0.25">
      <c r="A479" s="11">
        <v>2022</v>
      </c>
      <c r="B479" s="11" t="s">
        <v>265</v>
      </c>
      <c r="C479" s="13">
        <v>6309</v>
      </c>
      <c r="D479" s="13">
        <v>3062</v>
      </c>
      <c r="E479" s="13">
        <v>3247</v>
      </c>
    </row>
    <row r="480" spans="1:5" x14ac:dyDescent="0.25">
      <c r="A480" s="11">
        <v>2022</v>
      </c>
      <c r="B480" s="11" t="s">
        <v>266</v>
      </c>
      <c r="C480" s="13">
        <v>8127</v>
      </c>
      <c r="D480" s="13">
        <v>3966</v>
      </c>
      <c r="E480" s="13">
        <v>4161</v>
      </c>
    </row>
    <row r="481" spans="1:5" x14ac:dyDescent="0.25">
      <c r="A481" s="11">
        <v>2022</v>
      </c>
      <c r="B481" s="11" t="s">
        <v>267</v>
      </c>
      <c r="C481" s="13">
        <v>163</v>
      </c>
      <c r="D481" s="13">
        <v>69</v>
      </c>
      <c r="E481" s="13">
        <v>94</v>
      </c>
    </row>
    <row r="482" spans="1:5" x14ac:dyDescent="0.25">
      <c r="A482" s="11">
        <v>2022</v>
      </c>
      <c r="B482" s="11" t="s">
        <v>268</v>
      </c>
      <c r="C482" s="13">
        <v>207</v>
      </c>
      <c r="D482" s="13">
        <v>90</v>
      </c>
      <c r="E482" s="13">
        <v>117</v>
      </c>
    </row>
    <row r="483" spans="1:5" x14ac:dyDescent="0.25">
      <c r="A483" s="11">
        <v>2022</v>
      </c>
      <c r="B483" s="11" t="s">
        <v>269</v>
      </c>
      <c r="C483" s="13">
        <v>3411</v>
      </c>
      <c r="D483" s="13">
        <v>1657</v>
      </c>
      <c r="E483" s="13">
        <v>1754</v>
      </c>
    </row>
    <row r="484" spans="1:5" x14ac:dyDescent="0.25">
      <c r="A484" s="11">
        <v>2022</v>
      </c>
      <c r="B484" s="11" t="s">
        <v>270</v>
      </c>
      <c r="C484" s="13">
        <v>182</v>
      </c>
      <c r="D484" s="13">
        <v>87</v>
      </c>
      <c r="E484" s="13">
        <v>95</v>
      </c>
    </row>
    <row r="485" spans="1:5" x14ac:dyDescent="0.25">
      <c r="A485" s="11">
        <v>2023</v>
      </c>
      <c r="B485" s="11" t="s">
        <v>11</v>
      </c>
      <c r="C485" s="13">
        <v>45935</v>
      </c>
      <c r="D485" s="13">
        <v>22341</v>
      </c>
      <c r="E485" s="13">
        <v>23594</v>
      </c>
    </row>
    <row r="486" spans="1:5" x14ac:dyDescent="0.25">
      <c r="A486" s="11">
        <v>2023</v>
      </c>
      <c r="B486" s="11" t="s">
        <v>260</v>
      </c>
      <c r="C486" s="13">
        <v>2843</v>
      </c>
      <c r="D486" s="13">
        <v>1401</v>
      </c>
      <c r="E486" s="13">
        <v>1442</v>
      </c>
    </row>
    <row r="487" spans="1:5" x14ac:dyDescent="0.25">
      <c r="A487" s="11">
        <v>2023</v>
      </c>
      <c r="B487" s="11" t="s">
        <v>261</v>
      </c>
      <c r="C487" s="13">
        <v>825</v>
      </c>
      <c r="D487" s="13">
        <v>380</v>
      </c>
      <c r="E487" s="13">
        <v>445</v>
      </c>
    </row>
    <row r="488" spans="1:5" x14ac:dyDescent="0.25">
      <c r="A488" s="11">
        <v>2023</v>
      </c>
      <c r="B488" s="11" t="s">
        <v>233</v>
      </c>
      <c r="C488" s="13">
        <v>1123</v>
      </c>
      <c r="D488" s="13">
        <v>552</v>
      </c>
      <c r="E488" s="13">
        <v>571</v>
      </c>
    </row>
    <row r="489" spans="1:5" x14ac:dyDescent="0.25">
      <c r="A489" s="11">
        <v>2023</v>
      </c>
      <c r="B489" s="11" t="s">
        <v>240</v>
      </c>
      <c r="C489" s="13">
        <v>2939</v>
      </c>
      <c r="D489" s="13">
        <v>1445</v>
      </c>
      <c r="E489" s="13">
        <v>1494</v>
      </c>
    </row>
    <row r="490" spans="1:5" x14ac:dyDescent="0.25">
      <c r="A490" s="11">
        <v>2023</v>
      </c>
      <c r="B490" s="11" t="s">
        <v>262</v>
      </c>
      <c r="C490" s="13">
        <v>2414</v>
      </c>
      <c r="D490" s="13">
        <v>1187</v>
      </c>
      <c r="E490" s="13">
        <v>1227</v>
      </c>
    </row>
    <row r="491" spans="1:5" x14ac:dyDescent="0.25">
      <c r="A491" s="11">
        <v>2023</v>
      </c>
      <c r="B491" s="11" t="s">
        <v>263</v>
      </c>
      <c r="C491" s="13">
        <v>4924</v>
      </c>
      <c r="D491" s="13">
        <v>2424</v>
      </c>
      <c r="E491" s="13">
        <v>2500</v>
      </c>
    </row>
    <row r="492" spans="1:5" x14ac:dyDescent="0.25">
      <c r="A492" s="11">
        <v>2023</v>
      </c>
      <c r="B492" s="11" t="s">
        <v>264</v>
      </c>
      <c r="C492" s="13">
        <v>10666</v>
      </c>
      <c r="D492" s="13">
        <v>5190</v>
      </c>
      <c r="E492" s="13">
        <v>5476</v>
      </c>
    </row>
    <row r="493" spans="1:5" x14ac:dyDescent="0.25">
      <c r="A493" s="11">
        <v>2023</v>
      </c>
      <c r="B493" s="11" t="s">
        <v>242</v>
      </c>
      <c r="C493" s="13">
        <v>2367</v>
      </c>
      <c r="D493" s="13">
        <v>1112</v>
      </c>
      <c r="E493" s="13">
        <v>1255</v>
      </c>
    </row>
    <row r="494" spans="1:5" x14ac:dyDescent="0.25">
      <c r="A494" s="11">
        <v>2023</v>
      </c>
      <c r="B494" s="11" t="s">
        <v>265</v>
      </c>
      <c r="C494" s="13">
        <v>6121</v>
      </c>
      <c r="D494" s="13">
        <v>3039</v>
      </c>
      <c r="E494" s="13">
        <v>3082</v>
      </c>
    </row>
    <row r="495" spans="1:5" x14ac:dyDescent="0.25">
      <c r="A495" s="11">
        <v>2023</v>
      </c>
      <c r="B495" s="11" t="s">
        <v>266</v>
      </c>
      <c r="C495" s="13">
        <v>7931</v>
      </c>
      <c r="D495" s="13">
        <v>3814</v>
      </c>
      <c r="E495" s="13">
        <v>4117</v>
      </c>
    </row>
    <row r="496" spans="1:5" x14ac:dyDescent="0.25">
      <c r="A496" s="11">
        <v>2023</v>
      </c>
      <c r="B496" s="11" t="s">
        <v>267</v>
      </c>
      <c r="C496" s="13">
        <v>162</v>
      </c>
      <c r="D496" s="13">
        <v>74</v>
      </c>
      <c r="E496" s="13">
        <v>88</v>
      </c>
    </row>
    <row r="497" spans="1:5" x14ac:dyDescent="0.25">
      <c r="A497" s="11">
        <v>2023</v>
      </c>
      <c r="B497" s="11" t="s">
        <v>268</v>
      </c>
      <c r="C497" s="13">
        <v>177</v>
      </c>
      <c r="D497" s="13">
        <v>81</v>
      </c>
      <c r="E497" s="13">
        <v>96</v>
      </c>
    </row>
    <row r="498" spans="1:5" x14ac:dyDescent="0.25">
      <c r="A498" s="11">
        <v>2023</v>
      </c>
      <c r="B498" s="11" t="s">
        <v>269</v>
      </c>
      <c r="C498" s="13">
        <v>3269</v>
      </c>
      <c r="D498" s="13">
        <v>1559</v>
      </c>
      <c r="E498" s="13">
        <v>1710</v>
      </c>
    </row>
    <row r="499" spans="1:5" x14ac:dyDescent="0.25">
      <c r="A499" s="11">
        <v>2023</v>
      </c>
      <c r="B499" s="11" t="s">
        <v>270</v>
      </c>
      <c r="C499" s="13">
        <v>174</v>
      </c>
      <c r="D499" s="13">
        <v>83</v>
      </c>
      <c r="E499" s="13">
        <v>91</v>
      </c>
    </row>
    <row r="500" spans="1:5" x14ac:dyDescent="0.25">
      <c r="A500" s="11">
        <v>2024</v>
      </c>
      <c r="B500" s="11" t="s">
        <v>11</v>
      </c>
      <c r="C500" s="13">
        <v>45763</v>
      </c>
      <c r="D500" s="13">
        <v>22334</v>
      </c>
      <c r="E500" s="13">
        <v>23429</v>
      </c>
    </row>
    <row r="501" spans="1:5" x14ac:dyDescent="0.25">
      <c r="A501" s="11">
        <v>2024</v>
      </c>
      <c r="B501" s="11" t="s">
        <v>260</v>
      </c>
      <c r="C501" s="13">
        <v>2812</v>
      </c>
      <c r="D501" s="13">
        <v>1339</v>
      </c>
      <c r="E501" s="13">
        <v>1473</v>
      </c>
    </row>
    <row r="502" spans="1:5" x14ac:dyDescent="0.25">
      <c r="A502" s="11">
        <v>2024</v>
      </c>
      <c r="B502" s="11" t="s">
        <v>261</v>
      </c>
      <c r="C502" s="13">
        <v>835</v>
      </c>
      <c r="D502" s="13">
        <v>402</v>
      </c>
      <c r="E502" s="13">
        <v>433</v>
      </c>
    </row>
    <row r="503" spans="1:5" x14ac:dyDescent="0.25">
      <c r="A503" s="11">
        <v>2024</v>
      </c>
      <c r="B503" s="11" t="s">
        <v>233</v>
      </c>
      <c r="C503" s="13">
        <v>1054</v>
      </c>
      <c r="D503" s="13">
        <v>494</v>
      </c>
      <c r="E503" s="13">
        <v>560</v>
      </c>
    </row>
    <row r="504" spans="1:5" x14ac:dyDescent="0.25">
      <c r="A504" s="11">
        <v>2024</v>
      </c>
      <c r="B504" s="11" t="s">
        <v>240</v>
      </c>
      <c r="C504" s="13">
        <v>2815</v>
      </c>
      <c r="D504" s="13">
        <v>1352</v>
      </c>
      <c r="E504" s="13">
        <v>1463</v>
      </c>
    </row>
    <row r="505" spans="1:5" x14ac:dyDescent="0.25">
      <c r="A505" s="11">
        <v>2024</v>
      </c>
      <c r="B505" s="11" t="s">
        <v>262</v>
      </c>
      <c r="C505" s="13">
        <v>2382</v>
      </c>
      <c r="D505" s="13">
        <v>1189</v>
      </c>
      <c r="E505" s="13">
        <v>1193</v>
      </c>
    </row>
    <row r="506" spans="1:5" x14ac:dyDescent="0.25">
      <c r="A506" s="11">
        <v>2024</v>
      </c>
      <c r="B506" s="11" t="s">
        <v>263</v>
      </c>
      <c r="C506" s="13">
        <v>4478</v>
      </c>
      <c r="D506" s="13">
        <v>2179</v>
      </c>
      <c r="E506" s="13">
        <v>2299</v>
      </c>
    </row>
    <row r="507" spans="1:5" x14ac:dyDescent="0.25">
      <c r="A507" s="11">
        <v>2024</v>
      </c>
      <c r="B507" s="11" t="s">
        <v>264</v>
      </c>
      <c r="C507" s="13">
        <v>10852</v>
      </c>
      <c r="D507" s="13">
        <v>5323</v>
      </c>
      <c r="E507" s="13">
        <v>5529</v>
      </c>
    </row>
    <row r="508" spans="1:5" x14ac:dyDescent="0.25">
      <c r="A508" s="11">
        <v>2024</v>
      </c>
      <c r="B508" s="11" t="s">
        <v>242</v>
      </c>
      <c r="C508" s="13">
        <v>2297</v>
      </c>
      <c r="D508" s="13">
        <v>1138</v>
      </c>
      <c r="E508" s="13">
        <v>1159</v>
      </c>
    </row>
    <row r="509" spans="1:5" x14ac:dyDescent="0.25">
      <c r="A509" s="11">
        <v>2024</v>
      </c>
      <c r="B509" s="11" t="s">
        <v>265</v>
      </c>
      <c r="C509" s="13">
        <v>6206</v>
      </c>
      <c r="D509" s="13">
        <v>3007</v>
      </c>
      <c r="E509" s="13">
        <v>3199</v>
      </c>
    </row>
    <row r="510" spans="1:5" x14ac:dyDescent="0.25">
      <c r="A510" s="11">
        <v>2024</v>
      </c>
      <c r="B510" s="11" t="s">
        <v>266</v>
      </c>
      <c r="C510" s="13">
        <v>8191</v>
      </c>
      <c r="D510" s="13">
        <v>4002</v>
      </c>
      <c r="E510" s="13">
        <v>4189</v>
      </c>
    </row>
    <row r="511" spans="1:5" x14ac:dyDescent="0.25">
      <c r="A511" s="11">
        <v>2024</v>
      </c>
      <c r="B511" s="11" t="s">
        <v>267</v>
      </c>
      <c r="C511" s="13">
        <v>146</v>
      </c>
      <c r="D511" s="13">
        <v>65</v>
      </c>
      <c r="E511" s="13">
        <v>81</v>
      </c>
    </row>
    <row r="512" spans="1:5" x14ac:dyDescent="0.25">
      <c r="A512" s="11">
        <v>2024</v>
      </c>
      <c r="B512" s="11" t="s">
        <v>268</v>
      </c>
      <c r="C512" s="13">
        <v>166</v>
      </c>
      <c r="D512" s="13">
        <v>88</v>
      </c>
      <c r="E512" s="13">
        <v>78</v>
      </c>
    </row>
    <row r="513" spans="1:5" x14ac:dyDescent="0.25">
      <c r="A513" s="11">
        <v>2024</v>
      </c>
      <c r="B513" s="11" t="s">
        <v>269</v>
      </c>
      <c r="C513" s="13">
        <v>3353</v>
      </c>
      <c r="D513" s="13">
        <v>1683</v>
      </c>
      <c r="E513" s="13">
        <v>1670</v>
      </c>
    </row>
    <row r="514" spans="1:5" x14ac:dyDescent="0.25">
      <c r="A514" s="11">
        <v>2024</v>
      </c>
      <c r="B514" s="11" t="s">
        <v>270</v>
      </c>
      <c r="C514" s="13">
        <v>176</v>
      </c>
      <c r="D514" s="13">
        <v>73</v>
      </c>
      <c r="E514" s="13">
        <v>103</v>
      </c>
    </row>
  </sheetData>
  <pageMargins left="0.7" right="0.7" top="0.75" bottom="0.75" header="0.3" footer="0.3"/>
  <pageSetup paperSize="9" orientation="portrait" horizontalDpi="300" verticalDpi="30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1126"/>
  <sheetViews>
    <sheetView topLeftCell="A39" workbookViewId="0">
      <selection sqref="A1:J59"/>
    </sheetView>
  </sheetViews>
  <sheetFormatPr defaultColWidth="11.6328125" defaultRowHeight="15" x14ac:dyDescent="0.25"/>
  <cols>
    <col min="1" max="1" width="10.6328125" bestFit="1" customWidth="1"/>
    <col min="2" max="2" width="21.6328125" bestFit="1" customWidth="1"/>
    <col min="3" max="10" width="10.90625" customWidth="1"/>
  </cols>
  <sheetData>
    <row r="1" spans="1:10" ht="21" x14ac:dyDescent="0.4">
      <c r="A1" s="5" t="s">
        <v>271</v>
      </c>
    </row>
    <row r="2" spans="1:10" x14ac:dyDescent="0.25">
      <c r="A2" t="s">
        <v>29</v>
      </c>
    </row>
    <row r="3" spans="1:10" x14ac:dyDescent="0.25">
      <c r="A3" s="16" t="str">
        <f>HYPERLINK("#'Contents'!A1", "back to contents")</f>
        <v>back to contents</v>
      </c>
    </row>
    <row r="4" spans="1:10" ht="15.6" x14ac:dyDescent="0.3">
      <c r="A4" s="10" t="s">
        <v>69</v>
      </c>
      <c r="B4" s="10" t="s">
        <v>226</v>
      </c>
      <c r="C4" s="12" t="s">
        <v>272</v>
      </c>
      <c r="D4" s="12" t="s">
        <v>273</v>
      </c>
      <c r="E4" s="12" t="s">
        <v>274</v>
      </c>
      <c r="F4" s="12" t="s">
        <v>171</v>
      </c>
      <c r="G4" s="12" t="s">
        <v>177</v>
      </c>
      <c r="H4" s="12" t="s">
        <v>183</v>
      </c>
      <c r="I4" s="12" t="s">
        <v>189</v>
      </c>
      <c r="J4" s="12" t="s">
        <v>275</v>
      </c>
    </row>
    <row r="5" spans="1:10" x14ac:dyDescent="0.25">
      <c r="A5" s="11">
        <v>1991</v>
      </c>
      <c r="B5" s="11" t="s">
        <v>11</v>
      </c>
      <c r="C5" s="13">
        <v>67024</v>
      </c>
      <c r="D5" s="13">
        <v>103</v>
      </c>
      <c r="E5" s="13">
        <v>5523</v>
      </c>
      <c r="F5" s="13">
        <v>16723</v>
      </c>
      <c r="G5" s="13">
        <v>24163</v>
      </c>
      <c r="H5" s="13">
        <v>15206</v>
      </c>
      <c r="I5" s="13">
        <v>4589</v>
      </c>
      <c r="J5" s="13">
        <v>717</v>
      </c>
    </row>
    <row r="6" spans="1:10" x14ac:dyDescent="0.25">
      <c r="A6" s="11">
        <v>1991</v>
      </c>
      <c r="B6" s="11" t="s">
        <v>227</v>
      </c>
      <c r="C6" s="13">
        <v>2697</v>
      </c>
      <c r="D6" s="13">
        <v>1</v>
      </c>
      <c r="E6" s="13">
        <v>200</v>
      </c>
      <c r="F6" s="13">
        <v>617</v>
      </c>
      <c r="G6" s="13">
        <v>985</v>
      </c>
      <c r="H6" s="13">
        <v>665</v>
      </c>
      <c r="I6" s="13">
        <v>202</v>
      </c>
      <c r="J6" s="13">
        <v>27</v>
      </c>
    </row>
    <row r="7" spans="1:10" x14ac:dyDescent="0.25">
      <c r="A7" s="11">
        <v>1991</v>
      </c>
      <c r="B7" s="11" t="s">
        <v>228</v>
      </c>
      <c r="C7" s="13">
        <v>2918</v>
      </c>
      <c r="D7" s="13">
        <v>3</v>
      </c>
      <c r="E7" s="13">
        <v>156</v>
      </c>
      <c r="F7" s="13">
        <v>696</v>
      </c>
      <c r="G7" s="13">
        <v>1131</v>
      </c>
      <c r="H7" s="13">
        <v>706</v>
      </c>
      <c r="I7" s="13">
        <v>185</v>
      </c>
      <c r="J7" s="13">
        <v>41</v>
      </c>
    </row>
    <row r="8" spans="1:10" x14ac:dyDescent="0.25">
      <c r="A8" s="11">
        <v>1991</v>
      </c>
      <c r="B8" s="11" t="s">
        <v>229</v>
      </c>
      <c r="C8" s="13">
        <v>1336</v>
      </c>
      <c r="D8" s="13">
        <v>0</v>
      </c>
      <c r="E8" s="13">
        <v>115</v>
      </c>
      <c r="F8" s="13">
        <v>346</v>
      </c>
      <c r="G8" s="13">
        <v>507</v>
      </c>
      <c r="H8" s="13">
        <v>283</v>
      </c>
      <c r="I8" s="13">
        <v>79</v>
      </c>
      <c r="J8" s="13">
        <v>6</v>
      </c>
    </row>
    <row r="9" spans="1:10" x14ac:dyDescent="0.25">
      <c r="A9" s="11">
        <v>1991</v>
      </c>
      <c r="B9" s="11" t="s">
        <v>230</v>
      </c>
      <c r="C9" s="13">
        <v>1220</v>
      </c>
      <c r="D9" s="13">
        <v>2</v>
      </c>
      <c r="E9" s="13">
        <v>90</v>
      </c>
      <c r="F9" s="13">
        <v>311</v>
      </c>
      <c r="G9" s="13">
        <v>415</v>
      </c>
      <c r="H9" s="13">
        <v>291</v>
      </c>
      <c r="I9" s="13">
        <v>98</v>
      </c>
      <c r="J9" s="13">
        <v>13</v>
      </c>
    </row>
    <row r="10" spans="1:10" x14ac:dyDescent="0.25">
      <c r="A10" s="11">
        <v>1991</v>
      </c>
      <c r="B10" s="11" t="s">
        <v>231</v>
      </c>
      <c r="C10" s="13">
        <v>5671</v>
      </c>
      <c r="D10" s="13">
        <v>1</v>
      </c>
      <c r="E10" s="13">
        <v>378</v>
      </c>
      <c r="F10" s="13">
        <v>1141</v>
      </c>
      <c r="G10" s="13">
        <v>1938</v>
      </c>
      <c r="H10" s="13">
        <v>1612</v>
      </c>
      <c r="I10" s="13">
        <v>517</v>
      </c>
      <c r="J10" s="13">
        <v>84</v>
      </c>
    </row>
    <row r="11" spans="1:10" x14ac:dyDescent="0.25">
      <c r="A11" s="11">
        <v>1991</v>
      </c>
      <c r="B11" s="11" t="s">
        <v>232</v>
      </c>
      <c r="C11" s="13">
        <v>663</v>
      </c>
      <c r="D11" s="13">
        <v>0</v>
      </c>
      <c r="E11" s="13">
        <v>65</v>
      </c>
      <c r="F11" s="13">
        <v>186</v>
      </c>
      <c r="G11" s="13">
        <v>248</v>
      </c>
      <c r="H11" s="13">
        <v>117</v>
      </c>
      <c r="I11" s="13">
        <v>41</v>
      </c>
      <c r="J11" s="13">
        <v>6</v>
      </c>
    </row>
    <row r="12" spans="1:10" x14ac:dyDescent="0.25">
      <c r="A12" s="11">
        <v>1991</v>
      </c>
      <c r="B12" s="11" t="s">
        <v>233</v>
      </c>
      <c r="C12" s="13">
        <v>1781</v>
      </c>
      <c r="D12" s="13">
        <v>2</v>
      </c>
      <c r="E12" s="13">
        <v>135</v>
      </c>
      <c r="F12" s="13">
        <v>488</v>
      </c>
      <c r="G12" s="13">
        <v>668</v>
      </c>
      <c r="H12" s="13">
        <v>360</v>
      </c>
      <c r="I12" s="13">
        <v>107</v>
      </c>
      <c r="J12" s="13">
        <v>21</v>
      </c>
    </row>
    <row r="13" spans="1:10" x14ac:dyDescent="0.25">
      <c r="A13" s="11">
        <v>1991</v>
      </c>
      <c r="B13" s="11" t="s">
        <v>234</v>
      </c>
      <c r="C13" s="13">
        <v>2017</v>
      </c>
      <c r="D13" s="13">
        <v>0</v>
      </c>
      <c r="E13" s="13">
        <v>207</v>
      </c>
      <c r="F13" s="13">
        <v>628</v>
      </c>
      <c r="G13" s="13">
        <v>655</v>
      </c>
      <c r="H13" s="13">
        <v>392</v>
      </c>
      <c r="I13" s="13">
        <v>109</v>
      </c>
      <c r="J13" s="13">
        <v>26</v>
      </c>
    </row>
    <row r="14" spans="1:10" x14ac:dyDescent="0.25">
      <c r="A14" s="11">
        <v>1991</v>
      </c>
      <c r="B14" s="11" t="s">
        <v>235</v>
      </c>
      <c r="C14" s="13">
        <v>1727</v>
      </c>
      <c r="D14" s="13">
        <v>4</v>
      </c>
      <c r="E14" s="13">
        <v>199</v>
      </c>
      <c r="F14" s="13">
        <v>512</v>
      </c>
      <c r="G14" s="13">
        <v>582</v>
      </c>
      <c r="H14" s="13">
        <v>326</v>
      </c>
      <c r="I14" s="13">
        <v>90</v>
      </c>
      <c r="J14" s="13">
        <v>14</v>
      </c>
    </row>
    <row r="15" spans="1:10" x14ac:dyDescent="0.25">
      <c r="A15" s="11">
        <v>1991</v>
      </c>
      <c r="B15" s="11" t="s">
        <v>236</v>
      </c>
      <c r="C15" s="13">
        <v>1370</v>
      </c>
      <c r="D15" s="13">
        <v>0</v>
      </c>
      <c r="E15" s="13">
        <v>53</v>
      </c>
      <c r="F15" s="13">
        <v>178</v>
      </c>
      <c r="G15" s="13">
        <v>511</v>
      </c>
      <c r="H15" s="13">
        <v>444</v>
      </c>
      <c r="I15" s="13">
        <v>164</v>
      </c>
      <c r="J15" s="13">
        <v>20</v>
      </c>
    </row>
    <row r="16" spans="1:10" x14ac:dyDescent="0.25">
      <c r="A16" s="11">
        <v>1991</v>
      </c>
      <c r="B16" s="11" t="s">
        <v>237</v>
      </c>
      <c r="C16" s="13">
        <v>1113</v>
      </c>
      <c r="D16" s="13">
        <v>0</v>
      </c>
      <c r="E16" s="13">
        <v>76</v>
      </c>
      <c r="F16" s="13">
        <v>250</v>
      </c>
      <c r="G16" s="13">
        <v>402</v>
      </c>
      <c r="H16" s="13">
        <v>294</v>
      </c>
      <c r="I16" s="13">
        <v>80</v>
      </c>
      <c r="J16" s="13">
        <v>11</v>
      </c>
    </row>
    <row r="17" spans="1:10" x14ac:dyDescent="0.25">
      <c r="A17" s="11">
        <v>1991</v>
      </c>
      <c r="B17" s="11" t="s">
        <v>238</v>
      </c>
      <c r="C17" s="13">
        <v>1123</v>
      </c>
      <c r="D17" s="13">
        <v>2</v>
      </c>
      <c r="E17" s="13">
        <v>27</v>
      </c>
      <c r="F17" s="13">
        <v>123</v>
      </c>
      <c r="G17" s="13">
        <v>425</v>
      </c>
      <c r="H17" s="13">
        <v>408</v>
      </c>
      <c r="I17" s="13">
        <v>119</v>
      </c>
      <c r="J17" s="13">
        <v>19</v>
      </c>
    </row>
    <row r="18" spans="1:10" x14ac:dyDescent="0.25">
      <c r="A18" s="11">
        <v>1991</v>
      </c>
      <c r="B18" s="11" t="s">
        <v>239</v>
      </c>
      <c r="C18" s="13">
        <v>1932</v>
      </c>
      <c r="D18" s="13">
        <v>3</v>
      </c>
      <c r="E18" s="13">
        <v>165</v>
      </c>
      <c r="F18" s="13">
        <v>507</v>
      </c>
      <c r="G18" s="13">
        <v>745</v>
      </c>
      <c r="H18" s="13">
        <v>399</v>
      </c>
      <c r="I18" s="13">
        <v>102</v>
      </c>
      <c r="J18" s="13">
        <v>11</v>
      </c>
    </row>
    <row r="19" spans="1:10" x14ac:dyDescent="0.25">
      <c r="A19" s="11">
        <v>1991</v>
      </c>
      <c r="B19" s="11" t="s">
        <v>240</v>
      </c>
      <c r="C19" s="13">
        <v>4388</v>
      </c>
      <c r="D19" s="13">
        <v>3</v>
      </c>
      <c r="E19" s="13">
        <v>419</v>
      </c>
      <c r="F19" s="13">
        <v>1175</v>
      </c>
      <c r="G19" s="13">
        <v>1636</v>
      </c>
      <c r="H19" s="13">
        <v>876</v>
      </c>
      <c r="I19" s="13">
        <v>239</v>
      </c>
      <c r="J19" s="13">
        <v>40</v>
      </c>
    </row>
    <row r="20" spans="1:10" x14ac:dyDescent="0.25">
      <c r="A20" s="11">
        <v>1991</v>
      </c>
      <c r="B20" s="11" t="s">
        <v>241</v>
      </c>
      <c r="C20" s="13">
        <v>9027</v>
      </c>
      <c r="D20" s="13">
        <v>4</v>
      </c>
      <c r="E20" s="13">
        <v>913</v>
      </c>
      <c r="F20" s="13">
        <v>2468</v>
      </c>
      <c r="G20" s="13">
        <v>3097</v>
      </c>
      <c r="H20" s="13">
        <v>1840</v>
      </c>
      <c r="I20" s="13">
        <v>605</v>
      </c>
      <c r="J20" s="13">
        <v>100</v>
      </c>
    </row>
    <row r="21" spans="1:10" x14ac:dyDescent="0.25">
      <c r="A21" s="11">
        <v>1991</v>
      </c>
      <c r="B21" s="11" t="s">
        <v>242</v>
      </c>
      <c r="C21" s="13">
        <v>2657</v>
      </c>
      <c r="D21" s="13">
        <v>3</v>
      </c>
      <c r="E21" s="13">
        <v>191</v>
      </c>
      <c r="F21" s="13">
        <v>687</v>
      </c>
      <c r="G21" s="13">
        <v>929</v>
      </c>
      <c r="H21" s="13">
        <v>611</v>
      </c>
      <c r="I21" s="13">
        <v>198</v>
      </c>
      <c r="J21" s="13">
        <v>38</v>
      </c>
    </row>
    <row r="22" spans="1:10" x14ac:dyDescent="0.25">
      <c r="A22" s="11">
        <v>1991</v>
      </c>
      <c r="B22" s="11" t="s">
        <v>243</v>
      </c>
      <c r="C22" s="13">
        <v>1185</v>
      </c>
      <c r="D22" s="13">
        <v>0</v>
      </c>
      <c r="E22" s="13">
        <v>124</v>
      </c>
      <c r="F22" s="13">
        <v>296</v>
      </c>
      <c r="G22" s="13">
        <v>421</v>
      </c>
      <c r="H22" s="13">
        <v>255</v>
      </c>
      <c r="I22" s="13">
        <v>75</v>
      </c>
      <c r="J22" s="13">
        <v>14</v>
      </c>
    </row>
    <row r="23" spans="1:10" x14ac:dyDescent="0.25">
      <c r="A23" s="11">
        <v>1991</v>
      </c>
      <c r="B23" s="11" t="s">
        <v>244</v>
      </c>
      <c r="C23" s="13">
        <v>1080</v>
      </c>
      <c r="D23" s="13">
        <v>0</v>
      </c>
      <c r="E23" s="13">
        <v>64</v>
      </c>
      <c r="F23" s="13">
        <v>247</v>
      </c>
      <c r="G23" s="13">
        <v>461</v>
      </c>
      <c r="H23" s="13">
        <v>225</v>
      </c>
      <c r="I23" s="13">
        <v>75</v>
      </c>
      <c r="J23" s="13">
        <v>8</v>
      </c>
    </row>
    <row r="24" spans="1:10" x14ac:dyDescent="0.25">
      <c r="A24" s="11">
        <v>1991</v>
      </c>
      <c r="B24" s="11" t="s">
        <v>245</v>
      </c>
      <c r="C24" s="13">
        <v>1162</v>
      </c>
      <c r="D24" s="13">
        <v>0</v>
      </c>
      <c r="E24" s="13">
        <v>101</v>
      </c>
      <c r="F24" s="13">
        <v>342</v>
      </c>
      <c r="G24" s="13">
        <v>418</v>
      </c>
      <c r="H24" s="13">
        <v>205</v>
      </c>
      <c r="I24" s="13">
        <v>76</v>
      </c>
      <c r="J24" s="13">
        <v>20</v>
      </c>
    </row>
    <row r="25" spans="1:10" x14ac:dyDescent="0.25">
      <c r="A25" s="11">
        <v>1991</v>
      </c>
      <c r="B25" s="11" t="s">
        <v>246</v>
      </c>
      <c r="C25" s="13">
        <v>329</v>
      </c>
      <c r="D25" s="13">
        <v>0</v>
      </c>
      <c r="E25" s="13">
        <v>23</v>
      </c>
      <c r="F25" s="13">
        <v>79</v>
      </c>
      <c r="G25" s="13">
        <v>105</v>
      </c>
      <c r="H25" s="13">
        <v>86</v>
      </c>
      <c r="I25" s="13">
        <v>31</v>
      </c>
      <c r="J25" s="13">
        <v>5</v>
      </c>
    </row>
    <row r="26" spans="1:10" x14ac:dyDescent="0.25">
      <c r="A26" s="11">
        <v>1991</v>
      </c>
      <c r="B26" s="11" t="s">
        <v>247</v>
      </c>
      <c r="C26" s="13">
        <v>1931</v>
      </c>
      <c r="D26" s="13">
        <v>46</v>
      </c>
      <c r="E26" s="13">
        <v>176</v>
      </c>
      <c r="F26" s="13">
        <v>545</v>
      </c>
      <c r="G26" s="13">
        <v>679</v>
      </c>
      <c r="H26" s="13">
        <v>351</v>
      </c>
      <c r="I26" s="13">
        <v>120</v>
      </c>
      <c r="J26" s="13">
        <v>14</v>
      </c>
    </row>
    <row r="27" spans="1:10" x14ac:dyDescent="0.25">
      <c r="A27" s="11">
        <v>1991</v>
      </c>
      <c r="B27" s="11" t="s">
        <v>248</v>
      </c>
      <c r="C27" s="13">
        <v>4482</v>
      </c>
      <c r="D27" s="13">
        <v>10</v>
      </c>
      <c r="E27" s="13">
        <v>424</v>
      </c>
      <c r="F27" s="13">
        <v>1213</v>
      </c>
      <c r="G27" s="13">
        <v>1659</v>
      </c>
      <c r="H27" s="13">
        <v>893</v>
      </c>
      <c r="I27" s="13">
        <v>250</v>
      </c>
      <c r="J27" s="13">
        <v>33</v>
      </c>
    </row>
    <row r="28" spans="1:10" x14ac:dyDescent="0.25">
      <c r="A28" s="11">
        <v>1991</v>
      </c>
      <c r="B28" s="11" t="s">
        <v>249</v>
      </c>
      <c r="C28" s="13">
        <v>237</v>
      </c>
      <c r="D28" s="13">
        <v>0</v>
      </c>
      <c r="E28" s="13">
        <v>16</v>
      </c>
      <c r="F28" s="13">
        <v>57</v>
      </c>
      <c r="G28" s="13">
        <v>88</v>
      </c>
      <c r="H28" s="13">
        <v>53</v>
      </c>
      <c r="I28" s="13">
        <v>15</v>
      </c>
      <c r="J28" s="13">
        <v>8</v>
      </c>
    </row>
    <row r="29" spans="1:10" x14ac:dyDescent="0.25">
      <c r="A29" s="11">
        <v>1991</v>
      </c>
      <c r="B29" s="11" t="s">
        <v>250</v>
      </c>
      <c r="C29" s="13">
        <v>1554</v>
      </c>
      <c r="D29" s="13">
        <v>2</v>
      </c>
      <c r="E29" s="13">
        <v>101</v>
      </c>
      <c r="F29" s="13">
        <v>385</v>
      </c>
      <c r="G29" s="13">
        <v>581</v>
      </c>
      <c r="H29" s="13">
        <v>354</v>
      </c>
      <c r="I29" s="13">
        <v>115</v>
      </c>
      <c r="J29" s="13">
        <v>16</v>
      </c>
    </row>
    <row r="30" spans="1:10" x14ac:dyDescent="0.25">
      <c r="A30" s="11">
        <v>1991</v>
      </c>
      <c r="B30" s="11" t="s">
        <v>251</v>
      </c>
      <c r="C30" s="13">
        <v>2219</v>
      </c>
      <c r="D30" s="13">
        <v>3</v>
      </c>
      <c r="E30" s="13">
        <v>158</v>
      </c>
      <c r="F30" s="13">
        <v>525</v>
      </c>
      <c r="G30" s="13">
        <v>783</v>
      </c>
      <c r="H30" s="13">
        <v>566</v>
      </c>
      <c r="I30" s="13">
        <v>165</v>
      </c>
      <c r="J30" s="13">
        <v>19</v>
      </c>
    </row>
    <row r="31" spans="1:10" x14ac:dyDescent="0.25">
      <c r="A31" s="11">
        <v>1991</v>
      </c>
      <c r="B31" s="11" t="s">
        <v>252</v>
      </c>
      <c r="C31" s="13">
        <v>1259</v>
      </c>
      <c r="D31" s="13">
        <v>4</v>
      </c>
      <c r="E31" s="13">
        <v>88</v>
      </c>
      <c r="F31" s="13">
        <v>278</v>
      </c>
      <c r="G31" s="13">
        <v>477</v>
      </c>
      <c r="H31" s="13">
        <v>316</v>
      </c>
      <c r="I31" s="13">
        <v>86</v>
      </c>
      <c r="J31" s="13">
        <v>10</v>
      </c>
    </row>
    <row r="32" spans="1:10" x14ac:dyDescent="0.25">
      <c r="A32" s="11">
        <v>1991</v>
      </c>
      <c r="B32" s="11" t="s">
        <v>253</v>
      </c>
      <c r="C32" s="13">
        <v>324</v>
      </c>
      <c r="D32" s="13">
        <v>1</v>
      </c>
      <c r="E32" s="13">
        <v>22</v>
      </c>
      <c r="F32" s="13">
        <v>93</v>
      </c>
      <c r="G32" s="13">
        <v>109</v>
      </c>
      <c r="H32" s="13">
        <v>73</v>
      </c>
      <c r="I32" s="13">
        <v>25</v>
      </c>
      <c r="J32" s="13">
        <v>1</v>
      </c>
    </row>
    <row r="33" spans="1:10" x14ac:dyDescent="0.25">
      <c r="A33" s="11">
        <v>1991</v>
      </c>
      <c r="B33" s="11" t="s">
        <v>254</v>
      </c>
      <c r="C33" s="13">
        <v>1230</v>
      </c>
      <c r="D33" s="13">
        <v>3</v>
      </c>
      <c r="E33" s="13">
        <v>129</v>
      </c>
      <c r="F33" s="13">
        <v>267</v>
      </c>
      <c r="G33" s="13">
        <v>403</v>
      </c>
      <c r="H33" s="13">
        <v>315</v>
      </c>
      <c r="I33" s="13">
        <v>97</v>
      </c>
      <c r="J33" s="13">
        <v>16</v>
      </c>
    </row>
    <row r="34" spans="1:10" x14ac:dyDescent="0.25">
      <c r="A34" s="11">
        <v>1991</v>
      </c>
      <c r="B34" s="11" t="s">
        <v>255</v>
      </c>
      <c r="C34" s="13">
        <v>4050</v>
      </c>
      <c r="D34" s="13">
        <v>5</v>
      </c>
      <c r="E34" s="13">
        <v>328</v>
      </c>
      <c r="F34" s="13">
        <v>974</v>
      </c>
      <c r="G34" s="13">
        <v>1512</v>
      </c>
      <c r="H34" s="13">
        <v>927</v>
      </c>
      <c r="I34" s="13">
        <v>271</v>
      </c>
      <c r="J34" s="13">
        <v>33</v>
      </c>
    </row>
    <row r="35" spans="1:10" x14ac:dyDescent="0.25">
      <c r="A35" s="11">
        <v>1991</v>
      </c>
      <c r="B35" s="11" t="s">
        <v>256</v>
      </c>
      <c r="C35" s="13">
        <v>971</v>
      </c>
      <c r="D35" s="13">
        <v>0</v>
      </c>
      <c r="E35" s="13">
        <v>80</v>
      </c>
      <c r="F35" s="13">
        <v>251</v>
      </c>
      <c r="G35" s="13">
        <v>321</v>
      </c>
      <c r="H35" s="13">
        <v>240</v>
      </c>
      <c r="I35" s="13">
        <v>64</v>
      </c>
      <c r="J35" s="13">
        <v>15</v>
      </c>
    </row>
    <row r="36" spans="1:10" x14ac:dyDescent="0.25">
      <c r="A36" s="11">
        <v>1991</v>
      </c>
      <c r="B36" s="11" t="s">
        <v>257</v>
      </c>
      <c r="C36" s="13">
        <v>1277</v>
      </c>
      <c r="D36" s="13">
        <v>1</v>
      </c>
      <c r="E36" s="13">
        <v>121</v>
      </c>
      <c r="F36" s="13">
        <v>332</v>
      </c>
      <c r="G36" s="13">
        <v>468</v>
      </c>
      <c r="H36" s="13">
        <v>270</v>
      </c>
      <c r="I36" s="13">
        <v>72</v>
      </c>
      <c r="J36" s="13">
        <v>13</v>
      </c>
    </row>
    <row r="37" spans="1:10" x14ac:dyDescent="0.25">
      <c r="A37" s="11">
        <v>1991</v>
      </c>
      <c r="B37" s="11" t="s">
        <v>258</v>
      </c>
      <c r="C37" s="13">
        <v>2094</v>
      </c>
      <c r="D37" s="13">
        <v>0</v>
      </c>
      <c r="E37" s="13">
        <v>179</v>
      </c>
      <c r="F37" s="13">
        <v>526</v>
      </c>
      <c r="G37" s="13">
        <v>804</v>
      </c>
      <c r="H37" s="13">
        <v>453</v>
      </c>
      <c r="I37" s="13">
        <v>117</v>
      </c>
      <c r="J37" s="13">
        <v>15</v>
      </c>
    </row>
    <row r="38" spans="1:10" x14ac:dyDescent="0.25">
      <c r="A38" s="11">
        <v>1992</v>
      </c>
      <c r="B38" s="11" t="s">
        <v>11</v>
      </c>
      <c r="C38" s="13">
        <v>65789</v>
      </c>
      <c r="D38" s="13">
        <v>60</v>
      </c>
      <c r="E38" s="13">
        <v>5206</v>
      </c>
      <c r="F38" s="13">
        <v>15405</v>
      </c>
      <c r="G38" s="13">
        <v>23571</v>
      </c>
      <c r="H38" s="13">
        <v>15973</v>
      </c>
      <c r="I38" s="13">
        <v>4877</v>
      </c>
      <c r="J38" s="13">
        <v>697</v>
      </c>
    </row>
    <row r="39" spans="1:10" x14ac:dyDescent="0.25">
      <c r="A39" s="11">
        <v>1992</v>
      </c>
      <c r="B39" s="11" t="s">
        <v>227</v>
      </c>
      <c r="C39" s="13">
        <v>2662</v>
      </c>
      <c r="D39" s="13">
        <v>1</v>
      </c>
      <c r="E39" s="13">
        <v>207</v>
      </c>
      <c r="F39" s="13">
        <v>619</v>
      </c>
      <c r="G39" s="13">
        <v>906</v>
      </c>
      <c r="H39" s="13">
        <v>698</v>
      </c>
      <c r="I39" s="13">
        <v>204</v>
      </c>
      <c r="J39" s="13">
        <v>27</v>
      </c>
    </row>
    <row r="40" spans="1:10" x14ac:dyDescent="0.25">
      <c r="A40" s="11">
        <v>1992</v>
      </c>
      <c r="B40" s="11" t="s">
        <v>228</v>
      </c>
      <c r="C40" s="13">
        <v>3021</v>
      </c>
      <c r="D40" s="13">
        <v>2</v>
      </c>
      <c r="E40" s="13">
        <v>150</v>
      </c>
      <c r="F40" s="13">
        <v>640</v>
      </c>
      <c r="G40" s="13">
        <v>1149</v>
      </c>
      <c r="H40" s="13">
        <v>800</v>
      </c>
      <c r="I40" s="13">
        <v>241</v>
      </c>
      <c r="J40" s="13">
        <v>39</v>
      </c>
    </row>
    <row r="41" spans="1:10" x14ac:dyDescent="0.25">
      <c r="A41" s="11">
        <v>1992</v>
      </c>
      <c r="B41" s="11" t="s">
        <v>229</v>
      </c>
      <c r="C41" s="13">
        <v>1373</v>
      </c>
      <c r="D41" s="13">
        <v>0</v>
      </c>
      <c r="E41" s="13">
        <v>95</v>
      </c>
      <c r="F41" s="13">
        <v>353</v>
      </c>
      <c r="G41" s="13">
        <v>513</v>
      </c>
      <c r="H41" s="13">
        <v>291</v>
      </c>
      <c r="I41" s="13">
        <v>101</v>
      </c>
      <c r="J41" s="13">
        <v>20</v>
      </c>
    </row>
    <row r="42" spans="1:10" x14ac:dyDescent="0.25">
      <c r="A42" s="11">
        <v>1992</v>
      </c>
      <c r="B42" s="11" t="s">
        <v>230</v>
      </c>
      <c r="C42" s="13">
        <v>1118</v>
      </c>
      <c r="D42" s="13">
        <v>2</v>
      </c>
      <c r="E42" s="13">
        <v>65</v>
      </c>
      <c r="F42" s="13">
        <v>245</v>
      </c>
      <c r="G42" s="13">
        <v>412</v>
      </c>
      <c r="H42" s="13">
        <v>283</v>
      </c>
      <c r="I42" s="13">
        <v>97</v>
      </c>
      <c r="J42" s="13">
        <v>14</v>
      </c>
    </row>
    <row r="43" spans="1:10" x14ac:dyDescent="0.25">
      <c r="A43" s="11">
        <v>1992</v>
      </c>
      <c r="B43" s="11" t="s">
        <v>231</v>
      </c>
      <c r="C43" s="13">
        <v>5477</v>
      </c>
      <c r="D43" s="13">
        <v>2</v>
      </c>
      <c r="E43" s="13">
        <v>319</v>
      </c>
      <c r="F43" s="13">
        <v>998</v>
      </c>
      <c r="G43" s="13">
        <v>1911</v>
      </c>
      <c r="H43" s="13">
        <v>1602</v>
      </c>
      <c r="I43" s="13">
        <v>571</v>
      </c>
      <c r="J43" s="13">
        <v>74</v>
      </c>
    </row>
    <row r="44" spans="1:10" x14ac:dyDescent="0.25">
      <c r="A44" s="11">
        <v>1992</v>
      </c>
      <c r="B44" s="11" t="s">
        <v>232</v>
      </c>
      <c r="C44" s="13">
        <v>679</v>
      </c>
      <c r="D44" s="13">
        <v>0</v>
      </c>
      <c r="E44" s="13">
        <v>56</v>
      </c>
      <c r="F44" s="13">
        <v>175</v>
      </c>
      <c r="G44" s="13">
        <v>266</v>
      </c>
      <c r="H44" s="13">
        <v>141</v>
      </c>
      <c r="I44" s="13">
        <v>37</v>
      </c>
      <c r="J44" s="13">
        <v>4</v>
      </c>
    </row>
    <row r="45" spans="1:10" x14ac:dyDescent="0.25">
      <c r="A45" s="11">
        <v>1992</v>
      </c>
      <c r="B45" s="11" t="s">
        <v>233</v>
      </c>
      <c r="C45" s="13">
        <v>1751</v>
      </c>
      <c r="D45" s="13">
        <v>6</v>
      </c>
      <c r="E45" s="13">
        <v>148</v>
      </c>
      <c r="F45" s="13">
        <v>445</v>
      </c>
      <c r="G45" s="13">
        <v>655</v>
      </c>
      <c r="H45" s="13">
        <v>361</v>
      </c>
      <c r="I45" s="13">
        <v>117</v>
      </c>
      <c r="J45" s="13">
        <v>19</v>
      </c>
    </row>
    <row r="46" spans="1:10" x14ac:dyDescent="0.25">
      <c r="A46" s="11">
        <v>1992</v>
      </c>
      <c r="B46" s="11" t="s">
        <v>234</v>
      </c>
      <c r="C46" s="13">
        <v>1982</v>
      </c>
      <c r="D46" s="13">
        <v>0</v>
      </c>
      <c r="E46" s="13">
        <v>211</v>
      </c>
      <c r="F46" s="13">
        <v>576</v>
      </c>
      <c r="G46" s="13">
        <v>651</v>
      </c>
      <c r="H46" s="13">
        <v>413</v>
      </c>
      <c r="I46" s="13">
        <v>116</v>
      </c>
      <c r="J46" s="13">
        <v>15</v>
      </c>
    </row>
    <row r="47" spans="1:10" x14ac:dyDescent="0.25">
      <c r="A47" s="11">
        <v>1992</v>
      </c>
      <c r="B47" s="11" t="s">
        <v>235</v>
      </c>
      <c r="C47" s="13">
        <v>1659</v>
      </c>
      <c r="D47" s="13">
        <v>2</v>
      </c>
      <c r="E47" s="13">
        <v>184</v>
      </c>
      <c r="F47" s="13">
        <v>420</v>
      </c>
      <c r="G47" s="13">
        <v>606</v>
      </c>
      <c r="H47" s="13">
        <v>335</v>
      </c>
      <c r="I47" s="13">
        <v>101</v>
      </c>
      <c r="J47" s="13">
        <v>11</v>
      </c>
    </row>
    <row r="48" spans="1:10" x14ac:dyDescent="0.25">
      <c r="A48" s="11">
        <v>1992</v>
      </c>
      <c r="B48" s="11" t="s">
        <v>236</v>
      </c>
      <c r="C48" s="13">
        <v>1266</v>
      </c>
      <c r="D48" s="13">
        <v>0</v>
      </c>
      <c r="E48" s="13">
        <v>54</v>
      </c>
      <c r="F48" s="13">
        <v>165</v>
      </c>
      <c r="G48" s="13">
        <v>437</v>
      </c>
      <c r="H48" s="13">
        <v>450</v>
      </c>
      <c r="I48" s="13">
        <v>146</v>
      </c>
      <c r="J48" s="13">
        <v>14</v>
      </c>
    </row>
    <row r="49" spans="1:10" x14ac:dyDescent="0.25">
      <c r="A49" s="11">
        <v>1992</v>
      </c>
      <c r="B49" s="11" t="s">
        <v>237</v>
      </c>
      <c r="C49" s="13">
        <v>1147</v>
      </c>
      <c r="D49" s="13">
        <v>2</v>
      </c>
      <c r="E49" s="13">
        <v>57</v>
      </c>
      <c r="F49" s="13">
        <v>242</v>
      </c>
      <c r="G49" s="13">
        <v>436</v>
      </c>
      <c r="H49" s="13">
        <v>297</v>
      </c>
      <c r="I49" s="13">
        <v>99</v>
      </c>
      <c r="J49" s="13">
        <v>14</v>
      </c>
    </row>
    <row r="50" spans="1:10" x14ac:dyDescent="0.25">
      <c r="A50" s="11">
        <v>1992</v>
      </c>
      <c r="B50" s="11" t="s">
        <v>238</v>
      </c>
      <c r="C50" s="13">
        <v>1131</v>
      </c>
      <c r="D50" s="13">
        <v>1</v>
      </c>
      <c r="E50" s="13">
        <v>29</v>
      </c>
      <c r="F50" s="13">
        <v>124</v>
      </c>
      <c r="G50" s="13">
        <v>398</v>
      </c>
      <c r="H50" s="13">
        <v>439</v>
      </c>
      <c r="I50" s="13">
        <v>122</v>
      </c>
      <c r="J50" s="13">
        <v>18</v>
      </c>
    </row>
    <row r="51" spans="1:10" x14ac:dyDescent="0.25">
      <c r="A51" s="11">
        <v>1992</v>
      </c>
      <c r="B51" s="11" t="s">
        <v>239</v>
      </c>
      <c r="C51" s="13">
        <v>1842</v>
      </c>
      <c r="D51" s="13">
        <v>0</v>
      </c>
      <c r="E51" s="13">
        <v>139</v>
      </c>
      <c r="F51" s="13">
        <v>456</v>
      </c>
      <c r="G51" s="13">
        <v>707</v>
      </c>
      <c r="H51" s="13">
        <v>410</v>
      </c>
      <c r="I51" s="13">
        <v>114</v>
      </c>
      <c r="J51" s="13">
        <v>16</v>
      </c>
    </row>
    <row r="52" spans="1:10" x14ac:dyDescent="0.25">
      <c r="A52" s="11">
        <v>1992</v>
      </c>
      <c r="B52" s="11" t="s">
        <v>240</v>
      </c>
      <c r="C52" s="13">
        <v>4306</v>
      </c>
      <c r="D52" s="13">
        <v>8</v>
      </c>
      <c r="E52" s="13">
        <v>385</v>
      </c>
      <c r="F52" s="13">
        <v>1118</v>
      </c>
      <c r="G52" s="13">
        <v>1573</v>
      </c>
      <c r="H52" s="13">
        <v>919</v>
      </c>
      <c r="I52" s="13">
        <v>265</v>
      </c>
      <c r="J52" s="13">
        <v>38</v>
      </c>
    </row>
    <row r="53" spans="1:10" x14ac:dyDescent="0.25">
      <c r="A53" s="11">
        <v>1992</v>
      </c>
      <c r="B53" s="11" t="s">
        <v>241</v>
      </c>
      <c r="C53" s="13">
        <v>8734</v>
      </c>
      <c r="D53" s="13">
        <v>5</v>
      </c>
      <c r="E53" s="13">
        <v>871</v>
      </c>
      <c r="F53" s="13">
        <v>2262</v>
      </c>
      <c r="G53" s="13">
        <v>2865</v>
      </c>
      <c r="H53" s="13">
        <v>2029</v>
      </c>
      <c r="I53" s="13">
        <v>609</v>
      </c>
      <c r="J53" s="13">
        <v>93</v>
      </c>
    </row>
    <row r="54" spans="1:10" x14ac:dyDescent="0.25">
      <c r="A54" s="11">
        <v>1992</v>
      </c>
      <c r="B54" s="11" t="s">
        <v>242</v>
      </c>
      <c r="C54" s="13">
        <v>2694</v>
      </c>
      <c r="D54" s="13">
        <v>3</v>
      </c>
      <c r="E54" s="13">
        <v>200</v>
      </c>
      <c r="F54" s="13">
        <v>634</v>
      </c>
      <c r="G54" s="13">
        <v>993</v>
      </c>
      <c r="H54" s="13">
        <v>587</v>
      </c>
      <c r="I54" s="13">
        <v>237</v>
      </c>
      <c r="J54" s="13">
        <v>40</v>
      </c>
    </row>
    <row r="55" spans="1:10" x14ac:dyDescent="0.25">
      <c r="A55" s="11">
        <v>1992</v>
      </c>
      <c r="B55" s="11" t="s">
        <v>243</v>
      </c>
      <c r="C55" s="13">
        <v>1157</v>
      </c>
      <c r="D55" s="13">
        <v>0</v>
      </c>
      <c r="E55" s="13">
        <v>118</v>
      </c>
      <c r="F55" s="13">
        <v>285</v>
      </c>
      <c r="G55" s="13">
        <v>419</v>
      </c>
      <c r="H55" s="13">
        <v>234</v>
      </c>
      <c r="I55" s="13">
        <v>93</v>
      </c>
      <c r="J55" s="13">
        <v>8</v>
      </c>
    </row>
    <row r="56" spans="1:10" x14ac:dyDescent="0.25">
      <c r="A56" s="11">
        <v>1992</v>
      </c>
      <c r="B56" s="11" t="s">
        <v>244</v>
      </c>
      <c r="C56" s="13">
        <v>1077</v>
      </c>
      <c r="D56" s="13">
        <v>1</v>
      </c>
      <c r="E56" s="13">
        <v>77</v>
      </c>
      <c r="F56" s="13">
        <v>255</v>
      </c>
      <c r="G56" s="13">
        <v>402</v>
      </c>
      <c r="H56" s="13">
        <v>258</v>
      </c>
      <c r="I56" s="13">
        <v>74</v>
      </c>
      <c r="J56" s="13">
        <v>10</v>
      </c>
    </row>
    <row r="57" spans="1:10" x14ac:dyDescent="0.25">
      <c r="A57" s="11">
        <v>1992</v>
      </c>
      <c r="B57" s="11" t="s">
        <v>245</v>
      </c>
      <c r="C57" s="13">
        <v>1166</v>
      </c>
      <c r="D57" s="13">
        <v>0</v>
      </c>
      <c r="E57" s="13">
        <v>103</v>
      </c>
      <c r="F57" s="13">
        <v>313</v>
      </c>
      <c r="G57" s="13">
        <v>459</v>
      </c>
      <c r="H57" s="13">
        <v>218</v>
      </c>
      <c r="I57" s="13">
        <v>62</v>
      </c>
      <c r="J57" s="13">
        <v>11</v>
      </c>
    </row>
    <row r="58" spans="1:10" x14ac:dyDescent="0.25">
      <c r="A58" s="11">
        <v>1992</v>
      </c>
      <c r="B58" s="11" t="s">
        <v>246</v>
      </c>
      <c r="C58" s="13">
        <v>332</v>
      </c>
      <c r="D58" s="13">
        <v>0</v>
      </c>
      <c r="E58" s="13">
        <v>34</v>
      </c>
      <c r="F58" s="13">
        <v>65</v>
      </c>
      <c r="G58" s="13">
        <v>107</v>
      </c>
      <c r="H58" s="13">
        <v>87</v>
      </c>
      <c r="I58" s="13">
        <v>28</v>
      </c>
      <c r="J58" s="13">
        <v>11</v>
      </c>
    </row>
    <row r="59" spans="1:10" x14ac:dyDescent="0.25">
      <c r="A59" s="11">
        <v>1992</v>
      </c>
      <c r="B59" s="11" t="s">
        <v>247</v>
      </c>
      <c r="C59" s="13">
        <v>1797</v>
      </c>
      <c r="D59" s="13">
        <v>5</v>
      </c>
      <c r="E59" s="13">
        <v>178</v>
      </c>
      <c r="F59" s="13">
        <v>512</v>
      </c>
      <c r="G59" s="13">
        <v>621</v>
      </c>
      <c r="H59" s="13">
        <v>359</v>
      </c>
      <c r="I59" s="13">
        <v>101</v>
      </c>
      <c r="J59" s="13">
        <v>21</v>
      </c>
    </row>
    <row r="60" spans="1:10" x14ac:dyDescent="0.25">
      <c r="A60" s="11">
        <v>1992</v>
      </c>
      <c r="B60" s="11" t="s">
        <v>248</v>
      </c>
      <c r="C60" s="13">
        <v>4342</v>
      </c>
      <c r="D60" s="13">
        <v>5</v>
      </c>
      <c r="E60" s="13">
        <v>408</v>
      </c>
      <c r="F60" s="13">
        <v>1089</v>
      </c>
      <c r="G60" s="13">
        <v>1537</v>
      </c>
      <c r="H60" s="13">
        <v>1016</v>
      </c>
      <c r="I60" s="13">
        <v>250</v>
      </c>
      <c r="J60" s="13">
        <v>37</v>
      </c>
    </row>
    <row r="61" spans="1:10" x14ac:dyDescent="0.25">
      <c r="A61" s="11">
        <v>1992</v>
      </c>
      <c r="B61" s="11" t="s">
        <v>249</v>
      </c>
      <c r="C61" s="13">
        <v>239</v>
      </c>
      <c r="D61" s="13">
        <v>0</v>
      </c>
      <c r="E61" s="13">
        <v>16</v>
      </c>
      <c r="F61" s="13">
        <v>51</v>
      </c>
      <c r="G61" s="13">
        <v>92</v>
      </c>
      <c r="H61" s="13">
        <v>58</v>
      </c>
      <c r="I61" s="13">
        <v>18</v>
      </c>
      <c r="J61" s="13">
        <v>4</v>
      </c>
    </row>
    <row r="62" spans="1:10" x14ac:dyDescent="0.25">
      <c r="A62" s="11">
        <v>1992</v>
      </c>
      <c r="B62" s="11" t="s">
        <v>250</v>
      </c>
      <c r="C62" s="13">
        <v>1523</v>
      </c>
      <c r="D62" s="13">
        <v>6</v>
      </c>
      <c r="E62" s="13">
        <v>101</v>
      </c>
      <c r="F62" s="13">
        <v>307</v>
      </c>
      <c r="G62" s="13">
        <v>544</v>
      </c>
      <c r="H62" s="13">
        <v>414</v>
      </c>
      <c r="I62" s="13">
        <v>134</v>
      </c>
      <c r="J62" s="13">
        <v>17</v>
      </c>
    </row>
    <row r="63" spans="1:10" x14ac:dyDescent="0.25">
      <c r="A63" s="11">
        <v>1992</v>
      </c>
      <c r="B63" s="11" t="s">
        <v>251</v>
      </c>
      <c r="C63" s="13">
        <v>2299</v>
      </c>
      <c r="D63" s="13">
        <v>2</v>
      </c>
      <c r="E63" s="13">
        <v>192</v>
      </c>
      <c r="F63" s="13">
        <v>477</v>
      </c>
      <c r="G63" s="13">
        <v>818</v>
      </c>
      <c r="H63" s="13">
        <v>627</v>
      </c>
      <c r="I63" s="13">
        <v>168</v>
      </c>
      <c r="J63" s="13">
        <v>15</v>
      </c>
    </row>
    <row r="64" spans="1:10" x14ac:dyDescent="0.25">
      <c r="A64" s="11">
        <v>1992</v>
      </c>
      <c r="B64" s="11" t="s">
        <v>252</v>
      </c>
      <c r="C64" s="13">
        <v>1196</v>
      </c>
      <c r="D64" s="13">
        <v>1</v>
      </c>
      <c r="E64" s="13">
        <v>71</v>
      </c>
      <c r="F64" s="13">
        <v>270</v>
      </c>
      <c r="G64" s="13">
        <v>453</v>
      </c>
      <c r="H64" s="13">
        <v>289</v>
      </c>
      <c r="I64" s="13">
        <v>98</v>
      </c>
      <c r="J64" s="13">
        <v>14</v>
      </c>
    </row>
    <row r="65" spans="1:10" x14ac:dyDescent="0.25">
      <c r="A65" s="11">
        <v>1992</v>
      </c>
      <c r="B65" s="11" t="s">
        <v>253</v>
      </c>
      <c r="C65" s="13">
        <v>325</v>
      </c>
      <c r="D65" s="13">
        <v>1</v>
      </c>
      <c r="E65" s="13">
        <v>21</v>
      </c>
      <c r="F65" s="13">
        <v>101</v>
      </c>
      <c r="G65" s="13">
        <v>99</v>
      </c>
      <c r="H65" s="13">
        <v>70</v>
      </c>
      <c r="I65" s="13">
        <v>31</v>
      </c>
      <c r="J65" s="13">
        <v>2</v>
      </c>
    </row>
    <row r="66" spans="1:10" x14ac:dyDescent="0.25">
      <c r="A66" s="11">
        <v>1992</v>
      </c>
      <c r="B66" s="11" t="s">
        <v>254</v>
      </c>
      <c r="C66" s="13">
        <v>1267</v>
      </c>
      <c r="D66" s="13">
        <v>2</v>
      </c>
      <c r="E66" s="13">
        <v>90</v>
      </c>
      <c r="F66" s="13">
        <v>283</v>
      </c>
      <c r="G66" s="13">
        <v>464</v>
      </c>
      <c r="H66" s="13">
        <v>316</v>
      </c>
      <c r="I66" s="13">
        <v>99</v>
      </c>
      <c r="J66" s="13">
        <v>13</v>
      </c>
    </row>
    <row r="67" spans="1:10" x14ac:dyDescent="0.25">
      <c r="A67" s="11">
        <v>1992</v>
      </c>
      <c r="B67" s="11" t="s">
        <v>255</v>
      </c>
      <c r="C67" s="13">
        <v>3880</v>
      </c>
      <c r="D67" s="13">
        <v>0</v>
      </c>
      <c r="E67" s="13">
        <v>293</v>
      </c>
      <c r="F67" s="13">
        <v>843</v>
      </c>
      <c r="G67" s="13">
        <v>1441</v>
      </c>
      <c r="H67" s="13">
        <v>985</v>
      </c>
      <c r="I67" s="13">
        <v>279</v>
      </c>
      <c r="J67" s="13">
        <v>39</v>
      </c>
    </row>
    <row r="68" spans="1:10" x14ac:dyDescent="0.25">
      <c r="A68" s="11">
        <v>1992</v>
      </c>
      <c r="B68" s="11" t="s">
        <v>256</v>
      </c>
      <c r="C68" s="13">
        <v>936</v>
      </c>
      <c r="D68" s="13">
        <v>2</v>
      </c>
      <c r="E68" s="13">
        <v>74</v>
      </c>
      <c r="F68" s="13">
        <v>187</v>
      </c>
      <c r="G68" s="13">
        <v>324</v>
      </c>
      <c r="H68" s="13">
        <v>271</v>
      </c>
      <c r="I68" s="13">
        <v>66</v>
      </c>
      <c r="J68" s="13">
        <v>12</v>
      </c>
    </row>
    <row r="69" spans="1:10" x14ac:dyDescent="0.25">
      <c r="A69" s="11">
        <v>1992</v>
      </c>
      <c r="B69" s="11" t="s">
        <v>257</v>
      </c>
      <c r="C69" s="13">
        <v>1322</v>
      </c>
      <c r="D69" s="13">
        <v>1</v>
      </c>
      <c r="E69" s="13">
        <v>114</v>
      </c>
      <c r="F69" s="13">
        <v>338</v>
      </c>
      <c r="G69" s="13">
        <v>490</v>
      </c>
      <c r="H69" s="13">
        <v>283</v>
      </c>
      <c r="I69" s="13">
        <v>89</v>
      </c>
      <c r="J69" s="13">
        <v>7</v>
      </c>
    </row>
    <row r="70" spans="1:10" x14ac:dyDescent="0.25">
      <c r="A70" s="11">
        <v>1992</v>
      </c>
      <c r="B70" s="11" t="s">
        <v>258</v>
      </c>
      <c r="C70" s="13">
        <v>2089</v>
      </c>
      <c r="D70" s="13">
        <v>0</v>
      </c>
      <c r="E70" s="13">
        <v>146</v>
      </c>
      <c r="F70" s="13">
        <v>557</v>
      </c>
      <c r="G70" s="13">
        <v>823</v>
      </c>
      <c r="H70" s="13">
        <v>433</v>
      </c>
      <c r="I70" s="13">
        <v>110</v>
      </c>
      <c r="J70" s="13">
        <v>20</v>
      </c>
    </row>
    <row r="71" spans="1:10" x14ac:dyDescent="0.25">
      <c r="A71" s="11">
        <v>1993</v>
      </c>
      <c r="B71" s="11" t="s">
        <v>11</v>
      </c>
      <c r="C71" s="13">
        <v>63337</v>
      </c>
      <c r="D71" s="13">
        <v>49</v>
      </c>
      <c r="E71" s="13">
        <v>4750</v>
      </c>
      <c r="F71" s="13">
        <v>13923</v>
      </c>
      <c r="G71" s="13">
        <v>22758</v>
      </c>
      <c r="H71" s="13">
        <v>16088</v>
      </c>
      <c r="I71" s="13">
        <v>5049</v>
      </c>
      <c r="J71" s="13">
        <v>720</v>
      </c>
    </row>
    <row r="72" spans="1:10" x14ac:dyDescent="0.25">
      <c r="A72" s="11">
        <v>1993</v>
      </c>
      <c r="B72" s="11" t="s">
        <v>227</v>
      </c>
      <c r="C72" s="13">
        <v>2620</v>
      </c>
      <c r="D72" s="13">
        <v>0</v>
      </c>
      <c r="E72" s="13">
        <v>177</v>
      </c>
      <c r="F72" s="13">
        <v>573</v>
      </c>
      <c r="G72" s="13">
        <v>913</v>
      </c>
      <c r="H72" s="13">
        <v>707</v>
      </c>
      <c r="I72" s="13">
        <v>217</v>
      </c>
      <c r="J72" s="13">
        <v>33</v>
      </c>
    </row>
    <row r="73" spans="1:10" x14ac:dyDescent="0.25">
      <c r="A73" s="11">
        <v>1993</v>
      </c>
      <c r="B73" s="11" t="s">
        <v>228</v>
      </c>
      <c r="C73" s="13">
        <v>2855</v>
      </c>
      <c r="D73" s="13">
        <v>3</v>
      </c>
      <c r="E73" s="13">
        <v>124</v>
      </c>
      <c r="F73" s="13">
        <v>572</v>
      </c>
      <c r="G73" s="13">
        <v>1108</v>
      </c>
      <c r="H73" s="13">
        <v>771</v>
      </c>
      <c r="I73" s="13">
        <v>240</v>
      </c>
      <c r="J73" s="13">
        <v>37</v>
      </c>
    </row>
    <row r="74" spans="1:10" x14ac:dyDescent="0.25">
      <c r="A74" s="11">
        <v>1993</v>
      </c>
      <c r="B74" s="11" t="s">
        <v>229</v>
      </c>
      <c r="C74" s="13">
        <v>1363</v>
      </c>
      <c r="D74" s="13">
        <v>0</v>
      </c>
      <c r="E74" s="13">
        <v>73</v>
      </c>
      <c r="F74" s="13">
        <v>320</v>
      </c>
      <c r="G74" s="13">
        <v>539</v>
      </c>
      <c r="H74" s="13">
        <v>324</v>
      </c>
      <c r="I74" s="13">
        <v>92</v>
      </c>
      <c r="J74" s="13">
        <v>15</v>
      </c>
    </row>
    <row r="75" spans="1:10" x14ac:dyDescent="0.25">
      <c r="A75" s="11">
        <v>1993</v>
      </c>
      <c r="B75" s="11" t="s">
        <v>230</v>
      </c>
      <c r="C75" s="13">
        <v>1008</v>
      </c>
      <c r="D75" s="13">
        <v>3</v>
      </c>
      <c r="E75" s="13">
        <v>63</v>
      </c>
      <c r="F75" s="13">
        <v>202</v>
      </c>
      <c r="G75" s="13">
        <v>353</v>
      </c>
      <c r="H75" s="13">
        <v>284</v>
      </c>
      <c r="I75" s="13">
        <v>88</v>
      </c>
      <c r="J75" s="13">
        <v>15</v>
      </c>
    </row>
    <row r="76" spans="1:10" x14ac:dyDescent="0.25">
      <c r="A76" s="11">
        <v>1993</v>
      </c>
      <c r="B76" s="11" t="s">
        <v>231</v>
      </c>
      <c r="C76" s="13">
        <v>5229</v>
      </c>
      <c r="D76" s="13">
        <v>1</v>
      </c>
      <c r="E76" s="13">
        <v>296</v>
      </c>
      <c r="F76" s="13">
        <v>900</v>
      </c>
      <c r="G76" s="13">
        <v>1781</v>
      </c>
      <c r="H76" s="13">
        <v>1608</v>
      </c>
      <c r="I76" s="13">
        <v>544</v>
      </c>
      <c r="J76" s="13">
        <v>99</v>
      </c>
    </row>
    <row r="77" spans="1:10" x14ac:dyDescent="0.25">
      <c r="A77" s="11">
        <v>1993</v>
      </c>
      <c r="B77" s="11" t="s">
        <v>232</v>
      </c>
      <c r="C77" s="13">
        <v>636</v>
      </c>
      <c r="D77" s="13">
        <v>0</v>
      </c>
      <c r="E77" s="13">
        <v>59</v>
      </c>
      <c r="F77" s="13">
        <v>149</v>
      </c>
      <c r="G77" s="13">
        <v>243</v>
      </c>
      <c r="H77" s="13">
        <v>136</v>
      </c>
      <c r="I77" s="13">
        <v>44</v>
      </c>
      <c r="J77" s="13">
        <v>5</v>
      </c>
    </row>
    <row r="78" spans="1:10" x14ac:dyDescent="0.25">
      <c r="A78" s="11">
        <v>1993</v>
      </c>
      <c r="B78" s="11" t="s">
        <v>233</v>
      </c>
      <c r="C78" s="13">
        <v>1709</v>
      </c>
      <c r="D78" s="13">
        <v>14</v>
      </c>
      <c r="E78" s="13">
        <v>140</v>
      </c>
      <c r="F78" s="13">
        <v>400</v>
      </c>
      <c r="G78" s="13">
        <v>631</v>
      </c>
      <c r="H78" s="13">
        <v>406</v>
      </c>
      <c r="I78" s="13">
        <v>107</v>
      </c>
      <c r="J78" s="13">
        <v>11</v>
      </c>
    </row>
    <row r="79" spans="1:10" x14ac:dyDescent="0.25">
      <c r="A79" s="11">
        <v>1993</v>
      </c>
      <c r="B79" s="11" t="s">
        <v>234</v>
      </c>
      <c r="C79" s="13">
        <v>1894</v>
      </c>
      <c r="D79" s="13">
        <v>0</v>
      </c>
      <c r="E79" s="13">
        <v>243</v>
      </c>
      <c r="F79" s="13">
        <v>489</v>
      </c>
      <c r="G79" s="13">
        <v>634</v>
      </c>
      <c r="H79" s="13">
        <v>403</v>
      </c>
      <c r="I79" s="13">
        <v>107</v>
      </c>
      <c r="J79" s="13">
        <v>18</v>
      </c>
    </row>
    <row r="80" spans="1:10" x14ac:dyDescent="0.25">
      <c r="A80" s="11">
        <v>1993</v>
      </c>
      <c r="B80" s="11" t="s">
        <v>235</v>
      </c>
      <c r="C80" s="13">
        <v>1585</v>
      </c>
      <c r="D80" s="13">
        <v>0</v>
      </c>
      <c r="E80" s="13">
        <v>178</v>
      </c>
      <c r="F80" s="13">
        <v>413</v>
      </c>
      <c r="G80" s="13">
        <v>559</v>
      </c>
      <c r="H80" s="13">
        <v>343</v>
      </c>
      <c r="I80" s="13">
        <v>83</v>
      </c>
      <c r="J80" s="13">
        <v>9</v>
      </c>
    </row>
    <row r="81" spans="1:10" x14ac:dyDescent="0.25">
      <c r="A81" s="11">
        <v>1993</v>
      </c>
      <c r="B81" s="11" t="s">
        <v>236</v>
      </c>
      <c r="C81" s="13">
        <v>1230</v>
      </c>
      <c r="D81" s="13">
        <v>0</v>
      </c>
      <c r="E81" s="13">
        <v>43</v>
      </c>
      <c r="F81" s="13">
        <v>144</v>
      </c>
      <c r="G81" s="13">
        <v>439</v>
      </c>
      <c r="H81" s="13">
        <v>444</v>
      </c>
      <c r="I81" s="13">
        <v>146</v>
      </c>
      <c r="J81" s="13">
        <v>14</v>
      </c>
    </row>
    <row r="82" spans="1:10" x14ac:dyDescent="0.25">
      <c r="A82" s="11">
        <v>1993</v>
      </c>
      <c r="B82" s="11" t="s">
        <v>237</v>
      </c>
      <c r="C82" s="13">
        <v>1097</v>
      </c>
      <c r="D82" s="13">
        <v>0</v>
      </c>
      <c r="E82" s="13">
        <v>65</v>
      </c>
      <c r="F82" s="13">
        <v>209</v>
      </c>
      <c r="G82" s="13">
        <v>419</v>
      </c>
      <c r="H82" s="13">
        <v>286</v>
      </c>
      <c r="I82" s="13">
        <v>104</v>
      </c>
      <c r="J82" s="13">
        <v>14</v>
      </c>
    </row>
    <row r="83" spans="1:10" x14ac:dyDescent="0.25">
      <c r="A83" s="11">
        <v>1993</v>
      </c>
      <c r="B83" s="11" t="s">
        <v>238</v>
      </c>
      <c r="C83" s="13">
        <v>1151</v>
      </c>
      <c r="D83" s="13">
        <v>0</v>
      </c>
      <c r="E83" s="13">
        <v>28</v>
      </c>
      <c r="F83" s="13">
        <v>125</v>
      </c>
      <c r="G83" s="13">
        <v>385</v>
      </c>
      <c r="H83" s="13">
        <v>440</v>
      </c>
      <c r="I83" s="13">
        <v>154</v>
      </c>
      <c r="J83" s="13">
        <v>19</v>
      </c>
    </row>
    <row r="84" spans="1:10" x14ac:dyDescent="0.25">
      <c r="A84" s="11">
        <v>1993</v>
      </c>
      <c r="B84" s="11" t="s">
        <v>239</v>
      </c>
      <c r="C84" s="13">
        <v>1795</v>
      </c>
      <c r="D84" s="13">
        <v>3</v>
      </c>
      <c r="E84" s="13">
        <v>136</v>
      </c>
      <c r="F84" s="13">
        <v>408</v>
      </c>
      <c r="G84" s="13">
        <v>736</v>
      </c>
      <c r="H84" s="13">
        <v>401</v>
      </c>
      <c r="I84" s="13">
        <v>102</v>
      </c>
      <c r="J84" s="13">
        <v>9</v>
      </c>
    </row>
    <row r="85" spans="1:10" x14ac:dyDescent="0.25">
      <c r="A85" s="11">
        <v>1993</v>
      </c>
      <c r="B85" s="11" t="s">
        <v>240</v>
      </c>
      <c r="C85" s="13">
        <v>4278</v>
      </c>
      <c r="D85" s="13">
        <v>2</v>
      </c>
      <c r="E85" s="13">
        <v>337</v>
      </c>
      <c r="F85" s="13">
        <v>1040</v>
      </c>
      <c r="G85" s="13">
        <v>1599</v>
      </c>
      <c r="H85" s="13">
        <v>963</v>
      </c>
      <c r="I85" s="13">
        <v>298</v>
      </c>
      <c r="J85" s="13">
        <v>39</v>
      </c>
    </row>
    <row r="86" spans="1:10" x14ac:dyDescent="0.25">
      <c r="A86" s="11">
        <v>1993</v>
      </c>
      <c r="B86" s="11" t="s">
        <v>241</v>
      </c>
      <c r="C86" s="13">
        <v>8251</v>
      </c>
      <c r="D86" s="13">
        <v>4</v>
      </c>
      <c r="E86" s="13">
        <v>797</v>
      </c>
      <c r="F86" s="13">
        <v>1970</v>
      </c>
      <c r="G86" s="13">
        <v>2737</v>
      </c>
      <c r="H86" s="13">
        <v>2003</v>
      </c>
      <c r="I86" s="13">
        <v>655</v>
      </c>
      <c r="J86" s="13">
        <v>85</v>
      </c>
    </row>
    <row r="87" spans="1:10" x14ac:dyDescent="0.25">
      <c r="A87" s="11">
        <v>1993</v>
      </c>
      <c r="B87" s="11" t="s">
        <v>242</v>
      </c>
      <c r="C87" s="13">
        <v>2541</v>
      </c>
      <c r="D87" s="13">
        <v>6</v>
      </c>
      <c r="E87" s="13">
        <v>190</v>
      </c>
      <c r="F87" s="13">
        <v>607</v>
      </c>
      <c r="G87" s="13">
        <v>887</v>
      </c>
      <c r="H87" s="13">
        <v>590</v>
      </c>
      <c r="I87" s="13">
        <v>227</v>
      </c>
      <c r="J87" s="13">
        <v>34</v>
      </c>
    </row>
    <row r="88" spans="1:10" x14ac:dyDescent="0.25">
      <c r="A88" s="11">
        <v>1993</v>
      </c>
      <c r="B88" s="11" t="s">
        <v>243</v>
      </c>
      <c r="C88" s="13">
        <v>1097</v>
      </c>
      <c r="D88" s="13">
        <v>0</v>
      </c>
      <c r="E88" s="13">
        <v>89</v>
      </c>
      <c r="F88" s="13">
        <v>216</v>
      </c>
      <c r="G88" s="13">
        <v>396</v>
      </c>
      <c r="H88" s="13">
        <v>291</v>
      </c>
      <c r="I88" s="13">
        <v>99</v>
      </c>
      <c r="J88" s="13">
        <v>6</v>
      </c>
    </row>
    <row r="89" spans="1:10" x14ac:dyDescent="0.25">
      <c r="A89" s="11">
        <v>1993</v>
      </c>
      <c r="B89" s="11" t="s">
        <v>244</v>
      </c>
      <c r="C89" s="13">
        <v>980</v>
      </c>
      <c r="D89" s="13">
        <v>0</v>
      </c>
      <c r="E89" s="13">
        <v>78</v>
      </c>
      <c r="F89" s="13">
        <v>186</v>
      </c>
      <c r="G89" s="13">
        <v>380</v>
      </c>
      <c r="H89" s="13">
        <v>255</v>
      </c>
      <c r="I89" s="13">
        <v>75</v>
      </c>
      <c r="J89" s="13">
        <v>6</v>
      </c>
    </row>
    <row r="90" spans="1:10" x14ac:dyDescent="0.25">
      <c r="A90" s="11">
        <v>1993</v>
      </c>
      <c r="B90" s="11" t="s">
        <v>245</v>
      </c>
      <c r="C90" s="13">
        <v>1147</v>
      </c>
      <c r="D90" s="13">
        <v>1</v>
      </c>
      <c r="E90" s="13">
        <v>78</v>
      </c>
      <c r="F90" s="13">
        <v>324</v>
      </c>
      <c r="G90" s="13">
        <v>419</v>
      </c>
      <c r="H90" s="13">
        <v>241</v>
      </c>
      <c r="I90" s="13">
        <v>69</v>
      </c>
      <c r="J90" s="13">
        <v>15</v>
      </c>
    </row>
    <row r="91" spans="1:10" x14ac:dyDescent="0.25">
      <c r="A91" s="11">
        <v>1993</v>
      </c>
      <c r="B91" s="11" t="s">
        <v>246</v>
      </c>
      <c r="C91" s="13">
        <v>283</v>
      </c>
      <c r="D91" s="13">
        <v>0</v>
      </c>
      <c r="E91" s="13">
        <v>17</v>
      </c>
      <c r="F91" s="13">
        <v>56</v>
      </c>
      <c r="G91" s="13">
        <v>97</v>
      </c>
      <c r="H91" s="13">
        <v>76</v>
      </c>
      <c r="I91" s="13">
        <v>28</v>
      </c>
      <c r="J91" s="13">
        <v>9</v>
      </c>
    </row>
    <row r="92" spans="1:10" x14ac:dyDescent="0.25">
      <c r="A92" s="11">
        <v>1993</v>
      </c>
      <c r="B92" s="11" t="s">
        <v>247</v>
      </c>
      <c r="C92" s="13">
        <v>1739</v>
      </c>
      <c r="D92" s="13">
        <v>0</v>
      </c>
      <c r="E92" s="13">
        <v>172</v>
      </c>
      <c r="F92" s="13">
        <v>448</v>
      </c>
      <c r="G92" s="13">
        <v>588</v>
      </c>
      <c r="H92" s="13">
        <v>386</v>
      </c>
      <c r="I92" s="13">
        <v>123</v>
      </c>
      <c r="J92" s="13">
        <v>22</v>
      </c>
    </row>
    <row r="93" spans="1:10" x14ac:dyDescent="0.25">
      <c r="A93" s="11">
        <v>1993</v>
      </c>
      <c r="B93" s="11" t="s">
        <v>248</v>
      </c>
      <c r="C93" s="13">
        <v>4176</v>
      </c>
      <c r="D93" s="13">
        <v>4</v>
      </c>
      <c r="E93" s="13">
        <v>337</v>
      </c>
      <c r="F93" s="13">
        <v>1032</v>
      </c>
      <c r="G93" s="13">
        <v>1544</v>
      </c>
      <c r="H93" s="13">
        <v>944</v>
      </c>
      <c r="I93" s="13">
        <v>272</v>
      </c>
      <c r="J93" s="13">
        <v>43</v>
      </c>
    </row>
    <row r="94" spans="1:10" x14ac:dyDescent="0.25">
      <c r="A94" s="11">
        <v>1993</v>
      </c>
      <c r="B94" s="11" t="s">
        <v>249</v>
      </c>
      <c r="C94" s="13">
        <v>237</v>
      </c>
      <c r="D94" s="13">
        <v>1</v>
      </c>
      <c r="E94" s="13">
        <v>15</v>
      </c>
      <c r="F94" s="13">
        <v>60</v>
      </c>
      <c r="G94" s="13">
        <v>91</v>
      </c>
      <c r="H94" s="13">
        <v>52</v>
      </c>
      <c r="I94" s="13">
        <v>15</v>
      </c>
      <c r="J94" s="13">
        <v>3</v>
      </c>
    </row>
    <row r="95" spans="1:10" x14ac:dyDescent="0.25">
      <c r="A95" s="11">
        <v>1993</v>
      </c>
      <c r="B95" s="11" t="s">
        <v>250</v>
      </c>
      <c r="C95" s="13">
        <v>1487</v>
      </c>
      <c r="D95" s="13">
        <v>0</v>
      </c>
      <c r="E95" s="13">
        <v>96</v>
      </c>
      <c r="F95" s="13">
        <v>303</v>
      </c>
      <c r="G95" s="13">
        <v>552</v>
      </c>
      <c r="H95" s="13">
        <v>382</v>
      </c>
      <c r="I95" s="13">
        <v>136</v>
      </c>
      <c r="J95" s="13">
        <v>18</v>
      </c>
    </row>
    <row r="96" spans="1:10" x14ac:dyDescent="0.25">
      <c r="A96" s="11">
        <v>1993</v>
      </c>
      <c r="B96" s="11" t="s">
        <v>251</v>
      </c>
      <c r="C96" s="13">
        <v>2132</v>
      </c>
      <c r="D96" s="13">
        <v>1</v>
      </c>
      <c r="E96" s="13">
        <v>157</v>
      </c>
      <c r="F96" s="13">
        <v>442</v>
      </c>
      <c r="G96" s="13">
        <v>722</v>
      </c>
      <c r="H96" s="13">
        <v>608</v>
      </c>
      <c r="I96" s="13">
        <v>174</v>
      </c>
      <c r="J96" s="13">
        <v>28</v>
      </c>
    </row>
    <row r="97" spans="1:10" x14ac:dyDescent="0.25">
      <c r="A97" s="11">
        <v>1993</v>
      </c>
      <c r="B97" s="11" t="s">
        <v>252</v>
      </c>
      <c r="C97" s="13">
        <v>1138</v>
      </c>
      <c r="D97" s="13">
        <v>2</v>
      </c>
      <c r="E97" s="13">
        <v>50</v>
      </c>
      <c r="F97" s="13">
        <v>235</v>
      </c>
      <c r="G97" s="13">
        <v>431</v>
      </c>
      <c r="H97" s="13">
        <v>313</v>
      </c>
      <c r="I97" s="13">
        <v>97</v>
      </c>
      <c r="J97" s="13">
        <v>10</v>
      </c>
    </row>
    <row r="98" spans="1:10" x14ac:dyDescent="0.25">
      <c r="A98" s="11">
        <v>1993</v>
      </c>
      <c r="B98" s="11" t="s">
        <v>253</v>
      </c>
      <c r="C98" s="13">
        <v>313</v>
      </c>
      <c r="D98" s="13">
        <v>0</v>
      </c>
      <c r="E98" s="13">
        <v>19</v>
      </c>
      <c r="F98" s="13">
        <v>80</v>
      </c>
      <c r="G98" s="13">
        <v>116</v>
      </c>
      <c r="H98" s="13">
        <v>67</v>
      </c>
      <c r="I98" s="13">
        <v>29</v>
      </c>
      <c r="J98" s="13">
        <v>2</v>
      </c>
    </row>
    <row r="99" spans="1:10" x14ac:dyDescent="0.25">
      <c r="A99" s="11">
        <v>1993</v>
      </c>
      <c r="B99" s="11" t="s">
        <v>254</v>
      </c>
      <c r="C99" s="13">
        <v>1248</v>
      </c>
      <c r="D99" s="13">
        <v>0</v>
      </c>
      <c r="E99" s="13">
        <v>86</v>
      </c>
      <c r="F99" s="13">
        <v>271</v>
      </c>
      <c r="G99" s="13">
        <v>447</v>
      </c>
      <c r="H99" s="13">
        <v>321</v>
      </c>
      <c r="I99" s="13">
        <v>109</v>
      </c>
      <c r="J99" s="13">
        <v>14</v>
      </c>
    </row>
    <row r="100" spans="1:10" x14ac:dyDescent="0.25">
      <c r="A100" s="11">
        <v>1993</v>
      </c>
      <c r="B100" s="11" t="s">
        <v>255</v>
      </c>
      <c r="C100" s="13">
        <v>3911</v>
      </c>
      <c r="D100" s="13">
        <v>1</v>
      </c>
      <c r="E100" s="13">
        <v>269</v>
      </c>
      <c r="F100" s="13">
        <v>782</v>
      </c>
      <c r="G100" s="13">
        <v>1473</v>
      </c>
      <c r="H100" s="13">
        <v>1040</v>
      </c>
      <c r="I100" s="13">
        <v>306</v>
      </c>
      <c r="J100" s="13">
        <v>40</v>
      </c>
    </row>
    <row r="101" spans="1:10" x14ac:dyDescent="0.25">
      <c r="A101" s="11">
        <v>1993</v>
      </c>
      <c r="B101" s="11" t="s">
        <v>256</v>
      </c>
      <c r="C101" s="13">
        <v>919</v>
      </c>
      <c r="D101" s="13">
        <v>2</v>
      </c>
      <c r="E101" s="13">
        <v>67</v>
      </c>
      <c r="F101" s="13">
        <v>189</v>
      </c>
      <c r="G101" s="13">
        <v>311</v>
      </c>
      <c r="H101" s="13">
        <v>256</v>
      </c>
      <c r="I101" s="13">
        <v>79</v>
      </c>
      <c r="J101" s="13">
        <v>15</v>
      </c>
    </row>
    <row r="102" spans="1:10" x14ac:dyDescent="0.25">
      <c r="A102" s="11">
        <v>1993</v>
      </c>
      <c r="B102" s="11" t="s">
        <v>257</v>
      </c>
      <c r="C102" s="13">
        <v>1252</v>
      </c>
      <c r="D102" s="13">
        <v>1</v>
      </c>
      <c r="E102" s="13">
        <v>110</v>
      </c>
      <c r="F102" s="13">
        <v>313</v>
      </c>
      <c r="G102" s="13">
        <v>470</v>
      </c>
      <c r="H102" s="13">
        <v>260</v>
      </c>
      <c r="I102" s="13">
        <v>85</v>
      </c>
      <c r="J102" s="13">
        <v>13</v>
      </c>
    </row>
    <row r="103" spans="1:10" x14ac:dyDescent="0.25">
      <c r="A103" s="11">
        <v>1993</v>
      </c>
      <c r="B103" s="11" t="s">
        <v>258</v>
      </c>
      <c r="C103" s="13">
        <v>2036</v>
      </c>
      <c r="D103" s="13">
        <v>0</v>
      </c>
      <c r="E103" s="13">
        <v>161</v>
      </c>
      <c r="F103" s="13">
        <v>465</v>
      </c>
      <c r="G103" s="13">
        <v>758</v>
      </c>
      <c r="H103" s="13">
        <v>487</v>
      </c>
      <c r="I103" s="13">
        <v>145</v>
      </c>
      <c r="J103" s="13">
        <v>20</v>
      </c>
    </row>
    <row r="104" spans="1:10" x14ac:dyDescent="0.25">
      <c r="A104" s="11">
        <v>1994</v>
      </c>
      <c r="B104" s="11" t="s">
        <v>11</v>
      </c>
      <c r="C104" s="13">
        <v>61656</v>
      </c>
      <c r="D104" s="13">
        <v>52</v>
      </c>
      <c r="E104" s="13">
        <v>4303</v>
      </c>
      <c r="F104" s="13">
        <v>12637</v>
      </c>
      <c r="G104" s="13">
        <v>21851</v>
      </c>
      <c r="H104" s="13">
        <v>16705</v>
      </c>
      <c r="I104" s="13">
        <v>5346</v>
      </c>
      <c r="J104" s="13">
        <v>762</v>
      </c>
    </row>
    <row r="105" spans="1:10" x14ac:dyDescent="0.25">
      <c r="A105" s="11">
        <v>1994</v>
      </c>
      <c r="B105" s="11" t="s">
        <v>227</v>
      </c>
      <c r="C105" s="13">
        <v>2626</v>
      </c>
      <c r="D105" s="13">
        <v>0</v>
      </c>
      <c r="E105" s="13">
        <v>163</v>
      </c>
      <c r="F105" s="13">
        <v>553</v>
      </c>
      <c r="G105" s="13">
        <v>898</v>
      </c>
      <c r="H105" s="13">
        <v>741</v>
      </c>
      <c r="I105" s="13">
        <v>233</v>
      </c>
      <c r="J105" s="13">
        <v>38</v>
      </c>
    </row>
    <row r="106" spans="1:10" x14ac:dyDescent="0.25">
      <c r="A106" s="11">
        <v>1994</v>
      </c>
      <c r="B106" s="11" t="s">
        <v>228</v>
      </c>
      <c r="C106" s="13">
        <v>2865</v>
      </c>
      <c r="D106" s="13">
        <v>3</v>
      </c>
      <c r="E106" s="13">
        <v>135</v>
      </c>
      <c r="F106" s="13">
        <v>527</v>
      </c>
      <c r="G106" s="13">
        <v>1129</v>
      </c>
      <c r="H106" s="13">
        <v>811</v>
      </c>
      <c r="I106" s="13">
        <v>222</v>
      </c>
      <c r="J106" s="13">
        <v>38</v>
      </c>
    </row>
    <row r="107" spans="1:10" x14ac:dyDescent="0.25">
      <c r="A107" s="11">
        <v>1994</v>
      </c>
      <c r="B107" s="11" t="s">
        <v>229</v>
      </c>
      <c r="C107" s="13">
        <v>1277</v>
      </c>
      <c r="D107" s="13">
        <v>1</v>
      </c>
      <c r="E107" s="13">
        <v>79</v>
      </c>
      <c r="F107" s="13">
        <v>285</v>
      </c>
      <c r="G107" s="13">
        <v>450</v>
      </c>
      <c r="H107" s="13">
        <v>342</v>
      </c>
      <c r="I107" s="13">
        <v>104</v>
      </c>
      <c r="J107" s="13">
        <v>16</v>
      </c>
    </row>
    <row r="108" spans="1:10" x14ac:dyDescent="0.25">
      <c r="A108" s="11">
        <v>1994</v>
      </c>
      <c r="B108" s="11" t="s">
        <v>230</v>
      </c>
      <c r="C108" s="13">
        <v>1033</v>
      </c>
      <c r="D108" s="13">
        <v>1</v>
      </c>
      <c r="E108" s="13">
        <v>57</v>
      </c>
      <c r="F108" s="13">
        <v>211</v>
      </c>
      <c r="G108" s="13">
        <v>344</v>
      </c>
      <c r="H108" s="13">
        <v>273</v>
      </c>
      <c r="I108" s="13">
        <v>126</v>
      </c>
      <c r="J108" s="13">
        <v>21</v>
      </c>
    </row>
    <row r="109" spans="1:10" x14ac:dyDescent="0.25">
      <c r="A109" s="11">
        <v>1994</v>
      </c>
      <c r="B109" s="11" t="s">
        <v>231</v>
      </c>
      <c r="C109" s="13">
        <v>5291</v>
      </c>
      <c r="D109" s="13">
        <v>3</v>
      </c>
      <c r="E109" s="13">
        <v>297</v>
      </c>
      <c r="F109" s="13">
        <v>842</v>
      </c>
      <c r="G109" s="13">
        <v>1690</v>
      </c>
      <c r="H109" s="13">
        <v>1766</v>
      </c>
      <c r="I109" s="13">
        <v>608</v>
      </c>
      <c r="J109" s="13">
        <v>85</v>
      </c>
    </row>
    <row r="110" spans="1:10" x14ac:dyDescent="0.25">
      <c r="A110" s="11">
        <v>1994</v>
      </c>
      <c r="B110" s="11" t="s">
        <v>232</v>
      </c>
      <c r="C110" s="13">
        <v>608</v>
      </c>
      <c r="D110" s="13">
        <v>0</v>
      </c>
      <c r="E110" s="13">
        <v>52</v>
      </c>
      <c r="F110" s="13">
        <v>135</v>
      </c>
      <c r="G110" s="13">
        <v>207</v>
      </c>
      <c r="H110" s="13">
        <v>149</v>
      </c>
      <c r="I110" s="13">
        <v>60</v>
      </c>
      <c r="J110" s="13">
        <v>5</v>
      </c>
    </row>
    <row r="111" spans="1:10" x14ac:dyDescent="0.25">
      <c r="A111" s="11">
        <v>1994</v>
      </c>
      <c r="B111" s="11" t="s">
        <v>233</v>
      </c>
      <c r="C111" s="13">
        <v>1748</v>
      </c>
      <c r="D111" s="13">
        <v>7</v>
      </c>
      <c r="E111" s="13">
        <v>142</v>
      </c>
      <c r="F111" s="13">
        <v>394</v>
      </c>
      <c r="G111" s="13">
        <v>613</v>
      </c>
      <c r="H111" s="13">
        <v>450</v>
      </c>
      <c r="I111" s="13">
        <v>121</v>
      </c>
      <c r="J111" s="13">
        <v>21</v>
      </c>
    </row>
    <row r="112" spans="1:10" x14ac:dyDescent="0.25">
      <c r="A112" s="11">
        <v>1994</v>
      </c>
      <c r="B112" s="11" t="s">
        <v>234</v>
      </c>
      <c r="C112" s="13">
        <v>1744</v>
      </c>
      <c r="D112" s="13">
        <v>1</v>
      </c>
      <c r="E112" s="13">
        <v>206</v>
      </c>
      <c r="F112" s="13">
        <v>445</v>
      </c>
      <c r="G112" s="13">
        <v>575</v>
      </c>
      <c r="H112" s="13">
        <v>385</v>
      </c>
      <c r="I112" s="13">
        <v>118</v>
      </c>
      <c r="J112" s="13">
        <v>14</v>
      </c>
    </row>
    <row r="113" spans="1:10" x14ac:dyDescent="0.25">
      <c r="A113" s="11">
        <v>1994</v>
      </c>
      <c r="B113" s="11" t="s">
        <v>235</v>
      </c>
      <c r="C113" s="13">
        <v>1470</v>
      </c>
      <c r="D113" s="13">
        <v>1</v>
      </c>
      <c r="E113" s="13">
        <v>122</v>
      </c>
      <c r="F113" s="13">
        <v>354</v>
      </c>
      <c r="G113" s="13">
        <v>528</v>
      </c>
      <c r="H113" s="13">
        <v>327</v>
      </c>
      <c r="I113" s="13">
        <v>123</v>
      </c>
      <c r="J113" s="13">
        <v>15</v>
      </c>
    </row>
    <row r="114" spans="1:10" x14ac:dyDescent="0.25">
      <c r="A114" s="11">
        <v>1994</v>
      </c>
      <c r="B114" s="11" t="s">
        <v>236</v>
      </c>
      <c r="C114" s="13">
        <v>1227</v>
      </c>
      <c r="D114" s="13">
        <v>0</v>
      </c>
      <c r="E114" s="13">
        <v>40</v>
      </c>
      <c r="F114" s="13">
        <v>126</v>
      </c>
      <c r="G114" s="13">
        <v>402</v>
      </c>
      <c r="H114" s="13">
        <v>487</v>
      </c>
      <c r="I114" s="13">
        <v>152</v>
      </c>
      <c r="J114" s="13">
        <v>20</v>
      </c>
    </row>
    <row r="115" spans="1:10" x14ac:dyDescent="0.25">
      <c r="A115" s="11">
        <v>1994</v>
      </c>
      <c r="B115" s="11" t="s">
        <v>237</v>
      </c>
      <c r="C115" s="13">
        <v>1050</v>
      </c>
      <c r="D115" s="13">
        <v>1</v>
      </c>
      <c r="E115" s="13">
        <v>58</v>
      </c>
      <c r="F115" s="13">
        <v>175</v>
      </c>
      <c r="G115" s="13">
        <v>384</v>
      </c>
      <c r="H115" s="13">
        <v>304</v>
      </c>
      <c r="I115" s="13">
        <v>113</v>
      </c>
      <c r="J115" s="13">
        <v>15</v>
      </c>
    </row>
    <row r="116" spans="1:10" x14ac:dyDescent="0.25">
      <c r="A116" s="11">
        <v>1994</v>
      </c>
      <c r="B116" s="11" t="s">
        <v>238</v>
      </c>
      <c r="C116" s="13">
        <v>1068</v>
      </c>
      <c r="D116" s="13">
        <v>0</v>
      </c>
      <c r="E116" s="13">
        <v>28</v>
      </c>
      <c r="F116" s="13">
        <v>100</v>
      </c>
      <c r="G116" s="13">
        <v>317</v>
      </c>
      <c r="H116" s="13">
        <v>436</v>
      </c>
      <c r="I116" s="13">
        <v>169</v>
      </c>
      <c r="J116" s="13">
        <v>18</v>
      </c>
    </row>
    <row r="117" spans="1:10" x14ac:dyDescent="0.25">
      <c r="A117" s="11">
        <v>1994</v>
      </c>
      <c r="B117" s="11" t="s">
        <v>239</v>
      </c>
      <c r="C117" s="13">
        <v>1747</v>
      </c>
      <c r="D117" s="13">
        <v>0</v>
      </c>
      <c r="E117" s="13">
        <v>142</v>
      </c>
      <c r="F117" s="13">
        <v>366</v>
      </c>
      <c r="G117" s="13">
        <v>661</v>
      </c>
      <c r="H117" s="13">
        <v>447</v>
      </c>
      <c r="I117" s="13">
        <v>120</v>
      </c>
      <c r="J117" s="13">
        <v>11</v>
      </c>
    </row>
    <row r="118" spans="1:10" x14ac:dyDescent="0.25">
      <c r="A118" s="11">
        <v>1994</v>
      </c>
      <c r="B118" s="11" t="s">
        <v>240</v>
      </c>
      <c r="C118" s="13">
        <v>4110</v>
      </c>
      <c r="D118" s="13">
        <v>9</v>
      </c>
      <c r="E118" s="13">
        <v>316</v>
      </c>
      <c r="F118" s="13">
        <v>919</v>
      </c>
      <c r="G118" s="13">
        <v>1559</v>
      </c>
      <c r="H118" s="13">
        <v>987</v>
      </c>
      <c r="I118" s="13">
        <v>284</v>
      </c>
      <c r="J118" s="13">
        <v>36</v>
      </c>
    </row>
    <row r="119" spans="1:10" x14ac:dyDescent="0.25">
      <c r="A119" s="11">
        <v>1994</v>
      </c>
      <c r="B119" s="11" t="s">
        <v>241</v>
      </c>
      <c r="C119" s="13">
        <v>7868</v>
      </c>
      <c r="D119" s="13">
        <v>5</v>
      </c>
      <c r="E119" s="13">
        <v>697</v>
      </c>
      <c r="F119" s="13">
        <v>1842</v>
      </c>
      <c r="G119" s="13">
        <v>2611</v>
      </c>
      <c r="H119" s="13">
        <v>1974</v>
      </c>
      <c r="I119" s="13">
        <v>644</v>
      </c>
      <c r="J119" s="13">
        <v>95</v>
      </c>
    </row>
    <row r="120" spans="1:10" x14ac:dyDescent="0.25">
      <c r="A120" s="11">
        <v>1994</v>
      </c>
      <c r="B120" s="11" t="s">
        <v>242</v>
      </c>
      <c r="C120" s="13">
        <v>2483</v>
      </c>
      <c r="D120" s="13">
        <v>6</v>
      </c>
      <c r="E120" s="13">
        <v>158</v>
      </c>
      <c r="F120" s="13">
        <v>545</v>
      </c>
      <c r="G120" s="13">
        <v>888</v>
      </c>
      <c r="H120" s="13">
        <v>631</v>
      </c>
      <c r="I120" s="13">
        <v>217</v>
      </c>
      <c r="J120" s="13">
        <v>38</v>
      </c>
    </row>
    <row r="121" spans="1:10" x14ac:dyDescent="0.25">
      <c r="A121" s="11">
        <v>1994</v>
      </c>
      <c r="B121" s="11" t="s">
        <v>243</v>
      </c>
      <c r="C121" s="13">
        <v>1093</v>
      </c>
      <c r="D121" s="13">
        <v>0</v>
      </c>
      <c r="E121" s="13">
        <v>88</v>
      </c>
      <c r="F121" s="13">
        <v>239</v>
      </c>
      <c r="G121" s="13">
        <v>377</v>
      </c>
      <c r="H121" s="13">
        <v>279</v>
      </c>
      <c r="I121" s="13">
        <v>97</v>
      </c>
      <c r="J121" s="13">
        <v>13</v>
      </c>
    </row>
    <row r="122" spans="1:10" x14ac:dyDescent="0.25">
      <c r="A122" s="11">
        <v>1994</v>
      </c>
      <c r="B122" s="11" t="s">
        <v>244</v>
      </c>
      <c r="C122" s="13">
        <v>984</v>
      </c>
      <c r="D122" s="13">
        <v>1</v>
      </c>
      <c r="E122" s="13">
        <v>53</v>
      </c>
      <c r="F122" s="13">
        <v>194</v>
      </c>
      <c r="G122" s="13">
        <v>385</v>
      </c>
      <c r="H122" s="13">
        <v>260</v>
      </c>
      <c r="I122" s="13">
        <v>79</v>
      </c>
      <c r="J122" s="13">
        <v>12</v>
      </c>
    </row>
    <row r="123" spans="1:10" x14ac:dyDescent="0.25">
      <c r="A123" s="11">
        <v>1994</v>
      </c>
      <c r="B123" s="11" t="s">
        <v>245</v>
      </c>
      <c r="C123" s="13">
        <v>1136</v>
      </c>
      <c r="D123" s="13">
        <v>0</v>
      </c>
      <c r="E123" s="13">
        <v>72</v>
      </c>
      <c r="F123" s="13">
        <v>264</v>
      </c>
      <c r="G123" s="13">
        <v>425</v>
      </c>
      <c r="H123" s="13">
        <v>277</v>
      </c>
      <c r="I123" s="13">
        <v>77</v>
      </c>
      <c r="J123" s="13">
        <v>21</v>
      </c>
    </row>
    <row r="124" spans="1:10" x14ac:dyDescent="0.25">
      <c r="A124" s="11">
        <v>1994</v>
      </c>
      <c r="B124" s="11" t="s">
        <v>246</v>
      </c>
      <c r="C124" s="13">
        <v>300</v>
      </c>
      <c r="D124" s="13">
        <v>1</v>
      </c>
      <c r="E124" s="13">
        <v>10</v>
      </c>
      <c r="F124" s="13">
        <v>62</v>
      </c>
      <c r="G124" s="13">
        <v>111</v>
      </c>
      <c r="H124" s="13">
        <v>73</v>
      </c>
      <c r="I124" s="13">
        <v>38</v>
      </c>
      <c r="J124" s="13">
        <v>5</v>
      </c>
    </row>
    <row r="125" spans="1:10" x14ac:dyDescent="0.25">
      <c r="A125" s="11">
        <v>1994</v>
      </c>
      <c r="B125" s="11" t="s">
        <v>247</v>
      </c>
      <c r="C125" s="13">
        <v>1685</v>
      </c>
      <c r="D125" s="13">
        <v>1</v>
      </c>
      <c r="E125" s="13">
        <v>139</v>
      </c>
      <c r="F125" s="13">
        <v>379</v>
      </c>
      <c r="G125" s="13">
        <v>647</v>
      </c>
      <c r="H125" s="13">
        <v>393</v>
      </c>
      <c r="I125" s="13">
        <v>112</v>
      </c>
      <c r="J125" s="13">
        <v>14</v>
      </c>
    </row>
    <row r="126" spans="1:10" x14ac:dyDescent="0.25">
      <c r="A126" s="11">
        <v>1994</v>
      </c>
      <c r="B126" s="11" t="s">
        <v>248</v>
      </c>
      <c r="C126" s="13">
        <v>4057</v>
      </c>
      <c r="D126" s="13">
        <v>0</v>
      </c>
      <c r="E126" s="13">
        <v>343</v>
      </c>
      <c r="F126" s="13">
        <v>930</v>
      </c>
      <c r="G126" s="13">
        <v>1500</v>
      </c>
      <c r="H126" s="13">
        <v>975</v>
      </c>
      <c r="I126" s="13">
        <v>263</v>
      </c>
      <c r="J126" s="13">
        <v>46</v>
      </c>
    </row>
    <row r="127" spans="1:10" x14ac:dyDescent="0.25">
      <c r="A127" s="11">
        <v>1994</v>
      </c>
      <c r="B127" s="11" t="s">
        <v>249</v>
      </c>
      <c r="C127" s="13">
        <v>249</v>
      </c>
      <c r="D127" s="13">
        <v>0</v>
      </c>
      <c r="E127" s="13">
        <v>12</v>
      </c>
      <c r="F127" s="13">
        <v>51</v>
      </c>
      <c r="G127" s="13">
        <v>91</v>
      </c>
      <c r="H127" s="13">
        <v>63</v>
      </c>
      <c r="I127" s="13">
        <v>27</v>
      </c>
      <c r="J127" s="13">
        <v>5</v>
      </c>
    </row>
    <row r="128" spans="1:10" x14ac:dyDescent="0.25">
      <c r="A128" s="11">
        <v>1994</v>
      </c>
      <c r="B128" s="11" t="s">
        <v>250</v>
      </c>
      <c r="C128" s="13">
        <v>1413</v>
      </c>
      <c r="D128" s="13">
        <v>1</v>
      </c>
      <c r="E128" s="13">
        <v>67</v>
      </c>
      <c r="F128" s="13">
        <v>276</v>
      </c>
      <c r="G128" s="13">
        <v>497</v>
      </c>
      <c r="H128" s="13">
        <v>410</v>
      </c>
      <c r="I128" s="13">
        <v>142</v>
      </c>
      <c r="J128" s="13">
        <v>20</v>
      </c>
    </row>
    <row r="129" spans="1:10" x14ac:dyDescent="0.25">
      <c r="A129" s="11">
        <v>1994</v>
      </c>
      <c r="B129" s="11" t="s">
        <v>251</v>
      </c>
      <c r="C129" s="13">
        <v>2066</v>
      </c>
      <c r="D129" s="13">
        <v>2</v>
      </c>
      <c r="E129" s="13">
        <v>145</v>
      </c>
      <c r="F129" s="13">
        <v>409</v>
      </c>
      <c r="G129" s="13">
        <v>713</v>
      </c>
      <c r="H129" s="13">
        <v>592</v>
      </c>
      <c r="I129" s="13">
        <v>188</v>
      </c>
      <c r="J129" s="13">
        <v>17</v>
      </c>
    </row>
    <row r="130" spans="1:10" x14ac:dyDescent="0.25">
      <c r="A130" s="11">
        <v>1994</v>
      </c>
      <c r="B130" s="11" t="s">
        <v>252</v>
      </c>
      <c r="C130" s="13">
        <v>1147</v>
      </c>
      <c r="D130" s="13">
        <v>2</v>
      </c>
      <c r="E130" s="13">
        <v>68</v>
      </c>
      <c r="F130" s="13">
        <v>234</v>
      </c>
      <c r="G130" s="13">
        <v>409</v>
      </c>
      <c r="H130" s="13">
        <v>316</v>
      </c>
      <c r="I130" s="13">
        <v>99</v>
      </c>
      <c r="J130" s="13">
        <v>19</v>
      </c>
    </row>
    <row r="131" spans="1:10" x14ac:dyDescent="0.25">
      <c r="A131" s="11">
        <v>1994</v>
      </c>
      <c r="B131" s="11" t="s">
        <v>253</v>
      </c>
      <c r="C131" s="13">
        <v>314</v>
      </c>
      <c r="D131" s="13">
        <v>1</v>
      </c>
      <c r="E131" s="13">
        <v>18</v>
      </c>
      <c r="F131" s="13">
        <v>63</v>
      </c>
      <c r="G131" s="13">
        <v>123</v>
      </c>
      <c r="H131" s="13">
        <v>85</v>
      </c>
      <c r="I131" s="13">
        <v>20</v>
      </c>
      <c r="J131" s="13">
        <v>4</v>
      </c>
    </row>
    <row r="132" spans="1:10" x14ac:dyDescent="0.25">
      <c r="A132" s="11">
        <v>1994</v>
      </c>
      <c r="B132" s="11" t="s">
        <v>254</v>
      </c>
      <c r="C132" s="13">
        <v>1144</v>
      </c>
      <c r="D132" s="13">
        <v>2</v>
      </c>
      <c r="E132" s="13">
        <v>72</v>
      </c>
      <c r="F132" s="13">
        <v>226</v>
      </c>
      <c r="G132" s="13">
        <v>392</v>
      </c>
      <c r="H132" s="13">
        <v>323</v>
      </c>
      <c r="I132" s="13">
        <v>117</v>
      </c>
      <c r="J132" s="13">
        <v>12</v>
      </c>
    </row>
    <row r="133" spans="1:10" x14ac:dyDescent="0.25">
      <c r="A133" s="11">
        <v>1994</v>
      </c>
      <c r="B133" s="11" t="s">
        <v>255</v>
      </c>
      <c r="C133" s="13">
        <v>3717</v>
      </c>
      <c r="D133" s="13">
        <v>3</v>
      </c>
      <c r="E133" s="13">
        <v>235</v>
      </c>
      <c r="F133" s="13">
        <v>640</v>
      </c>
      <c r="G133" s="13">
        <v>1395</v>
      </c>
      <c r="H133" s="13">
        <v>1060</v>
      </c>
      <c r="I133" s="13">
        <v>338</v>
      </c>
      <c r="J133" s="13">
        <v>46</v>
      </c>
    </row>
    <row r="134" spans="1:10" x14ac:dyDescent="0.25">
      <c r="A134" s="11">
        <v>1994</v>
      </c>
      <c r="B134" s="11" t="s">
        <v>256</v>
      </c>
      <c r="C134" s="13">
        <v>855</v>
      </c>
      <c r="D134" s="13">
        <v>0</v>
      </c>
      <c r="E134" s="13">
        <v>57</v>
      </c>
      <c r="F134" s="13">
        <v>155</v>
      </c>
      <c r="G134" s="13">
        <v>289</v>
      </c>
      <c r="H134" s="13">
        <v>259</v>
      </c>
      <c r="I134" s="13">
        <v>87</v>
      </c>
      <c r="J134" s="13">
        <v>8</v>
      </c>
    </row>
    <row r="135" spans="1:10" x14ac:dyDescent="0.25">
      <c r="A135" s="11">
        <v>1994</v>
      </c>
      <c r="B135" s="11" t="s">
        <v>257</v>
      </c>
      <c r="C135" s="13">
        <v>1265</v>
      </c>
      <c r="D135" s="13">
        <v>0</v>
      </c>
      <c r="E135" s="13">
        <v>111</v>
      </c>
      <c r="F135" s="13">
        <v>275</v>
      </c>
      <c r="G135" s="13">
        <v>464</v>
      </c>
      <c r="H135" s="13">
        <v>300</v>
      </c>
      <c r="I135" s="13">
        <v>97</v>
      </c>
      <c r="J135" s="13">
        <v>18</v>
      </c>
    </row>
    <row r="136" spans="1:10" x14ac:dyDescent="0.25">
      <c r="A136" s="11">
        <v>1994</v>
      </c>
      <c r="B136" s="11" t="s">
        <v>258</v>
      </c>
      <c r="C136" s="13">
        <v>2016</v>
      </c>
      <c r="D136" s="13">
        <v>0</v>
      </c>
      <c r="E136" s="13">
        <v>121</v>
      </c>
      <c r="F136" s="13">
        <v>421</v>
      </c>
      <c r="G136" s="13">
        <v>777</v>
      </c>
      <c r="H136" s="13">
        <v>530</v>
      </c>
      <c r="I136" s="13">
        <v>151</v>
      </c>
      <c r="J136" s="13">
        <v>16</v>
      </c>
    </row>
    <row r="137" spans="1:10" x14ac:dyDescent="0.25">
      <c r="A137" s="11">
        <v>1995</v>
      </c>
      <c r="B137" s="11" t="s">
        <v>11</v>
      </c>
      <c r="C137" s="13">
        <v>60051</v>
      </c>
      <c r="D137" s="13">
        <v>24</v>
      </c>
      <c r="E137" s="13">
        <v>4280</v>
      </c>
      <c r="F137" s="13">
        <v>11913</v>
      </c>
      <c r="G137" s="13">
        <v>20395</v>
      </c>
      <c r="H137" s="13">
        <v>16803</v>
      </c>
      <c r="I137" s="13">
        <v>5799</v>
      </c>
      <c r="J137" s="13">
        <v>837</v>
      </c>
    </row>
    <row r="138" spans="1:10" x14ac:dyDescent="0.25">
      <c r="A138" s="11">
        <v>1995</v>
      </c>
      <c r="B138" s="11" t="s">
        <v>227</v>
      </c>
      <c r="C138" s="13">
        <v>2363</v>
      </c>
      <c r="D138" s="13">
        <v>0</v>
      </c>
      <c r="E138" s="13">
        <v>155</v>
      </c>
      <c r="F138" s="13">
        <v>452</v>
      </c>
      <c r="G138" s="13">
        <v>745</v>
      </c>
      <c r="H138" s="13">
        <v>722</v>
      </c>
      <c r="I138" s="13">
        <v>254</v>
      </c>
      <c r="J138" s="13">
        <v>35</v>
      </c>
    </row>
    <row r="139" spans="1:10" x14ac:dyDescent="0.25">
      <c r="A139" s="11">
        <v>1995</v>
      </c>
      <c r="B139" s="11" t="s">
        <v>228</v>
      </c>
      <c r="C139" s="13">
        <v>2697</v>
      </c>
      <c r="D139" s="13">
        <v>1</v>
      </c>
      <c r="E139" s="13">
        <v>113</v>
      </c>
      <c r="F139" s="13">
        <v>432</v>
      </c>
      <c r="G139" s="13">
        <v>1021</v>
      </c>
      <c r="H139" s="13">
        <v>831</v>
      </c>
      <c r="I139" s="13">
        <v>259</v>
      </c>
      <c r="J139" s="13">
        <v>40</v>
      </c>
    </row>
    <row r="140" spans="1:10" x14ac:dyDescent="0.25">
      <c r="A140" s="11">
        <v>1995</v>
      </c>
      <c r="B140" s="11" t="s">
        <v>229</v>
      </c>
      <c r="C140" s="13">
        <v>1256</v>
      </c>
      <c r="D140" s="13">
        <v>0</v>
      </c>
      <c r="E140" s="13">
        <v>93</v>
      </c>
      <c r="F140" s="13">
        <v>275</v>
      </c>
      <c r="G140" s="13">
        <v>444</v>
      </c>
      <c r="H140" s="13">
        <v>332</v>
      </c>
      <c r="I140" s="13">
        <v>103</v>
      </c>
      <c r="J140" s="13">
        <v>9</v>
      </c>
    </row>
    <row r="141" spans="1:10" x14ac:dyDescent="0.25">
      <c r="A141" s="11">
        <v>1995</v>
      </c>
      <c r="B141" s="11" t="s">
        <v>230</v>
      </c>
      <c r="C141" s="13">
        <v>1011</v>
      </c>
      <c r="D141" s="13">
        <v>1</v>
      </c>
      <c r="E141" s="13">
        <v>54</v>
      </c>
      <c r="F141" s="13">
        <v>198</v>
      </c>
      <c r="G141" s="13">
        <v>345</v>
      </c>
      <c r="H141" s="13">
        <v>281</v>
      </c>
      <c r="I141" s="13">
        <v>108</v>
      </c>
      <c r="J141" s="13">
        <v>24</v>
      </c>
    </row>
    <row r="142" spans="1:10" x14ac:dyDescent="0.25">
      <c r="A142" s="11">
        <v>1995</v>
      </c>
      <c r="B142" s="11" t="s">
        <v>231</v>
      </c>
      <c r="C142" s="13">
        <v>5061</v>
      </c>
      <c r="D142" s="13">
        <v>2</v>
      </c>
      <c r="E142" s="13">
        <v>268</v>
      </c>
      <c r="F142" s="13">
        <v>794</v>
      </c>
      <c r="G142" s="13">
        <v>1514</v>
      </c>
      <c r="H142" s="13">
        <v>1743</v>
      </c>
      <c r="I142" s="13">
        <v>662</v>
      </c>
      <c r="J142" s="13">
        <v>78</v>
      </c>
    </row>
    <row r="143" spans="1:10" x14ac:dyDescent="0.25">
      <c r="A143" s="11">
        <v>1995</v>
      </c>
      <c r="B143" s="11" t="s">
        <v>232</v>
      </c>
      <c r="C143" s="13">
        <v>637</v>
      </c>
      <c r="D143" s="13">
        <v>0</v>
      </c>
      <c r="E143" s="13">
        <v>51</v>
      </c>
      <c r="F143" s="13">
        <v>153</v>
      </c>
      <c r="G143" s="13">
        <v>220</v>
      </c>
      <c r="H143" s="13">
        <v>158</v>
      </c>
      <c r="I143" s="13">
        <v>43</v>
      </c>
      <c r="J143" s="13">
        <v>12</v>
      </c>
    </row>
    <row r="144" spans="1:10" x14ac:dyDescent="0.25">
      <c r="A144" s="11">
        <v>1995</v>
      </c>
      <c r="B144" s="11" t="s">
        <v>233</v>
      </c>
      <c r="C144" s="13">
        <v>1636</v>
      </c>
      <c r="D144" s="13">
        <v>6</v>
      </c>
      <c r="E144" s="13">
        <v>110</v>
      </c>
      <c r="F144" s="13">
        <v>354</v>
      </c>
      <c r="G144" s="13">
        <v>590</v>
      </c>
      <c r="H144" s="13">
        <v>416</v>
      </c>
      <c r="I144" s="13">
        <v>138</v>
      </c>
      <c r="J144" s="13">
        <v>22</v>
      </c>
    </row>
    <row r="145" spans="1:10" x14ac:dyDescent="0.25">
      <c r="A145" s="11">
        <v>1995</v>
      </c>
      <c r="B145" s="11" t="s">
        <v>234</v>
      </c>
      <c r="C145" s="13">
        <v>1744</v>
      </c>
      <c r="D145" s="13">
        <v>0</v>
      </c>
      <c r="E145" s="13">
        <v>205</v>
      </c>
      <c r="F145" s="13">
        <v>433</v>
      </c>
      <c r="G145" s="13">
        <v>519</v>
      </c>
      <c r="H145" s="13">
        <v>429</v>
      </c>
      <c r="I145" s="13">
        <v>137</v>
      </c>
      <c r="J145" s="13">
        <v>21</v>
      </c>
    </row>
    <row r="146" spans="1:10" x14ac:dyDescent="0.25">
      <c r="A146" s="11">
        <v>1995</v>
      </c>
      <c r="B146" s="11" t="s">
        <v>235</v>
      </c>
      <c r="C146" s="13">
        <v>1468</v>
      </c>
      <c r="D146" s="13">
        <v>0</v>
      </c>
      <c r="E146" s="13">
        <v>130</v>
      </c>
      <c r="F146" s="13">
        <v>362</v>
      </c>
      <c r="G146" s="13">
        <v>534</v>
      </c>
      <c r="H146" s="13">
        <v>334</v>
      </c>
      <c r="I146" s="13">
        <v>95</v>
      </c>
      <c r="J146" s="13">
        <v>13</v>
      </c>
    </row>
    <row r="147" spans="1:10" x14ac:dyDescent="0.25">
      <c r="A147" s="11">
        <v>1995</v>
      </c>
      <c r="B147" s="11" t="s">
        <v>236</v>
      </c>
      <c r="C147" s="13">
        <v>1252</v>
      </c>
      <c r="D147" s="13">
        <v>0</v>
      </c>
      <c r="E147" s="13">
        <v>32</v>
      </c>
      <c r="F147" s="13">
        <v>121</v>
      </c>
      <c r="G147" s="13">
        <v>381</v>
      </c>
      <c r="H147" s="13">
        <v>501</v>
      </c>
      <c r="I147" s="13">
        <v>194</v>
      </c>
      <c r="J147" s="13">
        <v>23</v>
      </c>
    </row>
    <row r="148" spans="1:10" x14ac:dyDescent="0.25">
      <c r="A148" s="11">
        <v>1995</v>
      </c>
      <c r="B148" s="11" t="s">
        <v>237</v>
      </c>
      <c r="C148" s="13">
        <v>1088</v>
      </c>
      <c r="D148" s="13">
        <v>1</v>
      </c>
      <c r="E148" s="13">
        <v>46</v>
      </c>
      <c r="F148" s="13">
        <v>189</v>
      </c>
      <c r="G148" s="13">
        <v>370</v>
      </c>
      <c r="H148" s="13">
        <v>342</v>
      </c>
      <c r="I148" s="13">
        <v>124</v>
      </c>
      <c r="J148" s="13">
        <v>16</v>
      </c>
    </row>
    <row r="149" spans="1:10" x14ac:dyDescent="0.25">
      <c r="A149" s="11">
        <v>1995</v>
      </c>
      <c r="B149" s="11" t="s">
        <v>238</v>
      </c>
      <c r="C149" s="13">
        <v>1004</v>
      </c>
      <c r="D149" s="13">
        <v>0</v>
      </c>
      <c r="E149" s="13">
        <v>27</v>
      </c>
      <c r="F149" s="13">
        <v>104</v>
      </c>
      <c r="G149" s="13">
        <v>307</v>
      </c>
      <c r="H149" s="13">
        <v>396</v>
      </c>
      <c r="I149" s="13">
        <v>146</v>
      </c>
      <c r="J149" s="13">
        <v>24</v>
      </c>
    </row>
    <row r="150" spans="1:10" x14ac:dyDescent="0.25">
      <c r="A150" s="11">
        <v>1995</v>
      </c>
      <c r="B150" s="11" t="s">
        <v>239</v>
      </c>
      <c r="C150" s="13">
        <v>1633</v>
      </c>
      <c r="D150" s="13">
        <v>1</v>
      </c>
      <c r="E150" s="13">
        <v>111</v>
      </c>
      <c r="F150" s="13">
        <v>358</v>
      </c>
      <c r="G150" s="13">
        <v>585</v>
      </c>
      <c r="H150" s="13">
        <v>431</v>
      </c>
      <c r="I150" s="13">
        <v>132</v>
      </c>
      <c r="J150" s="13">
        <v>15</v>
      </c>
    </row>
    <row r="151" spans="1:10" x14ac:dyDescent="0.25">
      <c r="A151" s="11">
        <v>1995</v>
      </c>
      <c r="B151" s="11" t="s">
        <v>240</v>
      </c>
      <c r="C151" s="13">
        <v>4033</v>
      </c>
      <c r="D151" s="13">
        <v>0</v>
      </c>
      <c r="E151" s="13">
        <v>300</v>
      </c>
      <c r="F151" s="13">
        <v>853</v>
      </c>
      <c r="G151" s="13">
        <v>1464</v>
      </c>
      <c r="H151" s="13">
        <v>1020</v>
      </c>
      <c r="I151" s="13">
        <v>335</v>
      </c>
      <c r="J151" s="13">
        <v>61</v>
      </c>
    </row>
    <row r="152" spans="1:10" x14ac:dyDescent="0.25">
      <c r="A152" s="11">
        <v>1995</v>
      </c>
      <c r="B152" s="11" t="s">
        <v>241</v>
      </c>
      <c r="C152" s="13">
        <v>7785</v>
      </c>
      <c r="D152" s="13">
        <v>3</v>
      </c>
      <c r="E152" s="13">
        <v>734</v>
      </c>
      <c r="F152" s="13">
        <v>1767</v>
      </c>
      <c r="G152" s="13">
        <v>2488</v>
      </c>
      <c r="H152" s="13">
        <v>1968</v>
      </c>
      <c r="I152" s="13">
        <v>724</v>
      </c>
      <c r="J152" s="13">
        <v>101</v>
      </c>
    </row>
    <row r="153" spans="1:10" x14ac:dyDescent="0.25">
      <c r="A153" s="11">
        <v>1995</v>
      </c>
      <c r="B153" s="11" t="s">
        <v>242</v>
      </c>
      <c r="C153" s="13">
        <v>2412</v>
      </c>
      <c r="D153" s="13">
        <v>1</v>
      </c>
      <c r="E153" s="13">
        <v>145</v>
      </c>
      <c r="F153" s="13">
        <v>487</v>
      </c>
      <c r="G153" s="13">
        <v>794</v>
      </c>
      <c r="H153" s="13">
        <v>701</v>
      </c>
      <c r="I153" s="13">
        <v>241</v>
      </c>
      <c r="J153" s="13">
        <v>43</v>
      </c>
    </row>
    <row r="154" spans="1:10" x14ac:dyDescent="0.25">
      <c r="A154" s="11">
        <v>1995</v>
      </c>
      <c r="B154" s="11" t="s">
        <v>243</v>
      </c>
      <c r="C154" s="13">
        <v>1086</v>
      </c>
      <c r="D154" s="13">
        <v>0</v>
      </c>
      <c r="E154" s="13">
        <v>98</v>
      </c>
      <c r="F154" s="13">
        <v>212</v>
      </c>
      <c r="G154" s="13">
        <v>370</v>
      </c>
      <c r="H154" s="13">
        <v>281</v>
      </c>
      <c r="I154" s="13">
        <v>109</v>
      </c>
      <c r="J154" s="13">
        <v>16</v>
      </c>
    </row>
    <row r="155" spans="1:10" x14ac:dyDescent="0.25">
      <c r="A155" s="11">
        <v>1995</v>
      </c>
      <c r="B155" s="11" t="s">
        <v>244</v>
      </c>
      <c r="C155" s="13">
        <v>939</v>
      </c>
      <c r="D155" s="13">
        <v>2</v>
      </c>
      <c r="E155" s="13">
        <v>68</v>
      </c>
      <c r="F155" s="13">
        <v>174</v>
      </c>
      <c r="G155" s="13">
        <v>350</v>
      </c>
      <c r="H155" s="13">
        <v>263</v>
      </c>
      <c r="I155" s="13">
        <v>70</v>
      </c>
      <c r="J155" s="13">
        <v>12</v>
      </c>
    </row>
    <row r="156" spans="1:10" x14ac:dyDescent="0.25">
      <c r="A156" s="11">
        <v>1995</v>
      </c>
      <c r="B156" s="11" t="s">
        <v>245</v>
      </c>
      <c r="C156" s="13">
        <v>1076</v>
      </c>
      <c r="D156" s="13">
        <v>0</v>
      </c>
      <c r="E156" s="13">
        <v>60</v>
      </c>
      <c r="F156" s="13">
        <v>277</v>
      </c>
      <c r="G156" s="13">
        <v>378</v>
      </c>
      <c r="H156" s="13">
        <v>261</v>
      </c>
      <c r="I156" s="13">
        <v>83</v>
      </c>
      <c r="J156" s="13">
        <v>17</v>
      </c>
    </row>
    <row r="157" spans="1:10" x14ac:dyDescent="0.25">
      <c r="A157" s="11">
        <v>1995</v>
      </c>
      <c r="B157" s="11" t="s">
        <v>246</v>
      </c>
      <c r="C157" s="13">
        <v>302</v>
      </c>
      <c r="D157" s="13">
        <v>0</v>
      </c>
      <c r="E157" s="13">
        <v>15</v>
      </c>
      <c r="F157" s="13">
        <v>60</v>
      </c>
      <c r="G157" s="13">
        <v>92</v>
      </c>
      <c r="H157" s="13">
        <v>82</v>
      </c>
      <c r="I157" s="13">
        <v>43</v>
      </c>
      <c r="J157" s="13">
        <v>10</v>
      </c>
    </row>
    <row r="158" spans="1:10" x14ac:dyDescent="0.25">
      <c r="A158" s="11">
        <v>1995</v>
      </c>
      <c r="B158" s="11" t="s">
        <v>247</v>
      </c>
      <c r="C158" s="13">
        <v>1628</v>
      </c>
      <c r="D158" s="13">
        <v>0</v>
      </c>
      <c r="E158" s="13">
        <v>130</v>
      </c>
      <c r="F158" s="13">
        <v>370</v>
      </c>
      <c r="G158" s="13">
        <v>552</v>
      </c>
      <c r="H158" s="13">
        <v>412</v>
      </c>
      <c r="I158" s="13">
        <v>146</v>
      </c>
      <c r="J158" s="13">
        <v>18</v>
      </c>
    </row>
    <row r="159" spans="1:10" x14ac:dyDescent="0.25">
      <c r="A159" s="11">
        <v>1995</v>
      </c>
      <c r="B159" s="11" t="s">
        <v>248</v>
      </c>
      <c r="C159" s="13">
        <v>4032</v>
      </c>
      <c r="D159" s="13">
        <v>0</v>
      </c>
      <c r="E159" s="13">
        <v>341</v>
      </c>
      <c r="F159" s="13">
        <v>898</v>
      </c>
      <c r="G159" s="13">
        <v>1438</v>
      </c>
      <c r="H159" s="13">
        <v>990</v>
      </c>
      <c r="I159" s="13">
        <v>331</v>
      </c>
      <c r="J159" s="13">
        <v>34</v>
      </c>
    </row>
    <row r="160" spans="1:10" x14ac:dyDescent="0.25">
      <c r="A160" s="11">
        <v>1995</v>
      </c>
      <c r="B160" s="11" t="s">
        <v>249</v>
      </c>
      <c r="C160" s="13">
        <v>231</v>
      </c>
      <c r="D160" s="13">
        <v>1</v>
      </c>
      <c r="E160" s="13">
        <v>19</v>
      </c>
      <c r="F160" s="13">
        <v>60</v>
      </c>
      <c r="G160" s="13">
        <v>87</v>
      </c>
      <c r="H160" s="13">
        <v>48</v>
      </c>
      <c r="I160" s="13">
        <v>15</v>
      </c>
      <c r="J160" s="13">
        <v>1</v>
      </c>
    </row>
    <row r="161" spans="1:10" x14ac:dyDescent="0.25">
      <c r="A161" s="11">
        <v>1995</v>
      </c>
      <c r="B161" s="11" t="s">
        <v>250</v>
      </c>
      <c r="C161" s="13">
        <v>1374</v>
      </c>
      <c r="D161" s="13">
        <v>2</v>
      </c>
      <c r="E161" s="13">
        <v>82</v>
      </c>
      <c r="F161" s="13">
        <v>258</v>
      </c>
      <c r="G161" s="13">
        <v>472</v>
      </c>
      <c r="H161" s="13">
        <v>415</v>
      </c>
      <c r="I161" s="13">
        <v>123</v>
      </c>
      <c r="J161" s="13">
        <v>22</v>
      </c>
    </row>
    <row r="162" spans="1:10" x14ac:dyDescent="0.25">
      <c r="A162" s="11">
        <v>1995</v>
      </c>
      <c r="B162" s="11" t="s">
        <v>251</v>
      </c>
      <c r="C162" s="13">
        <v>2104</v>
      </c>
      <c r="D162" s="13">
        <v>0</v>
      </c>
      <c r="E162" s="13">
        <v>167</v>
      </c>
      <c r="F162" s="13">
        <v>365</v>
      </c>
      <c r="G162" s="13">
        <v>721</v>
      </c>
      <c r="H162" s="13">
        <v>616</v>
      </c>
      <c r="I162" s="13">
        <v>214</v>
      </c>
      <c r="J162" s="13">
        <v>21</v>
      </c>
    </row>
    <row r="163" spans="1:10" x14ac:dyDescent="0.25">
      <c r="A163" s="11">
        <v>1995</v>
      </c>
      <c r="B163" s="11" t="s">
        <v>252</v>
      </c>
      <c r="C163" s="13">
        <v>1172</v>
      </c>
      <c r="D163" s="13">
        <v>0</v>
      </c>
      <c r="E163" s="13">
        <v>72</v>
      </c>
      <c r="F163" s="13">
        <v>230</v>
      </c>
      <c r="G163" s="13">
        <v>397</v>
      </c>
      <c r="H163" s="13">
        <v>330</v>
      </c>
      <c r="I163" s="13">
        <v>113</v>
      </c>
      <c r="J163" s="13">
        <v>30</v>
      </c>
    </row>
    <row r="164" spans="1:10" x14ac:dyDescent="0.25">
      <c r="A164" s="11">
        <v>1995</v>
      </c>
      <c r="B164" s="11" t="s">
        <v>253</v>
      </c>
      <c r="C164" s="13">
        <v>291</v>
      </c>
      <c r="D164" s="13">
        <v>1</v>
      </c>
      <c r="E164" s="13">
        <v>15</v>
      </c>
      <c r="F164" s="13">
        <v>58</v>
      </c>
      <c r="G164" s="13">
        <v>104</v>
      </c>
      <c r="H164" s="13">
        <v>82</v>
      </c>
      <c r="I164" s="13">
        <v>25</v>
      </c>
      <c r="J164" s="13">
        <v>6</v>
      </c>
    </row>
    <row r="165" spans="1:10" x14ac:dyDescent="0.25">
      <c r="A165" s="11">
        <v>1995</v>
      </c>
      <c r="B165" s="11" t="s">
        <v>254</v>
      </c>
      <c r="C165" s="13">
        <v>1080</v>
      </c>
      <c r="D165" s="13">
        <v>0</v>
      </c>
      <c r="E165" s="13">
        <v>103</v>
      </c>
      <c r="F165" s="13">
        <v>186</v>
      </c>
      <c r="G165" s="13">
        <v>376</v>
      </c>
      <c r="H165" s="13">
        <v>294</v>
      </c>
      <c r="I165" s="13">
        <v>106</v>
      </c>
      <c r="J165" s="13">
        <v>15</v>
      </c>
    </row>
    <row r="166" spans="1:10" x14ac:dyDescent="0.25">
      <c r="A166" s="11">
        <v>1995</v>
      </c>
      <c r="B166" s="11" t="s">
        <v>255</v>
      </c>
      <c r="C166" s="13">
        <v>3507</v>
      </c>
      <c r="D166" s="13">
        <v>0</v>
      </c>
      <c r="E166" s="13">
        <v>244</v>
      </c>
      <c r="F166" s="13">
        <v>605</v>
      </c>
      <c r="G166" s="13">
        <v>1247</v>
      </c>
      <c r="H166" s="13">
        <v>1019</v>
      </c>
      <c r="I166" s="13">
        <v>346</v>
      </c>
      <c r="J166" s="13">
        <v>46</v>
      </c>
    </row>
    <row r="167" spans="1:10" x14ac:dyDescent="0.25">
      <c r="A167" s="11">
        <v>1995</v>
      </c>
      <c r="B167" s="11" t="s">
        <v>256</v>
      </c>
      <c r="C167" s="13">
        <v>913</v>
      </c>
      <c r="D167" s="13">
        <v>0</v>
      </c>
      <c r="E167" s="13">
        <v>52</v>
      </c>
      <c r="F167" s="13">
        <v>154</v>
      </c>
      <c r="G167" s="13">
        <v>297</v>
      </c>
      <c r="H167" s="13">
        <v>288</v>
      </c>
      <c r="I167" s="13">
        <v>108</v>
      </c>
      <c r="J167" s="13">
        <v>14</v>
      </c>
    </row>
    <row r="168" spans="1:10" x14ac:dyDescent="0.25">
      <c r="A168" s="11">
        <v>1995</v>
      </c>
      <c r="B168" s="11" t="s">
        <v>257</v>
      </c>
      <c r="C168" s="13">
        <v>1171</v>
      </c>
      <c r="D168" s="13">
        <v>0</v>
      </c>
      <c r="E168" s="13">
        <v>105</v>
      </c>
      <c r="F168" s="13">
        <v>225</v>
      </c>
      <c r="G168" s="13">
        <v>421</v>
      </c>
      <c r="H168" s="13">
        <v>299</v>
      </c>
      <c r="I168" s="13">
        <v>105</v>
      </c>
      <c r="J168" s="13">
        <v>16</v>
      </c>
    </row>
    <row r="169" spans="1:10" x14ac:dyDescent="0.25">
      <c r="A169" s="11">
        <v>1995</v>
      </c>
      <c r="B169" s="11" t="s">
        <v>258</v>
      </c>
      <c r="C169" s="13">
        <v>2065</v>
      </c>
      <c r="D169" s="13">
        <v>2</v>
      </c>
      <c r="E169" s="13">
        <v>135</v>
      </c>
      <c r="F169" s="13">
        <v>449</v>
      </c>
      <c r="G169" s="13">
        <v>772</v>
      </c>
      <c r="H169" s="13">
        <v>518</v>
      </c>
      <c r="I169" s="13">
        <v>167</v>
      </c>
      <c r="J169" s="13">
        <v>22</v>
      </c>
    </row>
    <row r="170" spans="1:10" x14ac:dyDescent="0.25">
      <c r="A170" s="11">
        <v>1996</v>
      </c>
      <c r="B170" s="11" t="s">
        <v>11</v>
      </c>
      <c r="C170" s="13">
        <v>59296</v>
      </c>
      <c r="D170" s="13">
        <v>128</v>
      </c>
      <c r="E170" s="13">
        <v>4544</v>
      </c>
      <c r="F170" s="13">
        <v>11026</v>
      </c>
      <c r="G170" s="13">
        <v>19511</v>
      </c>
      <c r="H170" s="13">
        <v>17038</v>
      </c>
      <c r="I170" s="13">
        <v>6126</v>
      </c>
      <c r="J170" s="13">
        <v>923</v>
      </c>
    </row>
    <row r="171" spans="1:10" x14ac:dyDescent="0.25">
      <c r="A171" s="11">
        <v>1996</v>
      </c>
      <c r="B171" s="11" t="s">
        <v>227</v>
      </c>
      <c r="C171" s="13">
        <v>2402</v>
      </c>
      <c r="D171" s="13">
        <v>1</v>
      </c>
      <c r="E171" s="13">
        <v>172</v>
      </c>
      <c r="F171" s="13">
        <v>448</v>
      </c>
      <c r="G171" s="13">
        <v>768</v>
      </c>
      <c r="H171" s="13">
        <v>720</v>
      </c>
      <c r="I171" s="13">
        <v>255</v>
      </c>
      <c r="J171" s="13">
        <v>38</v>
      </c>
    </row>
    <row r="172" spans="1:10" x14ac:dyDescent="0.25">
      <c r="A172" s="11">
        <v>1996</v>
      </c>
      <c r="B172" s="11" t="s">
        <v>228</v>
      </c>
      <c r="C172" s="13">
        <v>2627</v>
      </c>
      <c r="D172" s="13">
        <v>13</v>
      </c>
      <c r="E172" s="13">
        <v>119</v>
      </c>
      <c r="F172" s="13">
        <v>444</v>
      </c>
      <c r="G172" s="13">
        <v>961</v>
      </c>
      <c r="H172" s="13">
        <v>776</v>
      </c>
      <c r="I172" s="13">
        <v>276</v>
      </c>
      <c r="J172" s="13">
        <v>38</v>
      </c>
    </row>
    <row r="173" spans="1:10" x14ac:dyDescent="0.25">
      <c r="A173" s="11">
        <v>1996</v>
      </c>
      <c r="B173" s="11" t="s">
        <v>229</v>
      </c>
      <c r="C173" s="13">
        <v>1219</v>
      </c>
      <c r="D173" s="13">
        <v>1</v>
      </c>
      <c r="E173" s="13">
        <v>95</v>
      </c>
      <c r="F173" s="13">
        <v>262</v>
      </c>
      <c r="G173" s="13">
        <v>416</v>
      </c>
      <c r="H173" s="13">
        <v>323</v>
      </c>
      <c r="I173" s="13">
        <v>101</v>
      </c>
      <c r="J173" s="13">
        <v>21</v>
      </c>
    </row>
    <row r="174" spans="1:10" x14ac:dyDescent="0.25">
      <c r="A174" s="11">
        <v>1996</v>
      </c>
      <c r="B174" s="11" t="s">
        <v>230</v>
      </c>
      <c r="C174" s="13">
        <v>955</v>
      </c>
      <c r="D174" s="13">
        <v>11</v>
      </c>
      <c r="E174" s="13">
        <v>69</v>
      </c>
      <c r="F174" s="13">
        <v>172</v>
      </c>
      <c r="G174" s="13">
        <v>302</v>
      </c>
      <c r="H174" s="13">
        <v>262</v>
      </c>
      <c r="I174" s="13">
        <v>120</v>
      </c>
      <c r="J174" s="13">
        <v>19</v>
      </c>
    </row>
    <row r="175" spans="1:10" x14ac:dyDescent="0.25">
      <c r="A175" s="11">
        <v>1996</v>
      </c>
      <c r="B175" s="11" t="s">
        <v>231</v>
      </c>
      <c r="C175" s="13">
        <v>5130</v>
      </c>
      <c r="D175" s="13">
        <v>7</v>
      </c>
      <c r="E175" s="13">
        <v>310</v>
      </c>
      <c r="F175" s="13">
        <v>731</v>
      </c>
      <c r="G175" s="13">
        <v>1482</v>
      </c>
      <c r="H175" s="13">
        <v>1770</v>
      </c>
      <c r="I175" s="13">
        <v>710</v>
      </c>
      <c r="J175" s="13">
        <v>120</v>
      </c>
    </row>
    <row r="176" spans="1:10" x14ac:dyDescent="0.25">
      <c r="A176" s="11">
        <v>1996</v>
      </c>
      <c r="B176" s="11" t="s">
        <v>232</v>
      </c>
      <c r="C176" s="13">
        <v>598</v>
      </c>
      <c r="D176" s="13">
        <v>0</v>
      </c>
      <c r="E176" s="13">
        <v>50</v>
      </c>
      <c r="F176" s="13">
        <v>131</v>
      </c>
      <c r="G176" s="13">
        <v>223</v>
      </c>
      <c r="H176" s="13">
        <v>142</v>
      </c>
      <c r="I176" s="13">
        <v>47</v>
      </c>
      <c r="J176" s="13">
        <v>5</v>
      </c>
    </row>
    <row r="177" spans="1:10" x14ac:dyDescent="0.25">
      <c r="A177" s="11">
        <v>1996</v>
      </c>
      <c r="B177" s="11" t="s">
        <v>233</v>
      </c>
      <c r="C177" s="13">
        <v>1610</v>
      </c>
      <c r="D177" s="13">
        <v>1</v>
      </c>
      <c r="E177" s="13">
        <v>116</v>
      </c>
      <c r="F177" s="13">
        <v>361</v>
      </c>
      <c r="G177" s="13">
        <v>534</v>
      </c>
      <c r="H177" s="13">
        <v>422</v>
      </c>
      <c r="I177" s="13">
        <v>159</v>
      </c>
      <c r="J177" s="13">
        <v>17</v>
      </c>
    </row>
    <row r="178" spans="1:10" x14ac:dyDescent="0.25">
      <c r="A178" s="11">
        <v>1996</v>
      </c>
      <c r="B178" s="11" t="s">
        <v>234</v>
      </c>
      <c r="C178" s="13">
        <v>1728</v>
      </c>
      <c r="D178" s="13">
        <v>3</v>
      </c>
      <c r="E178" s="13">
        <v>205</v>
      </c>
      <c r="F178" s="13">
        <v>420</v>
      </c>
      <c r="G178" s="13">
        <v>539</v>
      </c>
      <c r="H178" s="13">
        <v>396</v>
      </c>
      <c r="I178" s="13">
        <v>143</v>
      </c>
      <c r="J178" s="13">
        <v>22</v>
      </c>
    </row>
    <row r="179" spans="1:10" x14ac:dyDescent="0.25">
      <c r="A179" s="11">
        <v>1996</v>
      </c>
      <c r="B179" s="11" t="s">
        <v>235</v>
      </c>
      <c r="C179" s="13">
        <v>1395</v>
      </c>
      <c r="D179" s="13">
        <v>1</v>
      </c>
      <c r="E179" s="13">
        <v>144</v>
      </c>
      <c r="F179" s="13">
        <v>285</v>
      </c>
      <c r="G179" s="13">
        <v>492</v>
      </c>
      <c r="H179" s="13">
        <v>349</v>
      </c>
      <c r="I179" s="13">
        <v>116</v>
      </c>
      <c r="J179" s="13">
        <v>8</v>
      </c>
    </row>
    <row r="180" spans="1:10" x14ac:dyDescent="0.25">
      <c r="A180" s="11">
        <v>1996</v>
      </c>
      <c r="B180" s="11" t="s">
        <v>236</v>
      </c>
      <c r="C180" s="13">
        <v>1167</v>
      </c>
      <c r="D180" s="13">
        <v>0</v>
      </c>
      <c r="E180" s="13">
        <v>59</v>
      </c>
      <c r="F180" s="13">
        <v>107</v>
      </c>
      <c r="G180" s="13">
        <v>368</v>
      </c>
      <c r="H180" s="13">
        <v>436</v>
      </c>
      <c r="I180" s="13">
        <v>177</v>
      </c>
      <c r="J180" s="13">
        <v>20</v>
      </c>
    </row>
    <row r="181" spans="1:10" x14ac:dyDescent="0.25">
      <c r="A181" s="11">
        <v>1996</v>
      </c>
      <c r="B181" s="11" t="s">
        <v>237</v>
      </c>
      <c r="C181" s="13">
        <v>1086</v>
      </c>
      <c r="D181" s="13">
        <v>2</v>
      </c>
      <c r="E181" s="13">
        <v>57</v>
      </c>
      <c r="F181" s="13">
        <v>181</v>
      </c>
      <c r="G181" s="13">
        <v>371</v>
      </c>
      <c r="H181" s="13">
        <v>346</v>
      </c>
      <c r="I181" s="13">
        <v>116</v>
      </c>
      <c r="J181" s="13">
        <v>13</v>
      </c>
    </row>
    <row r="182" spans="1:10" x14ac:dyDescent="0.25">
      <c r="A182" s="11">
        <v>1996</v>
      </c>
      <c r="B182" s="11" t="s">
        <v>238</v>
      </c>
      <c r="C182" s="13">
        <v>1010</v>
      </c>
      <c r="D182" s="13">
        <v>1</v>
      </c>
      <c r="E182" s="13">
        <v>46</v>
      </c>
      <c r="F182" s="13">
        <v>90</v>
      </c>
      <c r="G182" s="13">
        <v>303</v>
      </c>
      <c r="H182" s="13">
        <v>395</v>
      </c>
      <c r="I182" s="13">
        <v>144</v>
      </c>
      <c r="J182" s="13">
        <v>31</v>
      </c>
    </row>
    <row r="183" spans="1:10" x14ac:dyDescent="0.25">
      <c r="A183" s="11">
        <v>1996</v>
      </c>
      <c r="B183" s="11" t="s">
        <v>239</v>
      </c>
      <c r="C183" s="13">
        <v>1677</v>
      </c>
      <c r="D183" s="13">
        <v>2</v>
      </c>
      <c r="E183" s="13">
        <v>122</v>
      </c>
      <c r="F183" s="13">
        <v>328</v>
      </c>
      <c r="G183" s="13">
        <v>603</v>
      </c>
      <c r="H183" s="13">
        <v>472</v>
      </c>
      <c r="I183" s="13">
        <v>132</v>
      </c>
      <c r="J183" s="13">
        <v>18</v>
      </c>
    </row>
    <row r="184" spans="1:10" x14ac:dyDescent="0.25">
      <c r="A184" s="11">
        <v>1996</v>
      </c>
      <c r="B184" s="11" t="s">
        <v>240</v>
      </c>
      <c r="C184" s="13">
        <v>3830</v>
      </c>
      <c r="D184" s="13">
        <v>13</v>
      </c>
      <c r="E184" s="13">
        <v>336</v>
      </c>
      <c r="F184" s="13">
        <v>790</v>
      </c>
      <c r="G184" s="13">
        <v>1288</v>
      </c>
      <c r="H184" s="13">
        <v>990</v>
      </c>
      <c r="I184" s="13">
        <v>356</v>
      </c>
      <c r="J184" s="13">
        <v>57</v>
      </c>
    </row>
    <row r="185" spans="1:10" x14ac:dyDescent="0.25">
      <c r="A185" s="11">
        <v>1996</v>
      </c>
      <c r="B185" s="11" t="s">
        <v>241</v>
      </c>
      <c r="C185" s="13">
        <v>7696</v>
      </c>
      <c r="D185" s="13">
        <v>5</v>
      </c>
      <c r="E185" s="13">
        <v>747</v>
      </c>
      <c r="F185" s="13">
        <v>1572</v>
      </c>
      <c r="G185" s="13">
        <v>2387</v>
      </c>
      <c r="H185" s="13">
        <v>2043</v>
      </c>
      <c r="I185" s="13">
        <v>795</v>
      </c>
      <c r="J185" s="13">
        <v>147</v>
      </c>
    </row>
    <row r="186" spans="1:10" x14ac:dyDescent="0.25">
      <c r="A186" s="11">
        <v>1996</v>
      </c>
      <c r="B186" s="11" t="s">
        <v>242</v>
      </c>
      <c r="C186" s="13">
        <v>2377</v>
      </c>
      <c r="D186" s="13">
        <v>24</v>
      </c>
      <c r="E186" s="13">
        <v>164</v>
      </c>
      <c r="F186" s="13">
        <v>462</v>
      </c>
      <c r="G186" s="13">
        <v>744</v>
      </c>
      <c r="H186" s="13">
        <v>680</v>
      </c>
      <c r="I186" s="13">
        <v>272</v>
      </c>
      <c r="J186" s="13">
        <v>31</v>
      </c>
    </row>
    <row r="187" spans="1:10" x14ac:dyDescent="0.25">
      <c r="A187" s="11">
        <v>1996</v>
      </c>
      <c r="B187" s="11" t="s">
        <v>243</v>
      </c>
      <c r="C187" s="13">
        <v>1016</v>
      </c>
      <c r="D187" s="13">
        <v>1</v>
      </c>
      <c r="E187" s="13">
        <v>113</v>
      </c>
      <c r="F187" s="13">
        <v>179</v>
      </c>
      <c r="G187" s="13">
        <v>340</v>
      </c>
      <c r="H187" s="13">
        <v>266</v>
      </c>
      <c r="I187" s="13">
        <v>104</v>
      </c>
      <c r="J187" s="13">
        <v>13</v>
      </c>
    </row>
    <row r="188" spans="1:10" x14ac:dyDescent="0.25">
      <c r="A188" s="11">
        <v>1996</v>
      </c>
      <c r="B188" s="11" t="s">
        <v>244</v>
      </c>
      <c r="C188" s="13">
        <v>899</v>
      </c>
      <c r="D188" s="13">
        <v>0</v>
      </c>
      <c r="E188" s="13">
        <v>67</v>
      </c>
      <c r="F188" s="13">
        <v>169</v>
      </c>
      <c r="G188" s="13">
        <v>325</v>
      </c>
      <c r="H188" s="13">
        <v>248</v>
      </c>
      <c r="I188" s="13">
        <v>78</v>
      </c>
      <c r="J188" s="13">
        <v>12</v>
      </c>
    </row>
    <row r="189" spans="1:10" x14ac:dyDescent="0.25">
      <c r="A189" s="11">
        <v>1996</v>
      </c>
      <c r="B189" s="11" t="s">
        <v>245</v>
      </c>
      <c r="C189" s="13">
        <v>1021</v>
      </c>
      <c r="D189" s="13">
        <v>3</v>
      </c>
      <c r="E189" s="13">
        <v>75</v>
      </c>
      <c r="F189" s="13">
        <v>218</v>
      </c>
      <c r="G189" s="13">
        <v>365</v>
      </c>
      <c r="H189" s="13">
        <v>270</v>
      </c>
      <c r="I189" s="13">
        <v>77</v>
      </c>
      <c r="J189" s="13">
        <v>13</v>
      </c>
    </row>
    <row r="190" spans="1:10" x14ac:dyDescent="0.25">
      <c r="A190" s="11">
        <v>1996</v>
      </c>
      <c r="B190" s="11" t="s">
        <v>246</v>
      </c>
      <c r="C190" s="13">
        <v>281</v>
      </c>
      <c r="D190" s="13">
        <v>4</v>
      </c>
      <c r="E190" s="13">
        <v>15</v>
      </c>
      <c r="F190" s="13">
        <v>47</v>
      </c>
      <c r="G190" s="13">
        <v>86</v>
      </c>
      <c r="H190" s="13">
        <v>86</v>
      </c>
      <c r="I190" s="13">
        <v>34</v>
      </c>
      <c r="J190" s="13">
        <v>9</v>
      </c>
    </row>
    <row r="191" spans="1:10" x14ac:dyDescent="0.25">
      <c r="A191" s="11">
        <v>1996</v>
      </c>
      <c r="B191" s="11" t="s">
        <v>247</v>
      </c>
      <c r="C191" s="13">
        <v>1581</v>
      </c>
      <c r="D191" s="13">
        <v>2</v>
      </c>
      <c r="E191" s="13">
        <v>138</v>
      </c>
      <c r="F191" s="13">
        <v>349</v>
      </c>
      <c r="G191" s="13">
        <v>538</v>
      </c>
      <c r="H191" s="13">
        <v>398</v>
      </c>
      <c r="I191" s="13">
        <v>129</v>
      </c>
      <c r="J191" s="13">
        <v>27</v>
      </c>
    </row>
    <row r="192" spans="1:10" x14ac:dyDescent="0.25">
      <c r="A192" s="11">
        <v>1996</v>
      </c>
      <c r="B192" s="11" t="s">
        <v>248</v>
      </c>
      <c r="C192" s="13">
        <v>4092</v>
      </c>
      <c r="D192" s="13">
        <v>4</v>
      </c>
      <c r="E192" s="13">
        <v>370</v>
      </c>
      <c r="F192" s="13">
        <v>906</v>
      </c>
      <c r="G192" s="13">
        <v>1367</v>
      </c>
      <c r="H192" s="13">
        <v>1068</v>
      </c>
      <c r="I192" s="13">
        <v>333</v>
      </c>
      <c r="J192" s="13">
        <v>44</v>
      </c>
    </row>
    <row r="193" spans="1:10" x14ac:dyDescent="0.25">
      <c r="A193" s="11">
        <v>1996</v>
      </c>
      <c r="B193" s="11" t="s">
        <v>249</v>
      </c>
      <c r="C193" s="13">
        <v>214</v>
      </c>
      <c r="D193" s="13">
        <v>2</v>
      </c>
      <c r="E193" s="13">
        <v>11</v>
      </c>
      <c r="F193" s="13">
        <v>34</v>
      </c>
      <c r="G193" s="13">
        <v>77</v>
      </c>
      <c r="H193" s="13">
        <v>57</v>
      </c>
      <c r="I193" s="13">
        <v>27</v>
      </c>
      <c r="J193" s="13">
        <v>6</v>
      </c>
    </row>
    <row r="194" spans="1:10" x14ac:dyDescent="0.25">
      <c r="A194" s="11">
        <v>1996</v>
      </c>
      <c r="B194" s="11" t="s">
        <v>250</v>
      </c>
      <c r="C194" s="13">
        <v>1386</v>
      </c>
      <c r="D194" s="13">
        <v>4</v>
      </c>
      <c r="E194" s="13">
        <v>81</v>
      </c>
      <c r="F194" s="13">
        <v>198</v>
      </c>
      <c r="G194" s="13">
        <v>475</v>
      </c>
      <c r="H194" s="13">
        <v>434</v>
      </c>
      <c r="I194" s="13">
        <v>172</v>
      </c>
      <c r="J194" s="13">
        <v>22</v>
      </c>
    </row>
    <row r="195" spans="1:10" x14ac:dyDescent="0.25">
      <c r="A195" s="11">
        <v>1996</v>
      </c>
      <c r="B195" s="11" t="s">
        <v>251</v>
      </c>
      <c r="C195" s="13">
        <v>2122</v>
      </c>
      <c r="D195" s="13">
        <v>0</v>
      </c>
      <c r="E195" s="13">
        <v>157</v>
      </c>
      <c r="F195" s="13">
        <v>382</v>
      </c>
      <c r="G195" s="13">
        <v>670</v>
      </c>
      <c r="H195" s="13">
        <v>661</v>
      </c>
      <c r="I195" s="13">
        <v>217</v>
      </c>
      <c r="J195" s="13">
        <v>35</v>
      </c>
    </row>
    <row r="196" spans="1:10" x14ac:dyDescent="0.25">
      <c r="A196" s="11">
        <v>1996</v>
      </c>
      <c r="B196" s="11" t="s">
        <v>252</v>
      </c>
      <c r="C196" s="13">
        <v>1132</v>
      </c>
      <c r="D196" s="13">
        <v>5</v>
      </c>
      <c r="E196" s="13">
        <v>52</v>
      </c>
      <c r="F196" s="13">
        <v>175</v>
      </c>
      <c r="G196" s="13">
        <v>399</v>
      </c>
      <c r="H196" s="13">
        <v>350</v>
      </c>
      <c r="I196" s="13">
        <v>129</v>
      </c>
      <c r="J196" s="13">
        <v>22</v>
      </c>
    </row>
    <row r="197" spans="1:10" x14ac:dyDescent="0.25">
      <c r="A197" s="11">
        <v>1996</v>
      </c>
      <c r="B197" s="11" t="s">
        <v>253</v>
      </c>
      <c r="C197" s="13">
        <v>269</v>
      </c>
      <c r="D197" s="13">
        <v>0</v>
      </c>
      <c r="E197" s="13">
        <v>9</v>
      </c>
      <c r="F197" s="13">
        <v>66</v>
      </c>
      <c r="G197" s="13">
        <v>80</v>
      </c>
      <c r="H197" s="13">
        <v>75</v>
      </c>
      <c r="I197" s="13">
        <v>32</v>
      </c>
      <c r="J197" s="13">
        <v>7</v>
      </c>
    </row>
    <row r="198" spans="1:10" x14ac:dyDescent="0.25">
      <c r="A198" s="11">
        <v>1996</v>
      </c>
      <c r="B198" s="11" t="s">
        <v>254</v>
      </c>
      <c r="C198" s="13">
        <v>1159</v>
      </c>
      <c r="D198" s="13">
        <v>2</v>
      </c>
      <c r="E198" s="13">
        <v>105</v>
      </c>
      <c r="F198" s="13">
        <v>211</v>
      </c>
      <c r="G198" s="13">
        <v>360</v>
      </c>
      <c r="H198" s="13">
        <v>336</v>
      </c>
      <c r="I198" s="13">
        <v>125</v>
      </c>
      <c r="J198" s="13">
        <v>20</v>
      </c>
    </row>
    <row r="199" spans="1:10" x14ac:dyDescent="0.25">
      <c r="A199" s="11">
        <v>1996</v>
      </c>
      <c r="B199" s="11" t="s">
        <v>255</v>
      </c>
      <c r="C199" s="13">
        <v>3534</v>
      </c>
      <c r="D199" s="13">
        <v>13</v>
      </c>
      <c r="E199" s="13">
        <v>231</v>
      </c>
      <c r="F199" s="13">
        <v>585</v>
      </c>
      <c r="G199" s="13">
        <v>1213</v>
      </c>
      <c r="H199" s="13">
        <v>1080</v>
      </c>
      <c r="I199" s="13">
        <v>368</v>
      </c>
      <c r="J199" s="13">
        <v>44</v>
      </c>
    </row>
    <row r="200" spans="1:10" x14ac:dyDescent="0.25">
      <c r="A200" s="11">
        <v>1996</v>
      </c>
      <c r="B200" s="11" t="s">
        <v>256</v>
      </c>
      <c r="C200" s="13">
        <v>914</v>
      </c>
      <c r="D200" s="13">
        <v>1</v>
      </c>
      <c r="E200" s="13">
        <v>43</v>
      </c>
      <c r="F200" s="13">
        <v>142</v>
      </c>
      <c r="G200" s="13">
        <v>279</v>
      </c>
      <c r="H200" s="13">
        <v>304</v>
      </c>
      <c r="I200" s="13">
        <v>126</v>
      </c>
      <c r="J200" s="13">
        <v>19</v>
      </c>
    </row>
    <row r="201" spans="1:10" x14ac:dyDescent="0.25">
      <c r="A201" s="11">
        <v>1996</v>
      </c>
      <c r="B201" s="11" t="s">
        <v>257</v>
      </c>
      <c r="C201" s="13">
        <v>1198</v>
      </c>
      <c r="D201" s="13">
        <v>2</v>
      </c>
      <c r="E201" s="13">
        <v>112</v>
      </c>
      <c r="F201" s="13">
        <v>228</v>
      </c>
      <c r="G201" s="13">
        <v>425</v>
      </c>
      <c r="H201" s="13">
        <v>320</v>
      </c>
      <c r="I201" s="13">
        <v>98</v>
      </c>
      <c r="J201" s="13">
        <v>13</v>
      </c>
    </row>
    <row r="202" spans="1:10" x14ac:dyDescent="0.25">
      <c r="A202" s="11">
        <v>1996</v>
      </c>
      <c r="B202" s="11" t="s">
        <v>258</v>
      </c>
      <c r="C202" s="13">
        <v>1971</v>
      </c>
      <c r="D202" s="13">
        <v>0</v>
      </c>
      <c r="E202" s="13">
        <v>154</v>
      </c>
      <c r="F202" s="13">
        <v>353</v>
      </c>
      <c r="G202" s="13">
        <v>731</v>
      </c>
      <c r="H202" s="13">
        <v>563</v>
      </c>
      <c r="I202" s="13">
        <v>158</v>
      </c>
      <c r="J202" s="13">
        <v>12</v>
      </c>
    </row>
    <row r="203" spans="1:10" x14ac:dyDescent="0.25">
      <c r="A203" s="11">
        <v>1997</v>
      </c>
      <c r="B203" s="11" t="s">
        <v>11</v>
      </c>
      <c r="C203" s="13">
        <v>59440</v>
      </c>
      <c r="D203" s="13">
        <v>66</v>
      </c>
      <c r="E203" s="13">
        <v>4835</v>
      </c>
      <c r="F203" s="13">
        <v>10607</v>
      </c>
      <c r="G203" s="13">
        <v>18782</v>
      </c>
      <c r="H203" s="13">
        <v>17455</v>
      </c>
      <c r="I203" s="13">
        <v>6740</v>
      </c>
      <c r="J203" s="13">
        <v>955</v>
      </c>
    </row>
    <row r="204" spans="1:10" x14ac:dyDescent="0.25">
      <c r="A204" s="11">
        <v>1997</v>
      </c>
      <c r="B204" s="11" t="s">
        <v>227</v>
      </c>
      <c r="C204" s="13">
        <v>2366</v>
      </c>
      <c r="D204" s="13">
        <v>0</v>
      </c>
      <c r="E204" s="13">
        <v>187</v>
      </c>
      <c r="F204" s="13">
        <v>394</v>
      </c>
      <c r="G204" s="13">
        <v>779</v>
      </c>
      <c r="H204" s="13">
        <v>688</v>
      </c>
      <c r="I204" s="13">
        <v>269</v>
      </c>
      <c r="J204" s="13">
        <v>49</v>
      </c>
    </row>
    <row r="205" spans="1:10" x14ac:dyDescent="0.25">
      <c r="A205" s="11">
        <v>1997</v>
      </c>
      <c r="B205" s="11" t="s">
        <v>228</v>
      </c>
      <c r="C205" s="13">
        <v>2594</v>
      </c>
      <c r="D205" s="13">
        <v>1</v>
      </c>
      <c r="E205" s="13">
        <v>133</v>
      </c>
      <c r="F205" s="13">
        <v>412</v>
      </c>
      <c r="G205" s="13">
        <v>872</v>
      </c>
      <c r="H205" s="13">
        <v>836</v>
      </c>
      <c r="I205" s="13">
        <v>306</v>
      </c>
      <c r="J205" s="13">
        <v>34</v>
      </c>
    </row>
    <row r="206" spans="1:10" x14ac:dyDescent="0.25">
      <c r="A206" s="11">
        <v>1997</v>
      </c>
      <c r="B206" s="11" t="s">
        <v>229</v>
      </c>
      <c r="C206" s="13">
        <v>1236</v>
      </c>
      <c r="D206" s="13">
        <v>3</v>
      </c>
      <c r="E206" s="13">
        <v>102</v>
      </c>
      <c r="F206" s="13">
        <v>226</v>
      </c>
      <c r="G206" s="13">
        <v>445</v>
      </c>
      <c r="H206" s="13">
        <v>310</v>
      </c>
      <c r="I206" s="13">
        <v>133</v>
      </c>
      <c r="J206" s="13">
        <v>17</v>
      </c>
    </row>
    <row r="207" spans="1:10" x14ac:dyDescent="0.25">
      <c r="A207" s="11">
        <v>1997</v>
      </c>
      <c r="B207" s="11" t="s">
        <v>230</v>
      </c>
      <c r="C207" s="13">
        <v>948</v>
      </c>
      <c r="D207" s="13">
        <v>5</v>
      </c>
      <c r="E207" s="13">
        <v>51</v>
      </c>
      <c r="F207" s="13">
        <v>182</v>
      </c>
      <c r="G207" s="13">
        <v>307</v>
      </c>
      <c r="H207" s="13">
        <v>270</v>
      </c>
      <c r="I207" s="13">
        <v>114</v>
      </c>
      <c r="J207" s="13">
        <v>19</v>
      </c>
    </row>
    <row r="208" spans="1:10" x14ac:dyDescent="0.25">
      <c r="A208" s="11">
        <v>1997</v>
      </c>
      <c r="B208" s="11" t="s">
        <v>231</v>
      </c>
      <c r="C208" s="13">
        <v>5110</v>
      </c>
      <c r="D208" s="13">
        <v>1</v>
      </c>
      <c r="E208" s="13">
        <v>337</v>
      </c>
      <c r="F208" s="13">
        <v>694</v>
      </c>
      <c r="G208" s="13">
        <v>1391</v>
      </c>
      <c r="H208" s="13">
        <v>1824</v>
      </c>
      <c r="I208" s="13">
        <v>750</v>
      </c>
      <c r="J208" s="13">
        <v>113</v>
      </c>
    </row>
    <row r="209" spans="1:10" x14ac:dyDescent="0.25">
      <c r="A209" s="11">
        <v>1997</v>
      </c>
      <c r="B209" s="11" t="s">
        <v>232</v>
      </c>
      <c r="C209" s="13">
        <v>570</v>
      </c>
      <c r="D209" s="13">
        <v>0</v>
      </c>
      <c r="E209" s="13">
        <v>49</v>
      </c>
      <c r="F209" s="13">
        <v>125</v>
      </c>
      <c r="G209" s="13">
        <v>189</v>
      </c>
      <c r="H209" s="13">
        <v>146</v>
      </c>
      <c r="I209" s="13">
        <v>57</v>
      </c>
      <c r="J209" s="13">
        <v>4</v>
      </c>
    </row>
    <row r="210" spans="1:10" x14ac:dyDescent="0.25">
      <c r="A210" s="11">
        <v>1997</v>
      </c>
      <c r="B210" s="11" t="s">
        <v>233</v>
      </c>
      <c r="C210" s="13">
        <v>1568</v>
      </c>
      <c r="D210" s="13">
        <v>3</v>
      </c>
      <c r="E210" s="13">
        <v>142</v>
      </c>
      <c r="F210" s="13">
        <v>296</v>
      </c>
      <c r="G210" s="13">
        <v>525</v>
      </c>
      <c r="H210" s="13">
        <v>419</v>
      </c>
      <c r="I210" s="13">
        <v>158</v>
      </c>
      <c r="J210" s="13">
        <v>25</v>
      </c>
    </row>
    <row r="211" spans="1:10" x14ac:dyDescent="0.25">
      <c r="A211" s="11">
        <v>1997</v>
      </c>
      <c r="B211" s="11" t="s">
        <v>234</v>
      </c>
      <c r="C211" s="13">
        <v>1732</v>
      </c>
      <c r="D211" s="13">
        <v>0</v>
      </c>
      <c r="E211" s="13">
        <v>212</v>
      </c>
      <c r="F211" s="13">
        <v>420</v>
      </c>
      <c r="G211" s="13">
        <v>508</v>
      </c>
      <c r="H211" s="13">
        <v>407</v>
      </c>
      <c r="I211" s="13">
        <v>169</v>
      </c>
      <c r="J211" s="13">
        <v>16</v>
      </c>
    </row>
    <row r="212" spans="1:10" x14ac:dyDescent="0.25">
      <c r="A212" s="11">
        <v>1997</v>
      </c>
      <c r="B212" s="11" t="s">
        <v>235</v>
      </c>
      <c r="C212" s="13">
        <v>1381</v>
      </c>
      <c r="D212" s="13">
        <v>1</v>
      </c>
      <c r="E212" s="13">
        <v>142</v>
      </c>
      <c r="F212" s="13">
        <v>300</v>
      </c>
      <c r="G212" s="13">
        <v>437</v>
      </c>
      <c r="H212" s="13">
        <v>372</v>
      </c>
      <c r="I212" s="13">
        <v>112</v>
      </c>
      <c r="J212" s="13">
        <v>17</v>
      </c>
    </row>
    <row r="213" spans="1:10" x14ac:dyDescent="0.25">
      <c r="A213" s="11">
        <v>1997</v>
      </c>
      <c r="B213" s="11" t="s">
        <v>236</v>
      </c>
      <c r="C213" s="13">
        <v>1169</v>
      </c>
      <c r="D213" s="13">
        <v>0</v>
      </c>
      <c r="E213" s="13">
        <v>45</v>
      </c>
      <c r="F213" s="13">
        <v>85</v>
      </c>
      <c r="G213" s="13">
        <v>338</v>
      </c>
      <c r="H213" s="13">
        <v>485</v>
      </c>
      <c r="I213" s="13">
        <v>190</v>
      </c>
      <c r="J213" s="13">
        <v>26</v>
      </c>
    </row>
    <row r="214" spans="1:10" x14ac:dyDescent="0.25">
      <c r="A214" s="11">
        <v>1997</v>
      </c>
      <c r="B214" s="11" t="s">
        <v>237</v>
      </c>
      <c r="C214" s="13">
        <v>1085</v>
      </c>
      <c r="D214" s="13">
        <v>0</v>
      </c>
      <c r="E214" s="13">
        <v>74</v>
      </c>
      <c r="F214" s="13">
        <v>193</v>
      </c>
      <c r="G214" s="13">
        <v>345</v>
      </c>
      <c r="H214" s="13">
        <v>312</v>
      </c>
      <c r="I214" s="13">
        <v>133</v>
      </c>
      <c r="J214" s="13">
        <v>28</v>
      </c>
    </row>
    <row r="215" spans="1:10" x14ac:dyDescent="0.25">
      <c r="A215" s="11">
        <v>1997</v>
      </c>
      <c r="B215" s="11" t="s">
        <v>238</v>
      </c>
      <c r="C215" s="13">
        <v>1039</v>
      </c>
      <c r="D215" s="13">
        <v>1</v>
      </c>
      <c r="E215" s="13">
        <v>40</v>
      </c>
      <c r="F215" s="13">
        <v>91</v>
      </c>
      <c r="G215" s="13">
        <v>278</v>
      </c>
      <c r="H215" s="13">
        <v>419</v>
      </c>
      <c r="I215" s="13">
        <v>178</v>
      </c>
      <c r="J215" s="13">
        <v>32</v>
      </c>
    </row>
    <row r="216" spans="1:10" x14ac:dyDescent="0.25">
      <c r="A216" s="11">
        <v>1997</v>
      </c>
      <c r="B216" s="11" t="s">
        <v>239</v>
      </c>
      <c r="C216" s="13">
        <v>1639</v>
      </c>
      <c r="D216" s="13">
        <v>1</v>
      </c>
      <c r="E216" s="13">
        <v>140</v>
      </c>
      <c r="F216" s="13">
        <v>333</v>
      </c>
      <c r="G216" s="13">
        <v>536</v>
      </c>
      <c r="H216" s="13">
        <v>464</v>
      </c>
      <c r="I216" s="13">
        <v>149</v>
      </c>
      <c r="J216" s="13">
        <v>16</v>
      </c>
    </row>
    <row r="217" spans="1:10" x14ac:dyDescent="0.25">
      <c r="A217" s="11">
        <v>1997</v>
      </c>
      <c r="B217" s="11" t="s">
        <v>240</v>
      </c>
      <c r="C217" s="13">
        <v>3824</v>
      </c>
      <c r="D217" s="13">
        <v>7</v>
      </c>
      <c r="E217" s="13">
        <v>365</v>
      </c>
      <c r="F217" s="13">
        <v>756</v>
      </c>
      <c r="G217" s="13">
        <v>1271</v>
      </c>
      <c r="H217" s="13">
        <v>998</v>
      </c>
      <c r="I217" s="13">
        <v>373</v>
      </c>
      <c r="J217" s="13">
        <v>54</v>
      </c>
    </row>
    <row r="218" spans="1:10" x14ac:dyDescent="0.25">
      <c r="A218" s="11">
        <v>1997</v>
      </c>
      <c r="B218" s="11" t="s">
        <v>241</v>
      </c>
      <c r="C218" s="13">
        <v>7609</v>
      </c>
      <c r="D218" s="13">
        <v>2</v>
      </c>
      <c r="E218" s="13">
        <v>756</v>
      </c>
      <c r="F218" s="13">
        <v>1513</v>
      </c>
      <c r="G218" s="13">
        <v>2330</v>
      </c>
      <c r="H218" s="13">
        <v>2042</v>
      </c>
      <c r="I218" s="13">
        <v>837</v>
      </c>
      <c r="J218" s="13">
        <v>129</v>
      </c>
    </row>
    <row r="219" spans="1:10" x14ac:dyDescent="0.25">
      <c r="A219" s="11">
        <v>1997</v>
      </c>
      <c r="B219" s="11" t="s">
        <v>242</v>
      </c>
      <c r="C219" s="13">
        <v>2443</v>
      </c>
      <c r="D219" s="13">
        <v>10</v>
      </c>
      <c r="E219" s="13">
        <v>182</v>
      </c>
      <c r="F219" s="13">
        <v>440</v>
      </c>
      <c r="G219" s="13">
        <v>740</v>
      </c>
      <c r="H219" s="13">
        <v>706</v>
      </c>
      <c r="I219" s="13">
        <v>312</v>
      </c>
      <c r="J219" s="13">
        <v>53</v>
      </c>
    </row>
    <row r="220" spans="1:10" x14ac:dyDescent="0.25">
      <c r="A220" s="11">
        <v>1997</v>
      </c>
      <c r="B220" s="11" t="s">
        <v>243</v>
      </c>
      <c r="C220" s="13">
        <v>980</v>
      </c>
      <c r="D220" s="13">
        <v>0</v>
      </c>
      <c r="E220" s="13">
        <v>102</v>
      </c>
      <c r="F220" s="13">
        <v>184</v>
      </c>
      <c r="G220" s="13">
        <v>285</v>
      </c>
      <c r="H220" s="13">
        <v>283</v>
      </c>
      <c r="I220" s="13">
        <v>118</v>
      </c>
      <c r="J220" s="13">
        <v>8</v>
      </c>
    </row>
    <row r="221" spans="1:10" x14ac:dyDescent="0.25">
      <c r="A221" s="11">
        <v>1997</v>
      </c>
      <c r="B221" s="11" t="s">
        <v>244</v>
      </c>
      <c r="C221" s="13">
        <v>942</v>
      </c>
      <c r="D221" s="13">
        <v>0</v>
      </c>
      <c r="E221" s="13">
        <v>69</v>
      </c>
      <c r="F221" s="13">
        <v>160</v>
      </c>
      <c r="G221" s="13">
        <v>346</v>
      </c>
      <c r="H221" s="13">
        <v>261</v>
      </c>
      <c r="I221" s="13">
        <v>92</v>
      </c>
      <c r="J221" s="13">
        <v>14</v>
      </c>
    </row>
    <row r="222" spans="1:10" x14ac:dyDescent="0.25">
      <c r="A222" s="11">
        <v>1997</v>
      </c>
      <c r="B222" s="11" t="s">
        <v>245</v>
      </c>
      <c r="C222" s="13">
        <v>1084</v>
      </c>
      <c r="D222" s="13">
        <v>2</v>
      </c>
      <c r="E222" s="13">
        <v>65</v>
      </c>
      <c r="F222" s="13">
        <v>218</v>
      </c>
      <c r="G222" s="13">
        <v>437</v>
      </c>
      <c r="H222" s="13">
        <v>268</v>
      </c>
      <c r="I222" s="13">
        <v>77</v>
      </c>
      <c r="J222" s="13">
        <v>17</v>
      </c>
    </row>
    <row r="223" spans="1:10" x14ac:dyDescent="0.25">
      <c r="A223" s="11">
        <v>1997</v>
      </c>
      <c r="B223" s="11" t="s">
        <v>246</v>
      </c>
      <c r="C223" s="13">
        <v>252</v>
      </c>
      <c r="D223" s="13">
        <v>2</v>
      </c>
      <c r="E223" s="13">
        <v>15</v>
      </c>
      <c r="F223" s="13">
        <v>38</v>
      </c>
      <c r="G223" s="13">
        <v>69</v>
      </c>
      <c r="H223" s="13">
        <v>77</v>
      </c>
      <c r="I223" s="13">
        <v>44</v>
      </c>
      <c r="J223" s="13">
        <v>7</v>
      </c>
    </row>
    <row r="224" spans="1:10" x14ac:dyDescent="0.25">
      <c r="A224" s="11">
        <v>1997</v>
      </c>
      <c r="B224" s="11" t="s">
        <v>247</v>
      </c>
      <c r="C224" s="13">
        <v>1636</v>
      </c>
      <c r="D224" s="13">
        <v>1</v>
      </c>
      <c r="E224" s="13">
        <v>162</v>
      </c>
      <c r="F224" s="13">
        <v>336</v>
      </c>
      <c r="G224" s="13">
        <v>544</v>
      </c>
      <c r="H224" s="13">
        <v>428</v>
      </c>
      <c r="I224" s="13">
        <v>145</v>
      </c>
      <c r="J224" s="13">
        <v>20</v>
      </c>
    </row>
    <row r="225" spans="1:10" x14ac:dyDescent="0.25">
      <c r="A225" s="11">
        <v>1997</v>
      </c>
      <c r="B225" s="11" t="s">
        <v>248</v>
      </c>
      <c r="C225" s="13">
        <v>4090</v>
      </c>
      <c r="D225" s="13">
        <v>3</v>
      </c>
      <c r="E225" s="13">
        <v>388</v>
      </c>
      <c r="F225" s="13">
        <v>814</v>
      </c>
      <c r="G225" s="13">
        <v>1326</v>
      </c>
      <c r="H225" s="13">
        <v>1128</v>
      </c>
      <c r="I225" s="13">
        <v>378</v>
      </c>
      <c r="J225" s="13">
        <v>53</v>
      </c>
    </row>
    <row r="226" spans="1:10" x14ac:dyDescent="0.25">
      <c r="A226" s="11">
        <v>1997</v>
      </c>
      <c r="B226" s="11" t="s">
        <v>249</v>
      </c>
      <c r="C226" s="13">
        <v>224</v>
      </c>
      <c r="D226" s="13">
        <v>1</v>
      </c>
      <c r="E226" s="13">
        <v>11</v>
      </c>
      <c r="F226" s="13">
        <v>47</v>
      </c>
      <c r="G226" s="13">
        <v>74</v>
      </c>
      <c r="H226" s="13">
        <v>59</v>
      </c>
      <c r="I226" s="13">
        <v>23</v>
      </c>
      <c r="J226" s="13">
        <v>9</v>
      </c>
    </row>
    <row r="227" spans="1:10" x14ac:dyDescent="0.25">
      <c r="A227" s="11">
        <v>1997</v>
      </c>
      <c r="B227" s="11" t="s">
        <v>250</v>
      </c>
      <c r="C227" s="13">
        <v>1436</v>
      </c>
      <c r="D227" s="13">
        <v>5</v>
      </c>
      <c r="E227" s="13">
        <v>88</v>
      </c>
      <c r="F227" s="13">
        <v>231</v>
      </c>
      <c r="G227" s="13">
        <v>447</v>
      </c>
      <c r="H227" s="13">
        <v>444</v>
      </c>
      <c r="I227" s="13">
        <v>199</v>
      </c>
      <c r="J227" s="13">
        <v>22</v>
      </c>
    </row>
    <row r="228" spans="1:10" x14ac:dyDescent="0.25">
      <c r="A228" s="11">
        <v>1997</v>
      </c>
      <c r="B228" s="11" t="s">
        <v>251</v>
      </c>
      <c r="C228" s="13">
        <v>2194</v>
      </c>
      <c r="D228" s="13">
        <v>0</v>
      </c>
      <c r="E228" s="13">
        <v>161</v>
      </c>
      <c r="F228" s="13">
        <v>354</v>
      </c>
      <c r="G228" s="13">
        <v>681</v>
      </c>
      <c r="H228" s="13">
        <v>713</v>
      </c>
      <c r="I228" s="13">
        <v>247</v>
      </c>
      <c r="J228" s="13">
        <v>38</v>
      </c>
    </row>
    <row r="229" spans="1:10" x14ac:dyDescent="0.25">
      <c r="A229" s="11">
        <v>1997</v>
      </c>
      <c r="B229" s="11" t="s">
        <v>252</v>
      </c>
      <c r="C229" s="13">
        <v>1132</v>
      </c>
      <c r="D229" s="13">
        <v>2</v>
      </c>
      <c r="E229" s="13">
        <v>69</v>
      </c>
      <c r="F229" s="13">
        <v>171</v>
      </c>
      <c r="G229" s="13">
        <v>368</v>
      </c>
      <c r="H229" s="13">
        <v>359</v>
      </c>
      <c r="I229" s="13">
        <v>144</v>
      </c>
      <c r="J229" s="13">
        <v>19</v>
      </c>
    </row>
    <row r="230" spans="1:10" x14ac:dyDescent="0.25">
      <c r="A230" s="11">
        <v>1997</v>
      </c>
      <c r="B230" s="11" t="s">
        <v>253</v>
      </c>
      <c r="C230" s="13">
        <v>286</v>
      </c>
      <c r="D230" s="13">
        <v>0</v>
      </c>
      <c r="E230" s="13">
        <v>16</v>
      </c>
      <c r="F230" s="13">
        <v>38</v>
      </c>
      <c r="G230" s="13">
        <v>110</v>
      </c>
      <c r="H230" s="13">
        <v>85</v>
      </c>
      <c r="I230" s="13">
        <v>34</v>
      </c>
      <c r="J230" s="13">
        <v>3</v>
      </c>
    </row>
    <row r="231" spans="1:10" x14ac:dyDescent="0.25">
      <c r="A231" s="11">
        <v>1997</v>
      </c>
      <c r="B231" s="11" t="s">
        <v>254</v>
      </c>
      <c r="C231" s="13">
        <v>1150</v>
      </c>
      <c r="D231" s="13">
        <v>1</v>
      </c>
      <c r="E231" s="13">
        <v>121</v>
      </c>
      <c r="F231" s="13">
        <v>184</v>
      </c>
      <c r="G231" s="13">
        <v>344</v>
      </c>
      <c r="H231" s="13">
        <v>351</v>
      </c>
      <c r="I231" s="13">
        <v>134</v>
      </c>
      <c r="J231" s="13">
        <v>15</v>
      </c>
    </row>
    <row r="232" spans="1:10" x14ac:dyDescent="0.25">
      <c r="A232" s="11">
        <v>1997</v>
      </c>
      <c r="B232" s="11" t="s">
        <v>255</v>
      </c>
      <c r="C232" s="13">
        <v>3560</v>
      </c>
      <c r="D232" s="13">
        <v>8</v>
      </c>
      <c r="E232" s="13">
        <v>264</v>
      </c>
      <c r="F232" s="13">
        <v>604</v>
      </c>
      <c r="G232" s="13">
        <v>1127</v>
      </c>
      <c r="H232" s="13">
        <v>1093</v>
      </c>
      <c r="I232" s="13">
        <v>418</v>
      </c>
      <c r="J232" s="13">
        <v>46</v>
      </c>
    </row>
    <row r="233" spans="1:10" x14ac:dyDescent="0.25">
      <c r="A233" s="11">
        <v>1997</v>
      </c>
      <c r="B233" s="11" t="s">
        <v>256</v>
      </c>
      <c r="C233" s="13">
        <v>969</v>
      </c>
      <c r="D233" s="13">
        <v>1</v>
      </c>
      <c r="E233" s="13">
        <v>62</v>
      </c>
      <c r="F233" s="13">
        <v>159</v>
      </c>
      <c r="G233" s="13">
        <v>279</v>
      </c>
      <c r="H233" s="13">
        <v>303</v>
      </c>
      <c r="I233" s="13">
        <v>148</v>
      </c>
      <c r="J233" s="13">
        <v>17</v>
      </c>
    </row>
    <row r="234" spans="1:10" x14ac:dyDescent="0.25">
      <c r="A234" s="11">
        <v>1997</v>
      </c>
      <c r="B234" s="11" t="s">
        <v>257</v>
      </c>
      <c r="C234" s="13">
        <v>1157</v>
      </c>
      <c r="D234" s="13">
        <v>1</v>
      </c>
      <c r="E234" s="13">
        <v>113</v>
      </c>
      <c r="F234" s="13">
        <v>226</v>
      </c>
      <c r="G234" s="13">
        <v>359</v>
      </c>
      <c r="H234" s="13">
        <v>321</v>
      </c>
      <c r="I234" s="13">
        <v>128</v>
      </c>
      <c r="J234" s="13">
        <v>9</v>
      </c>
    </row>
    <row r="235" spans="1:10" x14ac:dyDescent="0.25">
      <c r="A235" s="11">
        <v>1997</v>
      </c>
      <c r="B235" s="11" t="s">
        <v>258</v>
      </c>
      <c r="C235" s="13">
        <v>2035</v>
      </c>
      <c r="D235" s="13">
        <v>4</v>
      </c>
      <c r="E235" s="13">
        <v>172</v>
      </c>
      <c r="F235" s="13">
        <v>383</v>
      </c>
      <c r="G235" s="13">
        <v>695</v>
      </c>
      <c r="H235" s="13">
        <v>584</v>
      </c>
      <c r="I235" s="13">
        <v>171</v>
      </c>
      <c r="J235" s="13">
        <v>26</v>
      </c>
    </row>
    <row r="236" spans="1:10" x14ac:dyDescent="0.25">
      <c r="A236" s="11">
        <v>1998</v>
      </c>
      <c r="B236" s="11" t="s">
        <v>11</v>
      </c>
      <c r="C236" s="13">
        <v>57319</v>
      </c>
      <c r="D236" s="13">
        <v>66</v>
      </c>
      <c r="E236" s="13">
        <v>4802</v>
      </c>
      <c r="F236" s="13">
        <v>9804</v>
      </c>
      <c r="G236" s="13">
        <v>17477</v>
      </c>
      <c r="H236" s="13">
        <v>17207</v>
      </c>
      <c r="I236" s="13">
        <v>6893</v>
      </c>
      <c r="J236" s="13">
        <v>1070</v>
      </c>
    </row>
    <row r="237" spans="1:10" x14ac:dyDescent="0.25">
      <c r="A237" s="11">
        <v>1998</v>
      </c>
      <c r="B237" s="11" t="s">
        <v>227</v>
      </c>
      <c r="C237" s="13">
        <v>2339</v>
      </c>
      <c r="D237" s="13">
        <v>0</v>
      </c>
      <c r="E237" s="13">
        <v>196</v>
      </c>
      <c r="F237" s="13">
        <v>376</v>
      </c>
      <c r="G237" s="13">
        <v>721</v>
      </c>
      <c r="H237" s="13">
        <v>714</v>
      </c>
      <c r="I237" s="13">
        <v>286</v>
      </c>
      <c r="J237" s="13">
        <v>46</v>
      </c>
    </row>
    <row r="238" spans="1:10" x14ac:dyDescent="0.25">
      <c r="A238" s="11">
        <v>1998</v>
      </c>
      <c r="B238" s="11" t="s">
        <v>228</v>
      </c>
      <c r="C238" s="13">
        <v>2594</v>
      </c>
      <c r="D238" s="13">
        <v>5</v>
      </c>
      <c r="E238" s="13">
        <v>147</v>
      </c>
      <c r="F238" s="13">
        <v>387</v>
      </c>
      <c r="G238" s="13">
        <v>877</v>
      </c>
      <c r="H238" s="13">
        <v>830</v>
      </c>
      <c r="I238" s="13">
        <v>299</v>
      </c>
      <c r="J238" s="13">
        <v>49</v>
      </c>
    </row>
    <row r="239" spans="1:10" x14ac:dyDescent="0.25">
      <c r="A239" s="11">
        <v>1998</v>
      </c>
      <c r="B239" s="11" t="s">
        <v>229</v>
      </c>
      <c r="C239" s="13">
        <v>1180</v>
      </c>
      <c r="D239" s="13">
        <v>2</v>
      </c>
      <c r="E239" s="13">
        <v>97</v>
      </c>
      <c r="F239" s="13">
        <v>210</v>
      </c>
      <c r="G239" s="13">
        <v>376</v>
      </c>
      <c r="H239" s="13">
        <v>345</v>
      </c>
      <c r="I239" s="13">
        <v>133</v>
      </c>
      <c r="J239" s="13">
        <v>17</v>
      </c>
    </row>
    <row r="240" spans="1:10" x14ac:dyDescent="0.25">
      <c r="A240" s="11">
        <v>1998</v>
      </c>
      <c r="B240" s="11" t="s">
        <v>230</v>
      </c>
      <c r="C240" s="13">
        <v>850</v>
      </c>
      <c r="D240" s="13">
        <v>10</v>
      </c>
      <c r="E240" s="13">
        <v>56</v>
      </c>
      <c r="F240" s="13">
        <v>147</v>
      </c>
      <c r="G240" s="13">
        <v>225</v>
      </c>
      <c r="H240" s="13">
        <v>262</v>
      </c>
      <c r="I240" s="13">
        <v>130</v>
      </c>
      <c r="J240" s="13">
        <v>20</v>
      </c>
    </row>
    <row r="241" spans="1:10" x14ac:dyDescent="0.25">
      <c r="A241" s="11">
        <v>1998</v>
      </c>
      <c r="B241" s="11" t="s">
        <v>231</v>
      </c>
      <c r="C241" s="13">
        <v>4857</v>
      </c>
      <c r="D241" s="13">
        <v>3</v>
      </c>
      <c r="E241" s="13">
        <v>312</v>
      </c>
      <c r="F241" s="13">
        <v>689</v>
      </c>
      <c r="G241" s="13">
        <v>1247</v>
      </c>
      <c r="H241" s="13">
        <v>1693</v>
      </c>
      <c r="I241" s="13">
        <v>812</v>
      </c>
      <c r="J241" s="13">
        <v>101</v>
      </c>
    </row>
    <row r="242" spans="1:10" x14ac:dyDescent="0.25">
      <c r="A242" s="11">
        <v>1998</v>
      </c>
      <c r="B242" s="11" t="s">
        <v>232</v>
      </c>
      <c r="C242" s="13">
        <v>537</v>
      </c>
      <c r="D242" s="13">
        <v>0</v>
      </c>
      <c r="E242" s="13">
        <v>62</v>
      </c>
      <c r="F242" s="13">
        <v>102</v>
      </c>
      <c r="G242" s="13">
        <v>178</v>
      </c>
      <c r="H242" s="13">
        <v>135</v>
      </c>
      <c r="I242" s="13">
        <v>47</v>
      </c>
      <c r="J242" s="13">
        <v>13</v>
      </c>
    </row>
    <row r="243" spans="1:10" x14ac:dyDescent="0.25">
      <c r="A243" s="11">
        <v>1998</v>
      </c>
      <c r="B243" s="11" t="s">
        <v>233</v>
      </c>
      <c r="C243" s="13">
        <v>1514</v>
      </c>
      <c r="D243" s="13">
        <v>0</v>
      </c>
      <c r="E243" s="13">
        <v>135</v>
      </c>
      <c r="F243" s="13">
        <v>274</v>
      </c>
      <c r="G243" s="13">
        <v>461</v>
      </c>
      <c r="H243" s="13">
        <v>436</v>
      </c>
      <c r="I243" s="13">
        <v>176</v>
      </c>
      <c r="J243" s="13">
        <v>32</v>
      </c>
    </row>
    <row r="244" spans="1:10" x14ac:dyDescent="0.25">
      <c r="A244" s="11">
        <v>1998</v>
      </c>
      <c r="B244" s="11" t="s">
        <v>234</v>
      </c>
      <c r="C244" s="13">
        <v>1652</v>
      </c>
      <c r="D244" s="13">
        <v>2</v>
      </c>
      <c r="E244" s="13">
        <v>222</v>
      </c>
      <c r="F244" s="13">
        <v>351</v>
      </c>
      <c r="G244" s="13">
        <v>496</v>
      </c>
      <c r="H244" s="13">
        <v>412</v>
      </c>
      <c r="I244" s="13">
        <v>145</v>
      </c>
      <c r="J244" s="13">
        <v>24</v>
      </c>
    </row>
    <row r="245" spans="1:10" x14ac:dyDescent="0.25">
      <c r="A245" s="11">
        <v>1998</v>
      </c>
      <c r="B245" s="11" t="s">
        <v>235</v>
      </c>
      <c r="C245" s="13">
        <v>1351</v>
      </c>
      <c r="D245" s="13">
        <v>2</v>
      </c>
      <c r="E245" s="13">
        <v>168</v>
      </c>
      <c r="F245" s="13">
        <v>274</v>
      </c>
      <c r="G245" s="13">
        <v>420</v>
      </c>
      <c r="H245" s="13">
        <v>334</v>
      </c>
      <c r="I245" s="13">
        <v>132</v>
      </c>
      <c r="J245" s="13">
        <v>21</v>
      </c>
    </row>
    <row r="246" spans="1:10" x14ac:dyDescent="0.25">
      <c r="A246" s="11">
        <v>1998</v>
      </c>
      <c r="B246" s="11" t="s">
        <v>236</v>
      </c>
      <c r="C246" s="13">
        <v>1117</v>
      </c>
      <c r="D246" s="13">
        <v>1</v>
      </c>
      <c r="E246" s="13">
        <v>29</v>
      </c>
      <c r="F246" s="13">
        <v>102</v>
      </c>
      <c r="G246" s="13">
        <v>307</v>
      </c>
      <c r="H246" s="13">
        <v>454</v>
      </c>
      <c r="I246" s="13">
        <v>203</v>
      </c>
      <c r="J246" s="13">
        <v>21</v>
      </c>
    </row>
    <row r="247" spans="1:10" x14ac:dyDescent="0.25">
      <c r="A247" s="11">
        <v>1998</v>
      </c>
      <c r="B247" s="11" t="s">
        <v>237</v>
      </c>
      <c r="C247" s="13">
        <v>1008</v>
      </c>
      <c r="D247" s="13">
        <v>1</v>
      </c>
      <c r="E247" s="13">
        <v>63</v>
      </c>
      <c r="F247" s="13">
        <v>148</v>
      </c>
      <c r="G247" s="13">
        <v>291</v>
      </c>
      <c r="H247" s="13">
        <v>348</v>
      </c>
      <c r="I247" s="13">
        <v>137</v>
      </c>
      <c r="J247" s="13">
        <v>20</v>
      </c>
    </row>
    <row r="248" spans="1:10" x14ac:dyDescent="0.25">
      <c r="A248" s="11">
        <v>1998</v>
      </c>
      <c r="B248" s="11" t="s">
        <v>238</v>
      </c>
      <c r="C248" s="13">
        <v>1013</v>
      </c>
      <c r="D248" s="13">
        <v>0</v>
      </c>
      <c r="E248" s="13">
        <v>42</v>
      </c>
      <c r="F248" s="13">
        <v>70</v>
      </c>
      <c r="G248" s="13">
        <v>262</v>
      </c>
      <c r="H248" s="13">
        <v>422</v>
      </c>
      <c r="I248" s="13">
        <v>183</v>
      </c>
      <c r="J248" s="13">
        <v>34</v>
      </c>
    </row>
    <row r="249" spans="1:10" x14ac:dyDescent="0.25">
      <c r="A249" s="11">
        <v>1998</v>
      </c>
      <c r="B249" s="11" t="s">
        <v>239</v>
      </c>
      <c r="C249" s="13">
        <v>1700</v>
      </c>
      <c r="D249" s="13">
        <v>0</v>
      </c>
      <c r="E249" s="13">
        <v>163</v>
      </c>
      <c r="F249" s="13">
        <v>290</v>
      </c>
      <c r="G249" s="13">
        <v>548</v>
      </c>
      <c r="H249" s="13">
        <v>523</v>
      </c>
      <c r="I249" s="13">
        <v>158</v>
      </c>
      <c r="J249" s="13">
        <v>18</v>
      </c>
    </row>
    <row r="250" spans="1:10" x14ac:dyDescent="0.25">
      <c r="A250" s="11">
        <v>1998</v>
      </c>
      <c r="B250" s="11" t="s">
        <v>240</v>
      </c>
      <c r="C250" s="13">
        <v>3854</v>
      </c>
      <c r="D250" s="13">
        <v>9</v>
      </c>
      <c r="E250" s="13">
        <v>372</v>
      </c>
      <c r="F250" s="13">
        <v>677</v>
      </c>
      <c r="G250" s="13">
        <v>1288</v>
      </c>
      <c r="H250" s="13">
        <v>1067</v>
      </c>
      <c r="I250" s="13">
        <v>370</v>
      </c>
      <c r="J250" s="13">
        <v>71</v>
      </c>
    </row>
    <row r="251" spans="1:10" x14ac:dyDescent="0.25">
      <c r="A251" s="11">
        <v>1998</v>
      </c>
      <c r="B251" s="11" t="s">
        <v>241</v>
      </c>
      <c r="C251" s="13">
        <v>7146</v>
      </c>
      <c r="D251" s="13">
        <v>4</v>
      </c>
      <c r="E251" s="13">
        <v>778</v>
      </c>
      <c r="F251" s="13">
        <v>1366</v>
      </c>
      <c r="G251" s="13">
        <v>2043</v>
      </c>
      <c r="H251" s="13">
        <v>1934</v>
      </c>
      <c r="I251" s="13">
        <v>886</v>
      </c>
      <c r="J251" s="13">
        <v>135</v>
      </c>
    </row>
    <row r="252" spans="1:10" x14ac:dyDescent="0.25">
      <c r="A252" s="11">
        <v>1998</v>
      </c>
      <c r="B252" s="11" t="s">
        <v>242</v>
      </c>
      <c r="C252" s="13">
        <v>2451</v>
      </c>
      <c r="D252" s="13">
        <v>9</v>
      </c>
      <c r="E252" s="13">
        <v>190</v>
      </c>
      <c r="F252" s="13">
        <v>436</v>
      </c>
      <c r="G252" s="13">
        <v>788</v>
      </c>
      <c r="H252" s="13">
        <v>699</v>
      </c>
      <c r="I252" s="13">
        <v>284</v>
      </c>
      <c r="J252" s="13">
        <v>45</v>
      </c>
    </row>
    <row r="253" spans="1:10" x14ac:dyDescent="0.25">
      <c r="A253" s="11">
        <v>1998</v>
      </c>
      <c r="B253" s="11" t="s">
        <v>243</v>
      </c>
      <c r="C253" s="13">
        <v>910</v>
      </c>
      <c r="D253" s="13">
        <v>0</v>
      </c>
      <c r="E253" s="13">
        <v>84</v>
      </c>
      <c r="F253" s="13">
        <v>175</v>
      </c>
      <c r="G253" s="13">
        <v>266</v>
      </c>
      <c r="H253" s="13">
        <v>269</v>
      </c>
      <c r="I253" s="13">
        <v>104</v>
      </c>
      <c r="J253" s="13">
        <v>12</v>
      </c>
    </row>
    <row r="254" spans="1:10" x14ac:dyDescent="0.25">
      <c r="A254" s="11">
        <v>1998</v>
      </c>
      <c r="B254" s="11" t="s">
        <v>244</v>
      </c>
      <c r="C254" s="13">
        <v>964</v>
      </c>
      <c r="D254" s="13">
        <v>1</v>
      </c>
      <c r="E254" s="13">
        <v>80</v>
      </c>
      <c r="F254" s="13">
        <v>143</v>
      </c>
      <c r="G254" s="13">
        <v>315</v>
      </c>
      <c r="H254" s="13">
        <v>282</v>
      </c>
      <c r="I254" s="13">
        <v>126</v>
      </c>
      <c r="J254" s="13">
        <v>17</v>
      </c>
    </row>
    <row r="255" spans="1:10" x14ac:dyDescent="0.25">
      <c r="A255" s="11">
        <v>1998</v>
      </c>
      <c r="B255" s="11" t="s">
        <v>245</v>
      </c>
      <c r="C255" s="13">
        <v>1034</v>
      </c>
      <c r="D255" s="13">
        <v>0</v>
      </c>
      <c r="E255" s="13">
        <v>59</v>
      </c>
      <c r="F255" s="13">
        <v>183</v>
      </c>
      <c r="G255" s="13">
        <v>380</v>
      </c>
      <c r="H255" s="13">
        <v>283</v>
      </c>
      <c r="I255" s="13">
        <v>111</v>
      </c>
      <c r="J255" s="13">
        <v>18</v>
      </c>
    </row>
    <row r="256" spans="1:10" x14ac:dyDescent="0.25">
      <c r="A256" s="11">
        <v>1998</v>
      </c>
      <c r="B256" s="11" t="s">
        <v>246</v>
      </c>
      <c r="C256" s="13">
        <v>274</v>
      </c>
      <c r="D256" s="13">
        <v>3</v>
      </c>
      <c r="E256" s="13">
        <v>17</v>
      </c>
      <c r="F256" s="13">
        <v>41</v>
      </c>
      <c r="G256" s="13">
        <v>78</v>
      </c>
      <c r="H256" s="13">
        <v>93</v>
      </c>
      <c r="I256" s="13">
        <v>33</v>
      </c>
      <c r="J256" s="13">
        <v>9</v>
      </c>
    </row>
    <row r="257" spans="1:10" x14ac:dyDescent="0.25">
      <c r="A257" s="11">
        <v>1998</v>
      </c>
      <c r="B257" s="11" t="s">
        <v>247</v>
      </c>
      <c r="C257" s="13">
        <v>1540</v>
      </c>
      <c r="D257" s="13">
        <v>1</v>
      </c>
      <c r="E257" s="13">
        <v>152</v>
      </c>
      <c r="F257" s="13">
        <v>322</v>
      </c>
      <c r="G257" s="13">
        <v>513</v>
      </c>
      <c r="H257" s="13">
        <v>392</v>
      </c>
      <c r="I257" s="13">
        <v>136</v>
      </c>
      <c r="J257" s="13">
        <v>24</v>
      </c>
    </row>
    <row r="258" spans="1:10" x14ac:dyDescent="0.25">
      <c r="A258" s="11">
        <v>1998</v>
      </c>
      <c r="B258" s="11" t="s">
        <v>248</v>
      </c>
      <c r="C258" s="13">
        <v>4078</v>
      </c>
      <c r="D258" s="13">
        <v>3</v>
      </c>
      <c r="E258" s="13">
        <v>347</v>
      </c>
      <c r="F258" s="13">
        <v>826</v>
      </c>
      <c r="G258" s="13">
        <v>1315</v>
      </c>
      <c r="H258" s="13">
        <v>1137</v>
      </c>
      <c r="I258" s="13">
        <v>387</v>
      </c>
      <c r="J258" s="13">
        <v>63</v>
      </c>
    </row>
    <row r="259" spans="1:10" x14ac:dyDescent="0.25">
      <c r="A259" s="11">
        <v>1998</v>
      </c>
      <c r="B259" s="11" t="s">
        <v>249</v>
      </c>
      <c r="C259" s="13">
        <v>194</v>
      </c>
      <c r="D259" s="13">
        <v>0</v>
      </c>
      <c r="E259" s="13">
        <v>17</v>
      </c>
      <c r="F259" s="13">
        <v>30</v>
      </c>
      <c r="G259" s="13">
        <v>68</v>
      </c>
      <c r="H259" s="13">
        <v>53</v>
      </c>
      <c r="I259" s="13">
        <v>24</v>
      </c>
      <c r="J259" s="13">
        <v>2</v>
      </c>
    </row>
    <row r="260" spans="1:10" x14ac:dyDescent="0.25">
      <c r="A260" s="11">
        <v>1998</v>
      </c>
      <c r="B260" s="11" t="s">
        <v>250</v>
      </c>
      <c r="C260" s="13">
        <v>1364</v>
      </c>
      <c r="D260" s="13">
        <v>4</v>
      </c>
      <c r="E260" s="13">
        <v>77</v>
      </c>
      <c r="F260" s="13">
        <v>214</v>
      </c>
      <c r="G260" s="13">
        <v>396</v>
      </c>
      <c r="H260" s="13">
        <v>454</v>
      </c>
      <c r="I260" s="13">
        <v>184</v>
      </c>
      <c r="J260" s="13">
        <v>35</v>
      </c>
    </row>
    <row r="261" spans="1:10" x14ac:dyDescent="0.25">
      <c r="A261" s="11">
        <v>1998</v>
      </c>
      <c r="B261" s="11" t="s">
        <v>251</v>
      </c>
      <c r="C261" s="13">
        <v>2014</v>
      </c>
      <c r="D261" s="13">
        <v>0</v>
      </c>
      <c r="E261" s="13">
        <v>155</v>
      </c>
      <c r="F261" s="13">
        <v>322</v>
      </c>
      <c r="G261" s="13">
        <v>594</v>
      </c>
      <c r="H261" s="13">
        <v>661</v>
      </c>
      <c r="I261" s="13">
        <v>245</v>
      </c>
      <c r="J261" s="13">
        <v>37</v>
      </c>
    </row>
    <row r="262" spans="1:10" x14ac:dyDescent="0.25">
      <c r="A262" s="11">
        <v>1998</v>
      </c>
      <c r="B262" s="11" t="s">
        <v>252</v>
      </c>
      <c r="C262" s="13">
        <v>1038</v>
      </c>
      <c r="D262" s="13">
        <v>2</v>
      </c>
      <c r="E262" s="13">
        <v>58</v>
      </c>
      <c r="F262" s="13">
        <v>166</v>
      </c>
      <c r="G262" s="13">
        <v>315</v>
      </c>
      <c r="H262" s="13">
        <v>332</v>
      </c>
      <c r="I262" s="13">
        <v>129</v>
      </c>
      <c r="J262" s="13">
        <v>36</v>
      </c>
    </row>
    <row r="263" spans="1:10" x14ac:dyDescent="0.25">
      <c r="A263" s="11">
        <v>1998</v>
      </c>
      <c r="B263" s="11" t="s">
        <v>253</v>
      </c>
      <c r="C263" s="13">
        <v>265</v>
      </c>
      <c r="D263" s="13">
        <v>0</v>
      </c>
      <c r="E263" s="13">
        <v>26</v>
      </c>
      <c r="F263" s="13">
        <v>44</v>
      </c>
      <c r="G263" s="13">
        <v>77</v>
      </c>
      <c r="H263" s="13">
        <v>77</v>
      </c>
      <c r="I263" s="13">
        <v>34</v>
      </c>
      <c r="J263" s="13">
        <v>7</v>
      </c>
    </row>
    <row r="264" spans="1:10" x14ac:dyDescent="0.25">
      <c r="A264" s="11">
        <v>1998</v>
      </c>
      <c r="B264" s="11" t="s">
        <v>254</v>
      </c>
      <c r="C264" s="13">
        <v>1165</v>
      </c>
      <c r="D264" s="13">
        <v>0</v>
      </c>
      <c r="E264" s="13">
        <v>99</v>
      </c>
      <c r="F264" s="13">
        <v>205</v>
      </c>
      <c r="G264" s="13">
        <v>363</v>
      </c>
      <c r="H264" s="13">
        <v>335</v>
      </c>
      <c r="I264" s="13">
        <v>142</v>
      </c>
      <c r="J264" s="13">
        <v>21</v>
      </c>
    </row>
    <row r="265" spans="1:10" x14ac:dyDescent="0.25">
      <c r="A265" s="11">
        <v>1998</v>
      </c>
      <c r="B265" s="11" t="s">
        <v>255</v>
      </c>
      <c r="C265" s="13">
        <v>3303</v>
      </c>
      <c r="D265" s="13">
        <v>3</v>
      </c>
      <c r="E265" s="13">
        <v>242</v>
      </c>
      <c r="F265" s="13">
        <v>527</v>
      </c>
      <c r="G265" s="13">
        <v>1048</v>
      </c>
      <c r="H265" s="13">
        <v>1010</v>
      </c>
      <c r="I265" s="13">
        <v>414</v>
      </c>
      <c r="J265" s="13">
        <v>59</v>
      </c>
    </row>
    <row r="266" spans="1:10" x14ac:dyDescent="0.25">
      <c r="A266" s="11">
        <v>1998</v>
      </c>
      <c r="B266" s="11" t="s">
        <v>256</v>
      </c>
      <c r="C266" s="13">
        <v>921</v>
      </c>
      <c r="D266" s="13">
        <v>1</v>
      </c>
      <c r="E266" s="13">
        <v>66</v>
      </c>
      <c r="F266" s="13">
        <v>133</v>
      </c>
      <c r="G266" s="13">
        <v>258</v>
      </c>
      <c r="H266" s="13">
        <v>307</v>
      </c>
      <c r="I266" s="13">
        <v>138</v>
      </c>
      <c r="J266" s="13">
        <v>18</v>
      </c>
    </row>
    <row r="267" spans="1:10" x14ac:dyDescent="0.25">
      <c r="A267" s="11">
        <v>1998</v>
      </c>
      <c r="B267" s="11" t="s">
        <v>257</v>
      </c>
      <c r="C267" s="13">
        <v>1116</v>
      </c>
      <c r="D267" s="13">
        <v>0</v>
      </c>
      <c r="E267" s="13">
        <v>124</v>
      </c>
      <c r="F267" s="13">
        <v>222</v>
      </c>
      <c r="G267" s="13">
        <v>322</v>
      </c>
      <c r="H267" s="13">
        <v>323</v>
      </c>
      <c r="I267" s="13">
        <v>105</v>
      </c>
      <c r="J267" s="13">
        <v>20</v>
      </c>
    </row>
    <row r="268" spans="1:10" x14ac:dyDescent="0.25">
      <c r="A268" s="11">
        <v>1998</v>
      </c>
      <c r="B268" s="11" t="s">
        <v>258</v>
      </c>
      <c r="C268" s="13">
        <v>1976</v>
      </c>
      <c r="D268" s="13">
        <v>0</v>
      </c>
      <c r="E268" s="13">
        <v>167</v>
      </c>
      <c r="F268" s="13">
        <v>352</v>
      </c>
      <c r="G268" s="13">
        <v>641</v>
      </c>
      <c r="H268" s="13">
        <v>591</v>
      </c>
      <c r="I268" s="13">
        <v>200</v>
      </c>
      <c r="J268" s="13">
        <v>25</v>
      </c>
    </row>
    <row r="269" spans="1:10" x14ac:dyDescent="0.25">
      <c r="A269" s="11">
        <v>1999</v>
      </c>
      <c r="B269" s="11" t="s">
        <v>11</v>
      </c>
      <c r="C269" s="13">
        <v>55147</v>
      </c>
      <c r="D269" s="13">
        <v>48</v>
      </c>
      <c r="E269" s="13">
        <v>4755</v>
      </c>
      <c r="F269" s="13">
        <v>9440</v>
      </c>
      <c r="G269" s="13">
        <v>16011</v>
      </c>
      <c r="H269" s="13">
        <v>16722</v>
      </c>
      <c r="I269" s="13">
        <v>7034</v>
      </c>
      <c r="J269" s="13">
        <v>1137</v>
      </c>
    </row>
    <row r="270" spans="1:10" x14ac:dyDescent="0.25">
      <c r="A270" s="11">
        <v>1999</v>
      </c>
      <c r="B270" s="11" t="s">
        <v>227</v>
      </c>
      <c r="C270" s="13">
        <v>2311</v>
      </c>
      <c r="D270" s="13">
        <v>0</v>
      </c>
      <c r="E270" s="13">
        <v>167</v>
      </c>
      <c r="F270" s="13">
        <v>390</v>
      </c>
      <c r="G270" s="13">
        <v>684</v>
      </c>
      <c r="H270" s="13">
        <v>735</v>
      </c>
      <c r="I270" s="13">
        <v>278</v>
      </c>
      <c r="J270" s="13">
        <v>57</v>
      </c>
    </row>
    <row r="271" spans="1:10" x14ac:dyDescent="0.25">
      <c r="A271" s="11">
        <v>1999</v>
      </c>
      <c r="B271" s="11" t="s">
        <v>228</v>
      </c>
      <c r="C271" s="13">
        <v>2501</v>
      </c>
      <c r="D271" s="13">
        <v>6</v>
      </c>
      <c r="E271" s="13">
        <v>130</v>
      </c>
      <c r="F271" s="13">
        <v>388</v>
      </c>
      <c r="G271" s="13">
        <v>792</v>
      </c>
      <c r="H271" s="13">
        <v>793</v>
      </c>
      <c r="I271" s="13">
        <v>327</v>
      </c>
      <c r="J271" s="13">
        <v>65</v>
      </c>
    </row>
    <row r="272" spans="1:10" x14ac:dyDescent="0.25">
      <c r="A272" s="11">
        <v>1999</v>
      </c>
      <c r="B272" s="11" t="s">
        <v>229</v>
      </c>
      <c r="C272" s="13">
        <v>1085</v>
      </c>
      <c r="D272" s="13">
        <v>0</v>
      </c>
      <c r="E272" s="13">
        <v>106</v>
      </c>
      <c r="F272" s="13">
        <v>214</v>
      </c>
      <c r="G272" s="13">
        <v>318</v>
      </c>
      <c r="H272" s="13">
        <v>313</v>
      </c>
      <c r="I272" s="13">
        <v>113</v>
      </c>
      <c r="J272" s="13">
        <v>21</v>
      </c>
    </row>
    <row r="273" spans="1:10" x14ac:dyDescent="0.25">
      <c r="A273" s="11">
        <v>1999</v>
      </c>
      <c r="B273" s="11" t="s">
        <v>230</v>
      </c>
      <c r="C273" s="13">
        <v>834</v>
      </c>
      <c r="D273" s="13">
        <v>2</v>
      </c>
      <c r="E273" s="13">
        <v>64</v>
      </c>
      <c r="F273" s="13">
        <v>140</v>
      </c>
      <c r="G273" s="13">
        <v>243</v>
      </c>
      <c r="H273" s="13">
        <v>253</v>
      </c>
      <c r="I273" s="13">
        <v>107</v>
      </c>
      <c r="J273" s="13">
        <v>25</v>
      </c>
    </row>
    <row r="274" spans="1:10" x14ac:dyDescent="0.25">
      <c r="A274" s="11">
        <v>1999</v>
      </c>
      <c r="B274" s="11" t="s">
        <v>231</v>
      </c>
      <c r="C274" s="13">
        <v>4764</v>
      </c>
      <c r="D274" s="13">
        <v>1</v>
      </c>
      <c r="E274" s="13">
        <v>330</v>
      </c>
      <c r="F274" s="13">
        <v>677</v>
      </c>
      <c r="G274" s="13">
        <v>1144</v>
      </c>
      <c r="H274" s="13">
        <v>1615</v>
      </c>
      <c r="I274" s="13">
        <v>874</v>
      </c>
      <c r="J274" s="13">
        <v>123</v>
      </c>
    </row>
    <row r="275" spans="1:10" x14ac:dyDescent="0.25">
      <c r="A275" s="11">
        <v>1999</v>
      </c>
      <c r="B275" s="11" t="s">
        <v>232</v>
      </c>
      <c r="C275" s="13">
        <v>544</v>
      </c>
      <c r="D275" s="13">
        <v>0</v>
      </c>
      <c r="E275" s="13">
        <v>60</v>
      </c>
      <c r="F275" s="13">
        <v>124</v>
      </c>
      <c r="G275" s="13">
        <v>163</v>
      </c>
      <c r="H275" s="13">
        <v>143</v>
      </c>
      <c r="I275" s="13">
        <v>46</v>
      </c>
      <c r="J275" s="13">
        <v>8</v>
      </c>
    </row>
    <row r="276" spans="1:10" x14ac:dyDescent="0.25">
      <c r="A276" s="11">
        <v>1999</v>
      </c>
      <c r="B276" s="11" t="s">
        <v>233</v>
      </c>
      <c r="C276" s="13">
        <v>1402</v>
      </c>
      <c r="D276" s="13">
        <v>1</v>
      </c>
      <c r="E276" s="13">
        <v>136</v>
      </c>
      <c r="F276" s="13">
        <v>245</v>
      </c>
      <c r="G276" s="13">
        <v>441</v>
      </c>
      <c r="H276" s="13">
        <v>394</v>
      </c>
      <c r="I276" s="13">
        <v>159</v>
      </c>
      <c r="J276" s="13">
        <v>26</v>
      </c>
    </row>
    <row r="277" spans="1:10" x14ac:dyDescent="0.25">
      <c r="A277" s="11">
        <v>1999</v>
      </c>
      <c r="B277" s="11" t="s">
        <v>234</v>
      </c>
      <c r="C277" s="13">
        <v>1522</v>
      </c>
      <c r="D277" s="13">
        <v>0</v>
      </c>
      <c r="E277" s="13">
        <v>185</v>
      </c>
      <c r="F277" s="13">
        <v>351</v>
      </c>
      <c r="G277" s="13">
        <v>432</v>
      </c>
      <c r="H277" s="13">
        <v>398</v>
      </c>
      <c r="I277" s="13">
        <v>133</v>
      </c>
      <c r="J277" s="13">
        <v>23</v>
      </c>
    </row>
    <row r="278" spans="1:10" x14ac:dyDescent="0.25">
      <c r="A278" s="11">
        <v>1999</v>
      </c>
      <c r="B278" s="11" t="s">
        <v>235</v>
      </c>
      <c r="C278" s="13">
        <v>1290</v>
      </c>
      <c r="D278" s="13">
        <v>1</v>
      </c>
      <c r="E278" s="13">
        <v>159</v>
      </c>
      <c r="F278" s="13">
        <v>236</v>
      </c>
      <c r="G278" s="13">
        <v>387</v>
      </c>
      <c r="H278" s="13">
        <v>359</v>
      </c>
      <c r="I278" s="13">
        <v>132</v>
      </c>
      <c r="J278" s="13">
        <v>16</v>
      </c>
    </row>
    <row r="279" spans="1:10" x14ac:dyDescent="0.25">
      <c r="A279" s="11">
        <v>1999</v>
      </c>
      <c r="B279" s="11" t="s">
        <v>236</v>
      </c>
      <c r="C279" s="13">
        <v>1057</v>
      </c>
      <c r="D279" s="13">
        <v>6</v>
      </c>
      <c r="E279" s="13">
        <v>45</v>
      </c>
      <c r="F279" s="13">
        <v>103</v>
      </c>
      <c r="G279" s="13">
        <v>248</v>
      </c>
      <c r="H279" s="13">
        <v>415</v>
      </c>
      <c r="I279" s="13">
        <v>208</v>
      </c>
      <c r="J279" s="13">
        <v>32</v>
      </c>
    </row>
    <row r="280" spans="1:10" x14ac:dyDescent="0.25">
      <c r="A280" s="11">
        <v>1999</v>
      </c>
      <c r="B280" s="11" t="s">
        <v>237</v>
      </c>
      <c r="C280" s="13">
        <v>968</v>
      </c>
      <c r="D280" s="13">
        <v>0</v>
      </c>
      <c r="E280" s="13">
        <v>68</v>
      </c>
      <c r="F280" s="13">
        <v>144</v>
      </c>
      <c r="G280" s="13">
        <v>265</v>
      </c>
      <c r="H280" s="13">
        <v>309</v>
      </c>
      <c r="I280" s="13">
        <v>156</v>
      </c>
      <c r="J280" s="13">
        <v>26</v>
      </c>
    </row>
    <row r="281" spans="1:10" x14ac:dyDescent="0.25">
      <c r="A281" s="11">
        <v>1999</v>
      </c>
      <c r="B281" s="11" t="s">
        <v>238</v>
      </c>
      <c r="C281" s="13">
        <v>953</v>
      </c>
      <c r="D281" s="13">
        <v>0</v>
      </c>
      <c r="E281" s="13">
        <v>29</v>
      </c>
      <c r="F281" s="13">
        <v>83</v>
      </c>
      <c r="G281" s="13">
        <v>228</v>
      </c>
      <c r="H281" s="13">
        <v>403</v>
      </c>
      <c r="I281" s="13">
        <v>179</v>
      </c>
      <c r="J281" s="13">
        <v>31</v>
      </c>
    </row>
    <row r="282" spans="1:10" x14ac:dyDescent="0.25">
      <c r="A282" s="11">
        <v>1999</v>
      </c>
      <c r="B282" s="11" t="s">
        <v>239</v>
      </c>
      <c r="C282" s="13">
        <v>1603</v>
      </c>
      <c r="D282" s="13">
        <v>0</v>
      </c>
      <c r="E282" s="13">
        <v>139</v>
      </c>
      <c r="F282" s="13">
        <v>306</v>
      </c>
      <c r="G282" s="13">
        <v>481</v>
      </c>
      <c r="H282" s="13">
        <v>488</v>
      </c>
      <c r="I282" s="13">
        <v>173</v>
      </c>
      <c r="J282" s="13">
        <v>16</v>
      </c>
    </row>
    <row r="283" spans="1:10" x14ac:dyDescent="0.25">
      <c r="A283" s="11">
        <v>1999</v>
      </c>
      <c r="B283" s="11" t="s">
        <v>240</v>
      </c>
      <c r="C283" s="13">
        <v>3655</v>
      </c>
      <c r="D283" s="13">
        <v>5</v>
      </c>
      <c r="E283" s="13">
        <v>346</v>
      </c>
      <c r="F283" s="13">
        <v>681</v>
      </c>
      <c r="G283" s="13">
        <v>1130</v>
      </c>
      <c r="H283" s="13">
        <v>1030</v>
      </c>
      <c r="I283" s="13">
        <v>401</v>
      </c>
      <c r="J283" s="13">
        <v>62</v>
      </c>
    </row>
    <row r="284" spans="1:10" x14ac:dyDescent="0.25">
      <c r="A284" s="11">
        <v>1999</v>
      </c>
      <c r="B284" s="11" t="s">
        <v>241</v>
      </c>
      <c r="C284" s="13">
        <v>6830</v>
      </c>
      <c r="D284" s="13">
        <v>3</v>
      </c>
      <c r="E284" s="13">
        <v>738</v>
      </c>
      <c r="F284" s="13">
        <v>1294</v>
      </c>
      <c r="G284" s="13">
        <v>1912</v>
      </c>
      <c r="H284" s="13">
        <v>1874</v>
      </c>
      <c r="I284" s="13">
        <v>863</v>
      </c>
      <c r="J284" s="13">
        <v>146</v>
      </c>
    </row>
    <row r="285" spans="1:10" x14ac:dyDescent="0.25">
      <c r="A285" s="11">
        <v>1999</v>
      </c>
      <c r="B285" s="11" t="s">
        <v>242</v>
      </c>
      <c r="C285" s="13">
        <v>2223</v>
      </c>
      <c r="D285" s="13">
        <v>6</v>
      </c>
      <c r="E285" s="13">
        <v>199</v>
      </c>
      <c r="F285" s="13">
        <v>400</v>
      </c>
      <c r="G285" s="13">
        <v>635</v>
      </c>
      <c r="H285" s="13">
        <v>627</v>
      </c>
      <c r="I285" s="13">
        <v>292</v>
      </c>
      <c r="J285" s="13">
        <v>64</v>
      </c>
    </row>
    <row r="286" spans="1:10" x14ac:dyDescent="0.25">
      <c r="A286" s="11">
        <v>1999</v>
      </c>
      <c r="B286" s="11" t="s">
        <v>243</v>
      </c>
      <c r="C286" s="13">
        <v>947</v>
      </c>
      <c r="D286" s="13">
        <v>1</v>
      </c>
      <c r="E286" s="13">
        <v>121</v>
      </c>
      <c r="F286" s="13">
        <v>157</v>
      </c>
      <c r="G286" s="13">
        <v>269</v>
      </c>
      <c r="H286" s="13">
        <v>277</v>
      </c>
      <c r="I286" s="13">
        <v>103</v>
      </c>
      <c r="J286" s="13">
        <v>19</v>
      </c>
    </row>
    <row r="287" spans="1:10" x14ac:dyDescent="0.25">
      <c r="A287" s="11">
        <v>1999</v>
      </c>
      <c r="B287" s="11" t="s">
        <v>244</v>
      </c>
      <c r="C287" s="13">
        <v>962</v>
      </c>
      <c r="D287" s="13">
        <v>1</v>
      </c>
      <c r="E287" s="13">
        <v>90</v>
      </c>
      <c r="F287" s="13">
        <v>157</v>
      </c>
      <c r="G287" s="13">
        <v>292</v>
      </c>
      <c r="H287" s="13">
        <v>294</v>
      </c>
      <c r="I287" s="13">
        <v>119</v>
      </c>
      <c r="J287" s="13">
        <v>9</v>
      </c>
    </row>
    <row r="288" spans="1:10" x14ac:dyDescent="0.25">
      <c r="A288" s="11">
        <v>1999</v>
      </c>
      <c r="B288" s="11" t="s">
        <v>245</v>
      </c>
      <c r="C288" s="13">
        <v>973</v>
      </c>
      <c r="D288" s="13">
        <v>0</v>
      </c>
      <c r="E288" s="13">
        <v>61</v>
      </c>
      <c r="F288" s="13">
        <v>160</v>
      </c>
      <c r="G288" s="13">
        <v>362</v>
      </c>
      <c r="H288" s="13">
        <v>284</v>
      </c>
      <c r="I288" s="13">
        <v>93</v>
      </c>
      <c r="J288" s="13">
        <v>13</v>
      </c>
    </row>
    <row r="289" spans="1:10" x14ac:dyDescent="0.25">
      <c r="A289" s="11">
        <v>1999</v>
      </c>
      <c r="B289" s="11" t="s">
        <v>246</v>
      </c>
      <c r="C289" s="13">
        <v>265</v>
      </c>
      <c r="D289" s="13">
        <v>1</v>
      </c>
      <c r="E289" s="13">
        <v>15</v>
      </c>
      <c r="F289" s="13">
        <v>32</v>
      </c>
      <c r="G289" s="13">
        <v>87</v>
      </c>
      <c r="H289" s="13">
        <v>85</v>
      </c>
      <c r="I289" s="13">
        <v>37</v>
      </c>
      <c r="J289" s="13">
        <v>8</v>
      </c>
    </row>
    <row r="290" spans="1:10" x14ac:dyDescent="0.25">
      <c r="A290" s="11">
        <v>1999</v>
      </c>
      <c r="B290" s="11" t="s">
        <v>247</v>
      </c>
      <c r="C290" s="13">
        <v>1414</v>
      </c>
      <c r="D290" s="13">
        <v>0</v>
      </c>
      <c r="E290" s="13">
        <v>154</v>
      </c>
      <c r="F290" s="13">
        <v>274</v>
      </c>
      <c r="G290" s="13">
        <v>409</v>
      </c>
      <c r="H290" s="13">
        <v>389</v>
      </c>
      <c r="I290" s="13">
        <v>163</v>
      </c>
      <c r="J290" s="13">
        <v>25</v>
      </c>
    </row>
    <row r="291" spans="1:10" x14ac:dyDescent="0.25">
      <c r="A291" s="11">
        <v>1999</v>
      </c>
      <c r="B291" s="11" t="s">
        <v>248</v>
      </c>
      <c r="C291" s="13">
        <v>3859</v>
      </c>
      <c r="D291" s="13">
        <v>2</v>
      </c>
      <c r="E291" s="13">
        <v>353</v>
      </c>
      <c r="F291" s="13">
        <v>710</v>
      </c>
      <c r="G291" s="13">
        <v>1205</v>
      </c>
      <c r="H291" s="13">
        <v>1142</v>
      </c>
      <c r="I291" s="13">
        <v>388</v>
      </c>
      <c r="J291" s="13">
        <v>59</v>
      </c>
    </row>
    <row r="292" spans="1:10" x14ac:dyDescent="0.25">
      <c r="A292" s="11">
        <v>1999</v>
      </c>
      <c r="B292" s="11" t="s">
        <v>249</v>
      </c>
      <c r="C292" s="13">
        <v>188</v>
      </c>
      <c r="D292" s="13">
        <v>0</v>
      </c>
      <c r="E292" s="13">
        <v>13</v>
      </c>
      <c r="F292" s="13">
        <v>36</v>
      </c>
      <c r="G292" s="13">
        <v>59</v>
      </c>
      <c r="H292" s="13">
        <v>58</v>
      </c>
      <c r="I292" s="13">
        <v>17</v>
      </c>
      <c r="J292" s="13">
        <v>5</v>
      </c>
    </row>
    <row r="293" spans="1:10" x14ac:dyDescent="0.25">
      <c r="A293" s="11">
        <v>1999</v>
      </c>
      <c r="B293" s="11" t="s">
        <v>250</v>
      </c>
      <c r="C293" s="13">
        <v>1372</v>
      </c>
      <c r="D293" s="13">
        <v>8</v>
      </c>
      <c r="E293" s="13">
        <v>103</v>
      </c>
      <c r="F293" s="13">
        <v>205</v>
      </c>
      <c r="G293" s="13">
        <v>359</v>
      </c>
      <c r="H293" s="13">
        <v>474</v>
      </c>
      <c r="I293" s="13">
        <v>188</v>
      </c>
      <c r="J293" s="13">
        <v>35</v>
      </c>
    </row>
    <row r="294" spans="1:10" x14ac:dyDescent="0.25">
      <c r="A294" s="11">
        <v>1999</v>
      </c>
      <c r="B294" s="11" t="s">
        <v>251</v>
      </c>
      <c r="C294" s="13">
        <v>1980</v>
      </c>
      <c r="D294" s="13">
        <v>0</v>
      </c>
      <c r="E294" s="13">
        <v>168</v>
      </c>
      <c r="F294" s="13">
        <v>324</v>
      </c>
      <c r="G294" s="13">
        <v>596</v>
      </c>
      <c r="H294" s="13">
        <v>602</v>
      </c>
      <c r="I294" s="13">
        <v>251</v>
      </c>
      <c r="J294" s="13">
        <v>39</v>
      </c>
    </row>
    <row r="295" spans="1:10" x14ac:dyDescent="0.25">
      <c r="A295" s="11">
        <v>1999</v>
      </c>
      <c r="B295" s="11" t="s">
        <v>252</v>
      </c>
      <c r="C295" s="13">
        <v>1054</v>
      </c>
      <c r="D295" s="13">
        <v>1</v>
      </c>
      <c r="E295" s="13">
        <v>59</v>
      </c>
      <c r="F295" s="13">
        <v>139</v>
      </c>
      <c r="G295" s="13">
        <v>321</v>
      </c>
      <c r="H295" s="13">
        <v>368</v>
      </c>
      <c r="I295" s="13">
        <v>141</v>
      </c>
      <c r="J295" s="13">
        <v>25</v>
      </c>
    </row>
    <row r="296" spans="1:10" x14ac:dyDescent="0.25">
      <c r="A296" s="11">
        <v>1999</v>
      </c>
      <c r="B296" s="11" t="s">
        <v>253</v>
      </c>
      <c r="C296" s="13">
        <v>284</v>
      </c>
      <c r="D296" s="13">
        <v>0</v>
      </c>
      <c r="E296" s="13">
        <v>12</v>
      </c>
      <c r="F296" s="13">
        <v>42</v>
      </c>
      <c r="G296" s="13">
        <v>102</v>
      </c>
      <c r="H296" s="13">
        <v>85</v>
      </c>
      <c r="I296" s="13">
        <v>33</v>
      </c>
      <c r="J296" s="13">
        <v>10</v>
      </c>
    </row>
    <row r="297" spans="1:10" x14ac:dyDescent="0.25">
      <c r="A297" s="11">
        <v>1999</v>
      </c>
      <c r="B297" s="11" t="s">
        <v>254</v>
      </c>
      <c r="C297" s="13">
        <v>1036</v>
      </c>
      <c r="D297" s="13">
        <v>0</v>
      </c>
      <c r="E297" s="13">
        <v>93</v>
      </c>
      <c r="F297" s="13">
        <v>186</v>
      </c>
      <c r="G297" s="13">
        <v>282</v>
      </c>
      <c r="H297" s="13">
        <v>316</v>
      </c>
      <c r="I297" s="13">
        <v>136</v>
      </c>
      <c r="J297" s="13">
        <v>23</v>
      </c>
    </row>
    <row r="298" spans="1:10" x14ac:dyDescent="0.25">
      <c r="A298" s="11">
        <v>1999</v>
      </c>
      <c r="B298" s="11" t="s">
        <v>255</v>
      </c>
      <c r="C298" s="13">
        <v>3342</v>
      </c>
      <c r="D298" s="13">
        <v>2</v>
      </c>
      <c r="E298" s="13">
        <v>262</v>
      </c>
      <c r="F298" s="13">
        <v>554</v>
      </c>
      <c r="G298" s="13">
        <v>1006</v>
      </c>
      <c r="H298" s="13">
        <v>1013</v>
      </c>
      <c r="I298" s="13">
        <v>435</v>
      </c>
      <c r="J298" s="13">
        <v>70</v>
      </c>
    </row>
    <row r="299" spans="1:10" x14ac:dyDescent="0.25">
      <c r="A299" s="11">
        <v>1999</v>
      </c>
      <c r="B299" s="11" t="s">
        <v>256</v>
      </c>
      <c r="C299" s="13">
        <v>882</v>
      </c>
      <c r="D299" s="13">
        <v>1</v>
      </c>
      <c r="E299" s="13">
        <v>62</v>
      </c>
      <c r="F299" s="13">
        <v>135</v>
      </c>
      <c r="G299" s="13">
        <v>238</v>
      </c>
      <c r="H299" s="13">
        <v>268</v>
      </c>
      <c r="I299" s="13">
        <v>161</v>
      </c>
      <c r="J299" s="13">
        <v>17</v>
      </c>
    </row>
    <row r="300" spans="1:10" x14ac:dyDescent="0.25">
      <c r="A300" s="11">
        <v>1999</v>
      </c>
      <c r="B300" s="11" t="s">
        <v>257</v>
      </c>
      <c r="C300" s="13">
        <v>1051</v>
      </c>
      <c r="D300" s="13">
        <v>0</v>
      </c>
      <c r="E300" s="13">
        <v>104</v>
      </c>
      <c r="F300" s="13">
        <v>193</v>
      </c>
      <c r="G300" s="13">
        <v>307</v>
      </c>
      <c r="H300" s="13">
        <v>314</v>
      </c>
      <c r="I300" s="13">
        <v>124</v>
      </c>
      <c r="J300" s="13">
        <v>9</v>
      </c>
    </row>
    <row r="301" spans="1:10" x14ac:dyDescent="0.25">
      <c r="A301" s="11">
        <v>1999</v>
      </c>
      <c r="B301" s="11" t="s">
        <v>258</v>
      </c>
      <c r="C301" s="13">
        <v>1996</v>
      </c>
      <c r="D301" s="13">
        <v>0</v>
      </c>
      <c r="E301" s="13">
        <v>184</v>
      </c>
      <c r="F301" s="13">
        <v>360</v>
      </c>
      <c r="G301" s="13">
        <v>614</v>
      </c>
      <c r="H301" s="13">
        <v>604</v>
      </c>
      <c r="I301" s="13">
        <v>204</v>
      </c>
      <c r="J301" s="13">
        <v>30</v>
      </c>
    </row>
    <row r="302" spans="1:10" x14ac:dyDescent="0.25">
      <c r="A302" s="11">
        <v>2000</v>
      </c>
      <c r="B302" s="11" t="s">
        <v>11</v>
      </c>
      <c r="C302" s="13">
        <v>53076</v>
      </c>
      <c r="D302" s="13">
        <v>49</v>
      </c>
      <c r="E302" s="13">
        <v>4599</v>
      </c>
      <c r="F302" s="13">
        <v>8962</v>
      </c>
      <c r="G302" s="13">
        <v>14676</v>
      </c>
      <c r="H302" s="13">
        <v>16233</v>
      </c>
      <c r="I302" s="13">
        <v>7395</v>
      </c>
      <c r="J302" s="13">
        <v>1162</v>
      </c>
    </row>
    <row r="303" spans="1:10" x14ac:dyDescent="0.25">
      <c r="A303" s="11">
        <v>2000</v>
      </c>
      <c r="B303" s="11" t="s">
        <v>227</v>
      </c>
      <c r="C303" s="13">
        <v>2088</v>
      </c>
      <c r="D303" s="13">
        <v>0</v>
      </c>
      <c r="E303" s="13">
        <v>169</v>
      </c>
      <c r="F303" s="13">
        <v>336</v>
      </c>
      <c r="G303" s="13">
        <v>585</v>
      </c>
      <c r="H303" s="13">
        <v>659</v>
      </c>
      <c r="I303" s="13">
        <v>297</v>
      </c>
      <c r="J303" s="13">
        <v>42</v>
      </c>
    </row>
    <row r="304" spans="1:10" x14ac:dyDescent="0.25">
      <c r="A304" s="11">
        <v>2000</v>
      </c>
      <c r="B304" s="11" t="s">
        <v>228</v>
      </c>
      <c r="C304" s="13">
        <v>2320</v>
      </c>
      <c r="D304" s="13">
        <v>3</v>
      </c>
      <c r="E304" s="13">
        <v>124</v>
      </c>
      <c r="F304" s="13">
        <v>324</v>
      </c>
      <c r="G304" s="13">
        <v>761</v>
      </c>
      <c r="H304" s="13">
        <v>749</v>
      </c>
      <c r="I304" s="13">
        <v>321</v>
      </c>
      <c r="J304" s="13">
        <v>38</v>
      </c>
    </row>
    <row r="305" spans="1:10" x14ac:dyDescent="0.25">
      <c r="A305" s="11">
        <v>2000</v>
      </c>
      <c r="B305" s="11" t="s">
        <v>229</v>
      </c>
      <c r="C305" s="13">
        <v>1049</v>
      </c>
      <c r="D305" s="13">
        <v>1</v>
      </c>
      <c r="E305" s="13">
        <v>101</v>
      </c>
      <c r="F305" s="13">
        <v>183</v>
      </c>
      <c r="G305" s="13">
        <v>306</v>
      </c>
      <c r="H305" s="13">
        <v>310</v>
      </c>
      <c r="I305" s="13">
        <v>126</v>
      </c>
      <c r="J305" s="13">
        <v>22</v>
      </c>
    </row>
    <row r="306" spans="1:10" x14ac:dyDescent="0.25">
      <c r="A306" s="11">
        <v>2000</v>
      </c>
      <c r="B306" s="11" t="s">
        <v>230</v>
      </c>
      <c r="C306" s="13">
        <v>792</v>
      </c>
      <c r="D306" s="13">
        <v>1</v>
      </c>
      <c r="E306" s="13">
        <v>51</v>
      </c>
      <c r="F306" s="13">
        <v>128</v>
      </c>
      <c r="G306" s="13">
        <v>244</v>
      </c>
      <c r="H306" s="13">
        <v>208</v>
      </c>
      <c r="I306" s="13">
        <v>131</v>
      </c>
      <c r="J306" s="13">
        <v>29</v>
      </c>
    </row>
    <row r="307" spans="1:10" x14ac:dyDescent="0.25">
      <c r="A307" s="11">
        <v>2000</v>
      </c>
      <c r="B307" s="11" t="s">
        <v>231</v>
      </c>
      <c r="C307" s="13">
        <v>4643</v>
      </c>
      <c r="D307" s="13">
        <v>0</v>
      </c>
      <c r="E307" s="13">
        <v>355</v>
      </c>
      <c r="F307" s="13">
        <v>611</v>
      </c>
      <c r="G307" s="13">
        <v>1051</v>
      </c>
      <c r="H307" s="13">
        <v>1551</v>
      </c>
      <c r="I307" s="13">
        <v>904</v>
      </c>
      <c r="J307" s="13">
        <v>171</v>
      </c>
    </row>
    <row r="308" spans="1:10" x14ac:dyDescent="0.25">
      <c r="A308" s="11">
        <v>2000</v>
      </c>
      <c r="B308" s="11" t="s">
        <v>232</v>
      </c>
      <c r="C308" s="13">
        <v>490</v>
      </c>
      <c r="D308" s="13">
        <v>0</v>
      </c>
      <c r="E308" s="13">
        <v>61</v>
      </c>
      <c r="F308" s="13">
        <v>97</v>
      </c>
      <c r="G308" s="13">
        <v>127</v>
      </c>
      <c r="H308" s="13">
        <v>139</v>
      </c>
      <c r="I308" s="13">
        <v>55</v>
      </c>
      <c r="J308" s="13">
        <v>11</v>
      </c>
    </row>
    <row r="309" spans="1:10" x14ac:dyDescent="0.25">
      <c r="A309" s="11">
        <v>2000</v>
      </c>
      <c r="B309" s="11" t="s">
        <v>233</v>
      </c>
      <c r="C309" s="13">
        <v>1369</v>
      </c>
      <c r="D309" s="13">
        <v>0</v>
      </c>
      <c r="E309" s="13">
        <v>151</v>
      </c>
      <c r="F309" s="13">
        <v>236</v>
      </c>
      <c r="G309" s="13">
        <v>393</v>
      </c>
      <c r="H309" s="13">
        <v>391</v>
      </c>
      <c r="I309" s="13">
        <v>168</v>
      </c>
      <c r="J309" s="13">
        <v>30</v>
      </c>
    </row>
    <row r="310" spans="1:10" x14ac:dyDescent="0.25">
      <c r="A310" s="11">
        <v>2000</v>
      </c>
      <c r="B310" s="11" t="s">
        <v>234</v>
      </c>
      <c r="C310" s="13">
        <v>1462</v>
      </c>
      <c r="D310" s="13">
        <v>1</v>
      </c>
      <c r="E310" s="13">
        <v>186</v>
      </c>
      <c r="F310" s="13">
        <v>329</v>
      </c>
      <c r="G310" s="13">
        <v>419</v>
      </c>
      <c r="H310" s="13">
        <v>330</v>
      </c>
      <c r="I310" s="13">
        <v>168</v>
      </c>
      <c r="J310" s="13">
        <v>29</v>
      </c>
    </row>
    <row r="311" spans="1:10" x14ac:dyDescent="0.25">
      <c r="A311" s="11">
        <v>2000</v>
      </c>
      <c r="B311" s="11" t="s">
        <v>235</v>
      </c>
      <c r="C311" s="13">
        <v>1228</v>
      </c>
      <c r="D311" s="13">
        <v>2</v>
      </c>
      <c r="E311" s="13">
        <v>143</v>
      </c>
      <c r="F311" s="13">
        <v>253</v>
      </c>
      <c r="G311" s="13">
        <v>379</v>
      </c>
      <c r="H311" s="13">
        <v>305</v>
      </c>
      <c r="I311" s="13">
        <v>136</v>
      </c>
      <c r="J311" s="13">
        <v>10</v>
      </c>
    </row>
    <row r="312" spans="1:10" x14ac:dyDescent="0.25">
      <c r="A312" s="11">
        <v>2000</v>
      </c>
      <c r="B312" s="11" t="s">
        <v>236</v>
      </c>
      <c r="C312" s="13">
        <v>972</v>
      </c>
      <c r="D312" s="13">
        <v>0</v>
      </c>
      <c r="E312" s="13">
        <v>49</v>
      </c>
      <c r="F312" s="13">
        <v>89</v>
      </c>
      <c r="G312" s="13">
        <v>219</v>
      </c>
      <c r="H312" s="13">
        <v>375</v>
      </c>
      <c r="I312" s="13">
        <v>206</v>
      </c>
      <c r="J312" s="13">
        <v>34</v>
      </c>
    </row>
    <row r="313" spans="1:10" x14ac:dyDescent="0.25">
      <c r="A313" s="11">
        <v>2000</v>
      </c>
      <c r="B313" s="11" t="s">
        <v>237</v>
      </c>
      <c r="C313" s="13">
        <v>1013</v>
      </c>
      <c r="D313" s="13">
        <v>0</v>
      </c>
      <c r="E313" s="13">
        <v>65</v>
      </c>
      <c r="F313" s="13">
        <v>133</v>
      </c>
      <c r="G313" s="13">
        <v>294</v>
      </c>
      <c r="H313" s="13">
        <v>337</v>
      </c>
      <c r="I313" s="13">
        <v>157</v>
      </c>
      <c r="J313" s="13">
        <v>27</v>
      </c>
    </row>
    <row r="314" spans="1:10" x14ac:dyDescent="0.25">
      <c r="A314" s="11">
        <v>2000</v>
      </c>
      <c r="B314" s="11" t="s">
        <v>238</v>
      </c>
      <c r="C314" s="13">
        <v>931</v>
      </c>
      <c r="D314" s="13">
        <v>0</v>
      </c>
      <c r="E314" s="13">
        <v>35</v>
      </c>
      <c r="F314" s="13">
        <v>81</v>
      </c>
      <c r="G314" s="13">
        <v>221</v>
      </c>
      <c r="H314" s="13">
        <v>378</v>
      </c>
      <c r="I314" s="13">
        <v>191</v>
      </c>
      <c r="J314" s="13">
        <v>25</v>
      </c>
    </row>
    <row r="315" spans="1:10" x14ac:dyDescent="0.25">
      <c r="A315" s="11">
        <v>2000</v>
      </c>
      <c r="B315" s="11" t="s">
        <v>239</v>
      </c>
      <c r="C315" s="13">
        <v>1555</v>
      </c>
      <c r="D315" s="13">
        <v>0</v>
      </c>
      <c r="E315" s="13">
        <v>121</v>
      </c>
      <c r="F315" s="13">
        <v>293</v>
      </c>
      <c r="G315" s="13">
        <v>457</v>
      </c>
      <c r="H315" s="13">
        <v>495</v>
      </c>
      <c r="I315" s="13">
        <v>157</v>
      </c>
      <c r="J315" s="13">
        <v>32</v>
      </c>
    </row>
    <row r="316" spans="1:10" x14ac:dyDescent="0.25">
      <c r="A316" s="11">
        <v>2000</v>
      </c>
      <c r="B316" s="11" t="s">
        <v>240</v>
      </c>
      <c r="C316" s="13">
        <v>3498</v>
      </c>
      <c r="D316" s="13">
        <v>26</v>
      </c>
      <c r="E316" s="13">
        <v>363</v>
      </c>
      <c r="F316" s="13">
        <v>698</v>
      </c>
      <c r="G316" s="13">
        <v>971</v>
      </c>
      <c r="H316" s="13">
        <v>997</v>
      </c>
      <c r="I316" s="13">
        <v>384</v>
      </c>
      <c r="J316" s="13">
        <v>59</v>
      </c>
    </row>
    <row r="317" spans="1:10" x14ac:dyDescent="0.25">
      <c r="A317" s="11">
        <v>2000</v>
      </c>
      <c r="B317" s="11" t="s">
        <v>241</v>
      </c>
      <c r="C317" s="13">
        <v>6578</v>
      </c>
      <c r="D317" s="13">
        <v>4</v>
      </c>
      <c r="E317" s="13">
        <v>705</v>
      </c>
      <c r="F317" s="13">
        <v>1286</v>
      </c>
      <c r="G317" s="13">
        <v>1707</v>
      </c>
      <c r="H317" s="13">
        <v>1828</v>
      </c>
      <c r="I317" s="13">
        <v>924</v>
      </c>
      <c r="J317" s="13">
        <v>124</v>
      </c>
    </row>
    <row r="318" spans="1:10" x14ac:dyDescent="0.25">
      <c r="A318" s="11">
        <v>2000</v>
      </c>
      <c r="B318" s="11" t="s">
        <v>242</v>
      </c>
      <c r="C318" s="13">
        <v>2153</v>
      </c>
      <c r="D318" s="13">
        <v>0</v>
      </c>
      <c r="E318" s="13">
        <v>177</v>
      </c>
      <c r="F318" s="13">
        <v>390</v>
      </c>
      <c r="G318" s="13">
        <v>576</v>
      </c>
      <c r="H318" s="13">
        <v>627</v>
      </c>
      <c r="I318" s="13">
        <v>322</v>
      </c>
      <c r="J318" s="13">
        <v>61</v>
      </c>
    </row>
    <row r="319" spans="1:10" x14ac:dyDescent="0.25">
      <c r="A319" s="11">
        <v>2000</v>
      </c>
      <c r="B319" s="11" t="s">
        <v>243</v>
      </c>
      <c r="C319" s="13">
        <v>863</v>
      </c>
      <c r="D319" s="13">
        <v>0</v>
      </c>
      <c r="E319" s="13">
        <v>95</v>
      </c>
      <c r="F319" s="13">
        <v>155</v>
      </c>
      <c r="G319" s="13">
        <v>229</v>
      </c>
      <c r="H319" s="13">
        <v>244</v>
      </c>
      <c r="I319" s="13">
        <v>122</v>
      </c>
      <c r="J319" s="13">
        <v>18</v>
      </c>
    </row>
    <row r="320" spans="1:10" x14ac:dyDescent="0.25">
      <c r="A320" s="11">
        <v>2000</v>
      </c>
      <c r="B320" s="11" t="s">
        <v>244</v>
      </c>
      <c r="C320" s="13">
        <v>924</v>
      </c>
      <c r="D320" s="13">
        <v>0</v>
      </c>
      <c r="E320" s="13">
        <v>73</v>
      </c>
      <c r="F320" s="13">
        <v>153</v>
      </c>
      <c r="G320" s="13">
        <v>276</v>
      </c>
      <c r="H320" s="13">
        <v>296</v>
      </c>
      <c r="I320" s="13">
        <v>108</v>
      </c>
      <c r="J320" s="13">
        <v>18</v>
      </c>
    </row>
    <row r="321" spans="1:10" x14ac:dyDescent="0.25">
      <c r="A321" s="11">
        <v>2000</v>
      </c>
      <c r="B321" s="11" t="s">
        <v>245</v>
      </c>
      <c r="C321" s="13">
        <v>912</v>
      </c>
      <c r="D321" s="13">
        <v>0</v>
      </c>
      <c r="E321" s="13">
        <v>65</v>
      </c>
      <c r="F321" s="13">
        <v>163</v>
      </c>
      <c r="G321" s="13">
        <v>296</v>
      </c>
      <c r="H321" s="13">
        <v>260</v>
      </c>
      <c r="I321" s="13">
        <v>104</v>
      </c>
      <c r="J321" s="13">
        <v>24</v>
      </c>
    </row>
    <row r="322" spans="1:10" x14ac:dyDescent="0.25">
      <c r="A322" s="11">
        <v>2000</v>
      </c>
      <c r="B322" s="11" t="s">
        <v>246</v>
      </c>
      <c r="C322" s="13">
        <v>228</v>
      </c>
      <c r="D322" s="13">
        <v>1</v>
      </c>
      <c r="E322" s="13">
        <v>11</v>
      </c>
      <c r="F322" s="13">
        <v>29</v>
      </c>
      <c r="G322" s="13">
        <v>69</v>
      </c>
      <c r="H322" s="13">
        <v>70</v>
      </c>
      <c r="I322" s="13">
        <v>38</v>
      </c>
      <c r="J322" s="13">
        <v>10</v>
      </c>
    </row>
    <row r="323" spans="1:10" x14ac:dyDescent="0.25">
      <c r="A323" s="11">
        <v>2000</v>
      </c>
      <c r="B323" s="11" t="s">
        <v>247</v>
      </c>
      <c r="C323" s="13">
        <v>1393</v>
      </c>
      <c r="D323" s="13">
        <v>1</v>
      </c>
      <c r="E323" s="13">
        <v>142</v>
      </c>
      <c r="F323" s="13">
        <v>263</v>
      </c>
      <c r="G323" s="13">
        <v>399</v>
      </c>
      <c r="H323" s="13">
        <v>406</v>
      </c>
      <c r="I323" s="13">
        <v>158</v>
      </c>
      <c r="J323" s="13">
        <v>24</v>
      </c>
    </row>
    <row r="324" spans="1:10" x14ac:dyDescent="0.25">
      <c r="A324" s="11">
        <v>2000</v>
      </c>
      <c r="B324" s="11" t="s">
        <v>248</v>
      </c>
      <c r="C324" s="13">
        <v>3832</v>
      </c>
      <c r="D324" s="13">
        <v>2</v>
      </c>
      <c r="E324" s="13">
        <v>350</v>
      </c>
      <c r="F324" s="13">
        <v>746</v>
      </c>
      <c r="G324" s="13">
        <v>1146</v>
      </c>
      <c r="H324" s="13">
        <v>1126</v>
      </c>
      <c r="I324" s="13">
        <v>403</v>
      </c>
      <c r="J324" s="13">
        <v>59</v>
      </c>
    </row>
    <row r="325" spans="1:10" x14ac:dyDescent="0.25">
      <c r="A325" s="11">
        <v>2000</v>
      </c>
      <c r="B325" s="11" t="s">
        <v>249</v>
      </c>
      <c r="C325" s="13">
        <v>152</v>
      </c>
      <c r="D325" s="13">
        <v>1</v>
      </c>
      <c r="E325" s="13">
        <v>6</v>
      </c>
      <c r="F325" s="13">
        <v>19</v>
      </c>
      <c r="G325" s="13">
        <v>52</v>
      </c>
      <c r="H325" s="13">
        <v>46</v>
      </c>
      <c r="I325" s="13">
        <v>22</v>
      </c>
      <c r="J325" s="13">
        <v>6</v>
      </c>
    </row>
    <row r="326" spans="1:10" x14ac:dyDescent="0.25">
      <c r="A326" s="11">
        <v>2000</v>
      </c>
      <c r="B326" s="11" t="s">
        <v>250</v>
      </c>
      <c r="C326" s="13">
        <v>1335</v>
      </c>
      <c r="D326" s="13">
        <v>2</v>
      </c>
      <c r="E326" s="13">
        <v>83</v>
      </c>
      <c r="F326" s="13">
        <v>218</v>
      </c>
      <c r="G326" s="13">
        <v>322</v>
      </c>
      <c r="H326" s="13">
        <v>448</v>
      </c>
      <c r="I326" s="13">
        <v>224</v>
      </c>
      <c r="J326" s="13">
        <v>38</v>
      </c>
    </row>
    <row r="327" spans="1:10" x14ac:dyDescent="0.25">
      <c r="A327" s="11">
        <v>2000</v>
      </c>
      <c r="B327" s="11" t="s">
        <v>251</v>
      </c>
      <c r="C327" s="13">
        <v>2007</v>
      </c>
      <c r="D327" s="13">
        <v>1</v>
      </c>
      <c r="E327" s="13">
        <v>195</v>
      </c>
      <c r="F327" s="13">
        <v>292</v>
      </c>
      <c r="G327" s="13">
        <v>518</v>
      </c>
      <c r="H327" s="13">
        <v>688</v>
      </c>
      <c r="I327" s="13">
        <v>278</v>
      </c>
      <c r="J327" s="13">
        <v>35</v>
      </c>
    </row>
    <row r="328" spans="1:10" x14ac:dyDescent="0.25">
      <c r="A328" s="11">
        <v>2000</v>
      </c>
      <c r="B328" s="11" t="s">
        <v>252</v>
      </c>
      <c r="C328" s="13">
        <v>1068</v>
      </c>
      <c r="D328" s="13">
        <v>0</v>
      </c>
      <c r="E328" s="13">
        <v>61</v>
      </c>
      <c r="F328" s="13">
        <v>151</v>
      </c>
      <c r="G328" s="13">
        <v>298</v>
      </c>
      <c r="H328" s="13">
        <v>372</v>
      </c>
      <c r="I328" s="13">
        <v>165</v>
      </c>
      <c r="J328" s="13">
        <v>21</v>
      </c>
    </row>
    <row r="329" spans="1:10" x14ac:dyDescent="0.25">
      <c r="A329" s="11">
        <v>2000</v>
      </c>
      <c r="B329" s="11" t="s">
        <v>253</v>
      </c>
      <c r="C329" s="13">
        <v>226</v>
      </c>
      <c r="D329" s="13">
        <v>1</v>
      </c>
      <c r="E329" s="13">
        <v>16</v>
      </c>
      <c r="F329" s="13">
        <v>34</v>
      </c>
      <c r="G329" s="13">
        <v>75</v>
      </c>
      <c r="H329" s="13">
        <v>55</v>
      </c>
      <c r="I329" s="13">
        <v>37</v>
      </c>
      <c r="J329" s="13">
        <v>8</v>
      </c>
    </row>
    <row r="330" spans="1:10" x14ac:dyDescent="0.25">
      <c r="A330" s="11">
        <v>2000</v>
      </c>
      <c r="B330" s="11" t="s">
        <v>254</v>
      </c>
      <c r="C330" s="13">
        <v>1050</v>
      </c>
      <c r="D330" s="13">
        <v>0</v>
      </c>
      <c r="E330" s="13">
        <v>77</v>
      </c>
      <c r="F330" s="13">
        <v>179</v>
      </c>
      <c r="G330" s="13">
        <v>304</v>
      </c>
      <c r="H330" s="13">
        <v>316</v>
      </c>
      <c r="I330" s="13">
        <v>149</v>
      </c>
      <c r="J330" s="13">
        <v>25</v>
      </c>
    </row>
    <row r="331" spans="1:10" x14ac:dyDescent="0.25">
      <c r="A331" s="11">
        <v>2000</v>
      </c>
      <c r="B331" s="11" t="s">
        <v>255</v>
      </c>
      <c r="C331" s="13">
        <v>3162</v>
      </c>
      <c r="D331" s="13">
        <v>1</v>
      </c>
      <c r="E331" s="13">
        <v>236</v>
      </c>
      <c r="F331" s="13">
        <v>491</v>
      </c>
      <c r="G331" s="13">
        <v>937</v>
      </c>
      <c r="H331" s="13">
        <v>1015</v>
      </c>
      <c r="I331" s="13">
        <v>426</v>
      </c>
      <c r="J331" s="13">
        <v>56</v>
      </c>
    </row>
    <row r="332" spans="1:10" x14ac:dyDescent="0.25">
      <c r="A332" s="11">
        <v>2000</v>
      </c>
      <c r="B332" s="11" t="s">
        <v>256</v>
      </c>
      <c r="C332" s="13">
        <v>876</v>
      </c>
      <c r="D332" s="13">
        <v>1</v>
      </c>
      <c r="E332" s="13">
        <v>67</v>
      </c>
      <c r="F332" s="13">
        <v>111</v>
      </c>
      <c r="G332" s="13">
        <v>222</v>
      </c>
      <c r="H332" s="13">
        <v>292</v>
      </c>
      <c r="I332" s="13">
        <v>158</v>
      </c>
      <c r="J332" s="13">
        <v>25</v>
      </c>
    </row>
    <row r="333" spans="1:10" x14ac:dyDescent="0.25">
      <c r="A333" s="11">
        <v>2000</v>
      </c>
      <c r="B333" s="11" t="s">
        <v>257</v>
      </c>
      <c r="C333" s="13">
        <v>1008</v>
      </c>
      <c r="D333" s="13">
        <v>0</v>
      </c>
      <c r="E333" s="13">
        <v>96</v>
      </c>
      <c r="F333" s="13">
        <v>175</v>
      </c>
      <c r="G333" s="13">
        <v>295</v>
      </c>
      <c r="H333" s="13">
        <v>297</v>
      </c>
      <c r="I333" s="13">
        <v>126</v>
      </c>
      <c r="J333" s="13">
        <v>19</v>
      </c>
    </row>
    <row r="334" spans="1:10" x14ac:dyDescent="0.25">
      <c r="A334" s="11">
        <v>2000</v>
      </c>
      <c r="B334" s="11" t="s">
        <v>258</v>
      </c>
      <c r="C334" s="13">
        <v>1899</v>
      </c>
      <c r="D334" s="13">
        <v>0</v>
      </c>
      <c r="E334" s="13">
        <v>170</v>
      </c>
      <c r="F334" s="13">
        <v>316</v>
      </c>
      <c r="G334" s="13">
        <v>528</v>
      </c>
      <c r="H334" s="13">
        <v>623</v>
      </c>
      <c r="I334" s="13">
        <v>230</v>
      </c>
      <c r="J334" s="13">
        <v>32</v>
      </c>
    </row>
    <row r="335" spans="1:10" x14ac:dyDescent="0.25">
      <c r="A335" s="11">
        <v>2001</v>
      </c>
      <c r="B335" s="11" t="s">
        <v>11</v>
      </c>
      <c r="C335" s="13">
        <v>52527</v>
      </c>
      <c r="D335" s="13">
        <v>28</v>
      </c>
      <c r="E335" s="13">
        <v>4444</v>
      </c>
      <c r="F335" s="13">
        <v>9121</v>
      </c>
      <c r="G335" s="13">
        <v>13763</v>
      </c>
      <c r="H335" s="13">
        <v>16206</v>
      </c>
      <c r="I335" s="13">
        <v>7701</v>
      </c>
      <c r="J335" s="13">
        <v>1264</v>
      </c>
    </row>
    <row r="336" spans="1:10" x14ac:dyDescent="0.25">
      <c r="A336" s="11">
        <v>2001</v>
      </c>
      <c r="B336" s="11" t="s">
        <v>227</v>
      </c>
      <c r="C336" s="13">
        <v>2097</v>
      </c>
      <c r="D336" s="13">
        <v>0</v>
      </c>
      <c r="E336" s="13">
        <v>172</v>
      </c>
      <c r="F336" s="13">
        <v>346</v>
      </c>
      <c r="G336" s="13">
        <v>558</v>
      </c>
      <c r="H336" s="13">
        <v>668</v>
      </c>
      <c r="I336" s="13">
        <v>309</v>
      </c>
      <c r="J336" s="13">
        <v>44</v>
      </c>
    </row>
    <row r="337" spans="1:10" x14ac:dyDescent="0.25">
      <c r="A337" s="11">
        <v>2001</v>
      </c>
      <c r="B337" s="11" t="s">
        <v>228</v>
      </c>
      <c r="C337" s="13">
        <v>2247</v>
      </c>
      <c r="D337" s="13">
        <v>2</v>
      </c>
      <c r="E337" s="13">
        <v>77</v>
      </c>
      <c r="F337" s="13">
        <v>308</v>
      </c>
      <c r="G337" s="13">
        <v>693</v>
      </c>
      <c r="H337" s="13">
        <v>754</v>
      </c>
      <c r="I337" s="13">
        <v>361</v>
      </c>
      <c r="J337" s="13">
        <v>52</v>
      </c>
    </row>
    <row r="338" spans="1:10" x14ac:dyDescent="0.25">
      <c r="A338" s="11">
        <v>2001</v>
      </c>
      <c r="B338" s="11" t="s">
        <v>229</v>
      </c>
      <c r="C338" s="13">
        <v>1103</v>
      </c>
      <c r="D338" s="13">
        <v>0</v>
      </c>
      <c r="E338" s="13">
        <v>88</v>
      </c>
      <c r="F338" s="13">
        <v>205</v>
      </c>
      <c r="G338" s="13">
        <v>311</v>
      </c>
      <c r="H338" s="13">
        <v>330</v>
      </c>
      <c r="I338" s="13">
        <v>144</v>
      </c>
      <c r="J338" s="13">
        <v>25</v>
      </c>
    </row>
    <row r="339" spans="1:10" x14ac:dyDescent="0.25">
      <c r="A339" s="11">
        <v>2001</v>
      </c>
      <c r="B339" s="11" t="s">
        <v>230</v>
      </c>
      <c r="C339" s="13">
        <v>780</v>
      </c>
      <c r="D339" s="13">
        <v>0</v>
      </c>
      <c r="E339" s="13">
        <v>51</v>
      </c>
      <c r="F339" s="13">
        <v>111</v>
      </c>
      <c r="G339" s="13">
        <v>211</v>
      </c>
      <c r="H339" s="13">
        <v>262</v>
      </c>
      <c r="I339" s="13">
        <v>120</v>
      </c>
      <c r="J339" s="13">
        <v>25</v>
      </c>
    </row>
    <row r="340" spans="1:10" x14ac:dyDescent="0.25">
      <c r="A340" s="11">
        <v>2001</v>
      </c>
      <c r="B340" s="11" t="s">
        <v>231</v>
      </c>
      <c r="C340" s="13">
        <v>4489</v>
      </c>
      <c r="D340" s="13">
        <v>1</v>
      </c>
      <c r="E340" s="13">
        <v>317</v>
      </c>
      <c r="F340" s="13">
        <v>635</v>
      </c>
      <c r="G340" s="13">
        <v>989</v>
      </c>
      <c r="H340" s="13">
        <v>1543</v>
      </c>
      <c r="I340" s="13">
        <v>849</v>
      </c>
      <c r="J340" s="13">
        <v>155</v>
      </c>
    </row>
    <row r="341" spans="1:10" x14ac:dyDescent="0.25">
      <c r="A341" s="11">
        <v>2001</v>
      </c>
      <c r="B341" s="11" t="s">
        <v>232</v>
      </c>
      <c r="C341" s="13">
        <v>529</v>
      </c>
      <c r="D341" s="13">
        <v>0</v>
      </c>
      <c r="E341" s="13">
        <v>52</v>
      </c>
      <c r="F341" s="13">
        <v>111</v>
      </c>
      <c r="G341" s="13">
        <v>152</v>
      </c>
      <c r="H341" s="13">
        <v>134</v>
      </c>
      <c r="I341" s="13">
        <v>71</v>
      </c>
      <c r="J341" s="13">
        <v>9</v>
      </c>
    </row>
    <row r="342" spans="1:10" x14ac:dyDescent="0.25">
      <c r="A342" s="11">
        <v>2001</v>
      </c>
      <c r="B342" s="11" t="s">
        <v>233</v>
      </c>
      <c r="C342" s="13">
        <v>1283</v>
      </c>
      <c r="D342" s="13">
        <v>0</v>
      </c>
      <c r="E342" s="13">
        <v>147</v>
      </c>
      <c r="F342" s="13">
        <v>235</v>
      </c>
      <c r="G342" s="13">
        <v>357</v>
      </c>
      <c r="H342" s="13">
        <v>361</v>
      </c>
      <c r="I342" s="13">
        <v>149</v>
      </c>
      <c r="J342" s="13">
        <v>34</v>
      </c>
    </row>
    <row r="343" spans="1:10" x14ac:dyDescent="0.25">
      <c r="A343" s="11">
        <v>2001</v>
      </c>
      <c r="B343" s="11" t="s">
        <v>234</v>
      </c>
      <c r="C343" s="13">
        <v>1468</v>
      </c>
      <c r="D343" s="13">
        <v>0</v>
      </c>
      <c r="E343" s="13">
        <v>196</v>
      </c>
      <c r="F343" s="13">
        <v>335</v>
      </c>
      <c r="G343" s="13">
        <v>395</v>
      </c>
      <c r="H343" s="13">
        <v>325</v>
      </c>
      <c r="I343" s="13">
        <v>184</v>
      </c>
      <c r="J343" s="13">
        <v>33</v>
      </c>
    </row>
    <row r="344" spans="1:10" x14ac:dyDescent="0.25">
      <c r="A344" s="11">
        <v>2001</v>
      </c>
      <c r="B344" s="11" t="s">
        <v>235</v>
      </c>
      <c r="C344" s="13">
        <v>1198</v>
      </c>
      <c r="D344" s="13">
        <v>0</v>
      </c>
      <c r="E344" s="13">
        <v>118</v>
      </c>
      <c r="F344" s="13">
        <v>229</v>
      </c>
      <c r="G344" s="13">
        <v>322</v>
      </c>
      <c r="H344" s="13">
        <v>360</v>
      </c>
      <c r="I344" s="13">
        <v>150</v>
      </c>
      <c r="J344" s="13">
        <v>19</v>
      </c>
    </row>
    <row r="345" spans="1:10" x14ac:dyDescent="0.25">
      <c r="A345" s="11">
        <v>2001</v>
      </c>
      <c r="B345" s="11" t="s">
        <v>236</v>
      </c>
      <c r="C345" s="13">
        <v>983</v>
      </c>
      <c r="D345" s="13">
        <v>0</v>
      </c>
      <c r="E345" s="13">
        <v>36</v>
      </c>
      <c r="F345" s="13">
        <v>71</v>
      </c>
      <c r="G345" s="13">
        <v>232</v>
      </c>
      <c r="H345" s="13">
        <v>377</v>
      </c>
      <c r="I345" s="13">
        <v>236</v>
      </c>
      <c r="J345" s="13">
        <v>31</v>
      </c>
    </row>
    <row r="346" spans="1:10" x14ac:dyDescent="0.25">
      <c r="A346" s="11">
        <v>2001</v>
      </c>
      <c r="B346" s="11" t="s">
        <v>237</v>
      </c>
      <c r="C346" s="13">
        <v>940</v>
      </c>
      <c r="D346" s="13">
        <v>0</v>
      </c>
      <c r="E346" s="13">
        <v>71</v>
      </c>
      <c r="F346" s="13">
        <v>128</v>
      </c>
      <c r="G346" s="13">
        <v>239</v>
      </c>
      <c r="H346" s="13">
        <v>298</v>
      </c>
      <c r="I346" s="13">
        <v>176</v>
      </c>
      <c r="J346" s="13">
        <v>28</v>
      </c>
    </row>
    <row r="347" spans="1:10" x14ac:dyDescent="0.25">
      <c r="A347" s="11">
        <v>2001</v>
      </c>
      <c r="B347" s="11" t="s">
        <v>238</v>
      </c>
      <c r="C347" s="13">
        <v>954</v>
      </c>
      <c r="D347" s="13">
        <v>0</v>
      </c>
      <c r="E347" s="13">
        <v>26</v>
      </c>
      <c r="F347" s="13">
        <v>82</v>
      </c>
      <c r="G347" s="13">
        <v>212</v>
      </c>
      <c r="H347" s="13">
        <v>404</v>
      </c>
      <c r="I347" s="13">
        <v>199</v>
      </c>
      <c r="J347" s="13">
        <v>31</v>
      </c>
    </row>
    <row r="348" spans="1:10" x14ac:dyDescent="0.25">
      <c r="A348" s="11">
        <v>2001</v>
      </c>
      <c r="B348" s="11" t="s">
        <v>239</v>
      </c>
      <c r="C348" s="13">
        <v>1448</v>
      </c>
      <c r="D348" s="13">
        <v>1</v>
      </c>
      <c r="E348" s="13">
        <v>117</v>
      </c>
      <c r="F348" s="13">
        <v>253</v>
      </c>
      <c r="G348" s="13">
        <v>427</v>
      </c>
      <c r="H348" s="13">
        <v>429</v>
      </c>
      <c r="I348" s="13">
        <v>196</v>
      </c>
      <c r="J348" s="13">
        <v>25</v>
      </c>
    </row>
    <row r="349" spans="1:10" x14ac:dyDescent="0.25">
      <c r="A349" s="11">
        <v>2001</v>
      </c>
      <c r="B349" s="11" t="s">
        <v>240</v>
      </c>
      <c r="C349" s="13">
        <v>3642</v>
      </c>
      <c r="D349" s="13">
        <v>6</v>
      </c>
      <c r="E349" s="13">
        <v>347</v>
      </c>
      <c r="F349" s="13">
        <v>757</v>
      </c>
      <c r="G349" s="13">
        <v>980</v>
      </c>
      <c r="H349" s="13">
        <v>1047</v>
      </c>
      <c r="I349" s="13">
        <v>436</v>
      </c>
      <c r="J349" s="13">
        <v>69</v>
      </c>
    </row>
    <row r="350" spans="1:10" x14ac:dyDescent="0.25">
      <c r="A350" s="11">
        <v>2001</v>
      </c>
      <c r="B350" s="11" t="s">
        <v>241</v>
      </c>
      <c r="C350" s="13">
        <v>6645</v>
      </c>
      <c r="D350" s="13">
        <v>2</v>
      </c>
      <c r="E350" s="13">
        <v>683</v>
      </c>
      <c r="F350" s="13">
        <v>1360</v>
      </c>
      <c r="G350" s="13">
        <v>1633</v>
      </c>
      <c r="H350" s="13">
        <v>1864</v>
      </c>
      <c r="I350" s="13">
        <v>943</v>
      </c>
      <c r="J350" s="13">
        <v>160</v>
      </c>
    </row>
    <row r="351" spans="1:10" x14ac:dyDescent="0.25">
      <c r="A351" s="11">
        <v>2001</v>
      </c>
      <c r="B351" s="11" t="s">
        <v>242</v>
      </c>
      <c r="C351" s="13">
        <v>2131</v>
      </c>
      <c r="D351" s="13">
        <v>2</v>
      </c>
      <c r="E351" s="13">
        <v>181</v>
      </c>
      <c r="F351" s="13">
        <v>382</v>
      </c>
      <c r="G351" s="13">
        <v>573</v>
      </c>
      <c r="H351" s="13">
        <v>613</v>
      </c>
      <c r="I351" s="13">
        <v>309</v>
      </c>
      <c r="J351" s="13">
        <v>71</v>
      </c>
    </row>
    <row r="352" spans="1:10" x14ac:dyDescent="0.25">
      <c r="A352" s="11">
        <v>2001</v>
      </c>
      <c r="B352" s="11" t="s">
        <v>243</v>
      </c>
      <c r="C352" s="13">
        <v>850</v>
      </c>
      <c r="D352" s="13">
        <v>1</v>
      </c>
      <c r="E352" s="13">
        <v>84</v>
      </c>
      <c r="F352" s="13">
        <v>157</v>
      </c>
      <c r="G352" s="13">
        <v>211</v>
      </c>
      <c r="H352" s="13">
        <v>259</v>
      </c>
      <c r="I352" s="13">
        <v>123</v>
      </c>
      <c r="J352" s="13">
        <v>15</v>
      </c>
    </row>
    <row r="353" spans="1:10" x14ac:dyDescent="0.25">
      <c r="A353" s="11">
        <v>2001</v>
      </c>
      <c r="B353" s="11" t="s">
        <v>244</v>
      </c>
      <c r="C353" s="13">
        <v>922</v>
      </c>
      <c r="D353" s="13">
        <v>1</v>
      </c>
      <c r="E353" s="13">
        <v>78</v>
      </c>
      <c r="F353" s="13">
        <v>144</v>
      </c>
      <c r="G353" s="13">
        <v>246</v>
      </c>
      <c r="H353" s="13">
        <v>286</v>
      </c>
      <c r="I353" s="13">
        <v>153</v>
      </c>
      <c r="J353" s="13">
        <v>14</v>
      </c>
    </row>
    <row r="354" spans="1:10" x14ac:dyDescent="0.25">
      <c r="A354" s="11">
        <v>2001</v>
      </c>
      <c r="B354" s="11" t="s">
        <v>245</v>
      </c>
      <c r="C354" s="13">
        <v>869</v>
      </c>
      <c r="D354" s="13">
        <v>0</v>
      </c>
      <c r="E354" s="13">
        <v>59</v>
      </c>
      <c r="F354" s="13">
        <v>147</v>
      </c>
      <c r="G354" s="13">
        <v>287</v>
      </c>
      <c r="H354" s="13">
        <v>247</v>
      </c>
      <c r="I354" s="13">
        <v>112</v>
      </c>
      <c r="J354" s="13">
        <v>17</v>
      </c>
    </row>
    <row r="355" spans="1:10" x14ac:dyDescent="0.25">
      <c r="A355" s="11">
        <v>2001</v>
      </c>
      <c r="B355" s="11" t="s">
        <v>246</v>
      </c>
      <c r="C355" s="13">
        <v>226</v>
      </c>
      <c r="D355" s="13">
        <v>0</v>
      </c>
      <c r="E355" s="13">
        <v>9</v>
      </c>
      <c r="F355" s="13">
        <v>37</v>
      </c>
      <c r="G355" s="13">
        <v>57</v>
      </c>
      <c r="H355" s="13">
        <v>81</v>
      </c>
      <c r="I355" s="13">
        <v>35</v>
      </c>
      <c r="J355" s="13">
        <v>7</v>
      </c>
    </row>
    <row r="356" spans="1:10" x14ac:dyDescent="0.25">
      <c r="A356" s="11">
        <v>2001</v>
      </c>
      <c r="B356" s="11" t="s">
        <v>247</v>
      </c>
      <c r="C356" s="13">
        <v>1421</v>
      </c>
      <c r="D356" s="13">
        <v>0</v>
      </c>
      <c r="E356" s="13">
        <v>155</v>
      </c>
      <c r="F356" s="13">
        <v>327</v>
      </c>
      <c r="G356" s="13">
        <v>361</v>
      </c>
      <c r="H356" s="13">
        <v>392</v>
      </c>
      <c r="I356" s="13">
        <v>162</v>
      </c>
      <c r="J356" s="13">
        <v>24</v>
      </c>
    </row>
    <row r="357" spans="1:10" x14ac:dyDescent="0.25">
      <c r="A357" s="11">
        <v>2001</v>
      </c>
      <c r="B357" s="11" t="s">
        <v>248</v>
      </c>
      <c r="C357" s="13">
        <v>3676</v>
      </c>
      <c r="D357" s="13">
        <v>0</v>
      </c>
      <c r="E357" s="13">
        <v>388</v>
      </c>
      <c r="F357" s="13">
        <v>717</v>
      </c>
      <c r="G357" s="13">
        <v>966</v>
      </c>
      <c r="H357" s="13">
        <v>1112</v>
      </c>
      <c r="I357" s="13">
        <v>424</v>
      </c>
      <c r="J357" s="13">
        <v>69</v>
      </c>
    </row>
    <row r="358" spans="1:10" x14ac:dyDescent="0.25">
      <c r="A358" s="11">
        <v>2001</v>
      </c>
      <c r="B358" s="11" t="s">
        <v>249</v>
      </c>
      <c r="C358" s="13">
        <v>174</v>
      </c>
      <c r="D358" s="13">
        <v>0</v>
      </c>
      <c r="E358" s="13">
        <v>6</v>
      </c>
      <c r="F358" s="13">
        <v>21</v>
      </c>
      <c r="G358" s="13">
        <v>52</v>
      </c>
      <c r="H358" s="13">
        <v>65</v>
      </c>
      <c r="I358" s="13">
        <v>25</v>
      </c>
      <c r="J358" s="13">
        <v>5</v>
      </c>
    </row>
    <row r="359" spans="1:10" x14ac:dyDescent="0.25">
      <c r="A359" s="11">
        <v>2001</v>
      </c>
      <c r="B359" s="11" t="s">
        <v>250</v>
      </c>
      <c r="C359" s="13">
        <v>1334</v>
      </c>
      <c r="D359" s="13">
        <v>5</v>
      </c>
      <c r="E359" s="13">
        <v>81</v>
      </c>
      <c r="F359" s="13">
        <v>184</v>
      </c>
      <c r="G359" s="13">
        <v>353</v>
      </c>
      <c r="H359" s="13">
        <v>480</v>
      </c>
      <c r="I359" s="13">
        <v>197</v>
      </c>
      <c r="J359" s="13">
        <v>34</v>
      </c>
    </row>
    <row r="360" spans="1:10" x14ac:dyDescent="0.25">
      <c r="A360" s="11">
        <v>2001</v>
      </c>
      <c r="B360" s="11" t="s">
        <v>251</v>
      </c>
      <c r="C360" s="13">
        <v>1796</v>
      </c>
      <c r="D360" s="13">
        <v>0</v>
      </c>
      <c r="E360" s="13">
        <v>161</v>
      </c>
      <c r="F360" s="13">
        <v>304</v>
      </c>
      <c r="G360" s="13">
        <v>443</v>
      </c>
      <c r="H360" s="13">
        <v>576</v>
      </c>
      <c r="I360" s="13">
        <v>263</v>
      </c>
      <c r="J360" s="13">
        <v>49</v>
      </c>
    </row>
    <row r="361" spans="1:10" x14ac:dyDescent="0.25">
      <c r="A361" s="11">
        <v>2001</v>
      </c>
      <c r="B361" s="11" t="s">
        <v>252</v>
      </c>
      <c r="C361" s="13">
        <v>1066</v>
      </c>
      <c r="D361" s="13">
        <v>0</v>
      </c>
      <c r="E361" s="13">
        <v>73</v>
      </c>
      <c r="F361" s="13">
        <v>144</v>
      </c>
      <c r="G361" s="13">
        <v>256</v>
      </c>
      <c r="H361" s="13">
        <v>375</v>
      </c>
      <c r="I361" s="13">
        <v>180</v>
      </c>
      <c r="J361" s="13">
        <v>38</v>
      </c>
    </row>
    <row r="362" spans="1:10" x14ac:dyDescent="0.25">
      <c r="A362" s="11">
        <v>2001</v>
      </c>
      <c r="B362" s="11" t="s">
        <v>253</v>
      </c>
      <c r="C362" s="13">
        <v>247</v>
      </c>
      <c r="D362" s="13">
        <v>0</v>
      </c>
      <c r="E362" s="13">
        <v>18</v>
      </c>
      <c r="F362" s="13">
        <v>50</v>
      </c>
      <c r="G362" s="13">
        <v>63</v>
      </c>
      <c r="H362" s="13">
        <v>75</v>
      </c>
      <c r="I362" s="13">
        <v>37</v>
      </c>
      <c r="J362" s="13">
        <v>4</v>
      </c>
    </row>
    <row r="363" spans="1:10" x14ac:dyDescent="0.25">
      <c r="A363" s="11">
        <v>2001</v>
      </c>
      <c r="B363" s="11" t="s">
        <v>254</v>
      </c>
      <c r="C363" s="13">
        <v>1056</v>
      </c>
      <c r="D363" s="13">
        <v>0</v>
      </c>
      <c r="E363" s="13">
        <v>100</v>
      </c>
      <c r="F363" s="13">
        <v>170</v>
      </c>
      <c r="G363" s="13">
        <v>268</v>
      </c>
      <c r="H363" s="13">
        <v>325</v>
      </c>
      <c r="I363" s="13">
        <v>165</v>
      </c>
      <c r="J363" s="13">
        <v>28</v>
      </c>
    </row>
    <row r="364" spans="1:10" x14ac:dyDescent="0.25">
      <c r="A364" s="11">
        <v>2001</v>
      </c>
      <c r="B364" s="11" t="s">
        <v>255</v>
      </c>
      <c r="C364" s="13">
        <v>3161</v>
      </c>
      <c r="D364" s="13">
        <v>1</v>
      </c>
      <c r="E364" s="13">
        <v>225</v>
      </c>
      <c r="F364" s="13">
        <v>519</v>
      </c>
      <c r="G364" s="13">
        <v>864</v>
      </c>
      <c r="H364" s="13">
        <v>1031</v>
      </c>
      <c r="I364" s="13">
        <v>456</v>
      </c>
      <c r="J364" s="13">
        <v>65</v>
      </c>
    </row>
    <row r="365" spans="1:10" x14ac:dyDescent="0.25">
      <c r="A365" s="11">
        <v>2001</v>
      </c>
      <c r="B365" s="11" t="s">
        <v>256</v>
      </c>
      <c r="C365" s="13">
        <v>840</v>
      </c>
      <c r="D365" s="13">
        <v>6</v>
      </c>
      <c r="E365" s="13">
        <v>48</v>
      </c>
      <c r="F365" s="13">
        <v>122</v>
      </c>
      <c r="G365" s="13">
        <v>197</v>
      </c>
      <c r="H365" s="13">
        <v>293</v>
      </c>
      <c r="I365" s="13">
        <v>148</v>
      </c>
      <c r="J365" s="13">
        <v>26</v>
      </c>
    </row>
    <row r="366" spans="1:10" x14ac:dyDescent="0.25">
      <c r="A366" s="11">
        <v>2001</v>
      </c>
      <c r="B366" s="11" t="s">
        <v>257</v>
      </c>
      <c r="C366" s="13">
        <v>972</v>
      </c>
      <c r="D366" s="13">
        <v>0</v>
      </c>
      <c r="E366" s="13">
        <v>110</v>
      </c>
      <c r="F366" s="13">
        <v>182</v>
      </c>
      <c r="G366" s="13">
        <v>255</v>
      </c>
      <c r="H366" s="13">
        <v>263</v>
      </c>
      <c r="I366" s="13">
        <v>143</v>
      </c>
      <c r="J366" s="13">
        <v>19</v>
      </c>
    </row>
    <row r="367" spans="1:10" x14ac:dyDescent="0.25">
      <c r="A367" s="11">
        <v>2001</v>
      </c>
      <c r="B367" s="11" t="s">
        <v>258</v>
      </c>
      <c r="C367" s="13">
        <v>1980</v>
      </c>
      <c r="D367" s="13">
        <v>0</v>
      </c>
      <c r="E367" s="13">
        <v>170</v>
      </c>
      <c r="F367" s="13">
        <v>348</v>
      </c>
      <c r="G367" s="13">
        <v>600</v>
      </c>
      <c r="H367" s="13">
        <v>577</v>
      </c>
      <c r="I367" s="13">
        <v>246</v>
      </c>
      <c r="J367" s="13">
        <v>39</v>
      </c>
    </row>
    <row r="368" spans="1:10" x14ac:dyDescent="0.25">
      <c r="A368" s="11">
        <v>2002</v>
      </c>
      <c r="B368" s="11" t="s">
        <v>11</v>
      </c>
      <c r="C368" s="13">
        <v>51270</v>
      </c>
      <c r="D368" s="13">
        <v>35</v>
      </c>
      <c r="E368" s="13">
        <v>4195</v>
      </c>
      <c r="F368" s="13">
        <v>9267</v>
      </c>
      <c r="G368" s="13">
        <v>12694</v>
      </c>
      <c r="H368" s="13">
        <v>16038</v>
      </c>
      <c r="I368" s="13">
        <v>7727</v>
      </c>
      <c r="J368" s="13">
        <v>1314</v>
      </c>
    </row>
    <row r="369" spans="1:10" x14ac:dyDescent="0.25">
      <c r="A369" s="11">
        <v>2002</v>
      </c>
      <c r="B369" s="11" t="s">
        <v>227</v>
      </c>
      <c r="C369" s="13">
        <v>2098</v>
      </c>
      <c r="D369" s="13">
        <v>0</v>
      </c>
      <c r="E369" s="13">
        <v>178</v>
      </c>
      <c r="F369" s="13">
        <v>380</v>
      </c>
      <c r="G369" s="13">
        <v>514</v>
      </c>
      <c r="H369" s="13">
        <v>666</v>
      </c>
      <c r="I369" s="13">
        <v>320</v>
      </c>
      <c r="J369" s="13">
        <v>40</v>
      </c>
    </row>
    <row r="370" spans="1:10" x14ac:dyDescent="0.25">
      <c r="A370" s="11">
        <v>2002</v>
      </c>
      <c r="B370" s="11" t="s">
        <v>228</v>
      </c>
      <c r="C370" s="13">
        <v>2326</v>
      </c>
      <c r="D370" s="13">
        <v>5</v>
      </c>
      <c r="E370" s="13">
        <v>104</v>
      </c>
      <c r="F370" s="13">
        <v>329</v>
      </c>
      <c r="G370" s="13">
        <v>673</v>
      </c>
      <c r="H370" s="13">
        <v>806</v>
      </c>
      <c r="I370" s="13">
        <v>347</v>
      </c>
      <c r="J370" s="13">
        <v>62</v>
      </c>
    </row>
    <row r="371" spans="1:10" x14ac:dyDescent="0.25">
      <c r="A371" s="11">
        <v>2002</v>
      </c>
      <c r="B371" s="11" t="s">
        <v>229</v>
      </c>
      <c r="C371" s="13">
        <v>1014</v>
      </c>
      <c r="D371" s="13">
        <v>0</v>
      </c>
      <c r="E371" s="13">
        <v>73</v>
      </c>
      <c r="F371" s="13">
        <v>175</v>
      </c>
      <c r="G371" s="13">
        <v>274</v>
      </c>
      <c r="H371" s="13">
        <v>326</v>
      </c>
      <c r="I371" s="13">
        <v>149</v>
      </c>
      <c r="J371" s="13">
        <v>17</v>
      </c>
    </row>
    <row r="372" spans="1:10" x14ac:dyDescent="0.25">
      <c r="A372" s="11">
        <v>2002</v>
      </c>
      <c r="B372" s="11" t="s">
        <v>230</v>
      </c>
      <c r="C372" s="13">
        <v>755</v>
      </c>
      <c r="D372" s="13">
        <v>1</v>
      </c>
      <c r="E372" s="13">
        <v>46</v>
      </c>
      <c r="F372" s="13">
        <v>124</v>
      </c>
      <c r="G372" s="13">
        <v>193</v>
      </c>
      <c r="H372" s="13">
        <v>237</v>
      </c>
      <c r="I372" s="13">
        <v>129</v>
      </c>
      <c r="J372" s="13">
        <v>25</v>
      </c>
    </row>
    <row r="373" spans="1:10" x14ac:dyDescent="0.25">
      <c r="A373" s="11">
        <v>2002</v>
      </c>
      <c r="B373" s="11" t="s">
        <v>231</v>
      </c>
      <c r="C373" s="13">
        <v>4477</v>
      </c>
      <c r="D373" s="13">
        <v>0</v>
      </c>
      <c r="E373" s="13">
        <v>277</v>
      </c>
      <c r="F373" s="13">
        <v>629</v>
      </c>
      <c r="G373" s="13">
        <v>970</v>
      </c>
      <c r="H373" s="13">
        <v>1550</v>
      </c>
      <c r="I373" s="13">
        <v>881</v>
      </c>
      <c r="J373" s="13">
        <v>170</v>
      </c>
    </row>
    <row r="374" spans="1:10" x14ac:dyDescent="0.25">
      <c r="A374" s="11">
        <v>2002</v>
      </c>
      <c r="B374" s="11" t="s">
        <v>232</v>
      </c>
      <c r="C374" s="13">
        <v>480</v>
      </c>
      <c r="D374" s="13">
        <v>0</v>
      </c>
      <c r="E374" s="13">
        <v>55</v>
      </c>
      <c r="F374" s="13">
        <v>109</v>
      </c>
      <c r="G374" s="13">
        <v>125</v>
      </c>
      <c r="H374" s="13">
        <v>114</v>
      </c>
      <c r="I374" s="13">
        <v>67</v>
      </c>
      <c r="J374" s="13">
        <v>10</v>
      </c>
    </row>
    <row r="375" spans="1:10" x14ac:dyDescent="0.25">
      <c r="A375" s="11">
        <v>2002</v>
      </c>
      <c r="B375" s="11" t="s">
        <v>233</v>
      </c>
      <c r="C375" s="13">
        <v>1343</v>
      </c>
      <c r="D375" s="13">
        <v>0</v>
      </c>
      <c r="E375" s="13">
        <v>118</v>
      </c>
      <c r="F375" s="13">
        <v>281</v>
      </c>
      <c r="G375" s="13">
        <v>330</v>
      </c>
      <c r="H375" s="13">
        <v>402</v>
      </c>
      <c r="I375" s="13">
        <v>187</v>
      </c>
      <c r="J375" s="13">
        <v>25</v>
      </c>
    </row>
    <row r="376" spans="1:10" x14ac:dyDescent="0.25">
      <c r="A376" s="11">
        <v>2002</v>
      </c>
      <c r="B376" s="11" t="s">
        <v>234</v>
      </c>
      <c r="C376" s="13">
        <v>1436</v>
      </c>
      <c r="D376" s="13">
        <v>0</v>
      </c>
      <c r="E376" s="13">
        <v>191</v>
      </c>
      <c r="F376" s="13">
        <v>352</v>
      </c>
      <c r="G376" s="13">
        <v>362</v>
      </c>
      <c r="H376" s="13">
        <v>332</v>
      </c>
      <c r="I376" s="13">
        <v>168</v>
      </c>
      <c r="J376" s="13">
        <v>31</v>
      </c>
    </row>
    <row r="377" spans="1:10" x14ac:dyDescent="0.25">
      <c r="A377" s="11">
        <v>2002</v>
      </c>
      <c r="B377" s="11" t="s">
        <v>235</v>
      </c>
      <c r="C377" s="13">
        <v>1157</v>
      </c>
      <c r="D377" s="13">
        <v>0</v>
      </c>
      <c r="E377" s="13">
        <v>113</v>
      </c>
      <c r="F377" s="13">
        <v>223</v>
      </c>
      <c r="G377" s="13">
        <v>314</v>
      </c>
      <c r="H377" s="13">
        <v>339</v>
      </c>
      <c r="I377" s="13">
        <v>149</v>
      </c>
      <c r="J377" s="13">
        <v>19</v>
      </c>
    </row>
    <row r="378" spans="1:10" x14ac:dyDescent="0.25">
      <c r="A378" s="11">
        <v>2002</v>
      </c>
      <c r="B378" s="11" t="s">
        <v>236</v>
      </c>
      <c r="C378" s="13">
        <v>942</v>
      </c>
      <c r="D378" s="13">
        <v>1</v>
      </c>
      <c r="E378" s="13">
        <v>38</v>
      </c>
      <c r="F378" s="13">
        <v>85</v>
      </c>
      <c r="G378" s="13">
        <v>174</v>
      </c>
      <c r="H378" s="13">
        <v>377</v>
      </c>
      <c r="I378" s="13">
        <v>232</v>
      </c>
      <c r="J378" s="13">
        <v>35</v>
      </c>
    </row>
    <row r="379" spans="1:10" x14ac:dyDescent="0.25">
      <c r="A379" s="11">
        <v>2002</v>
      </c>
      <c r="B379" s="11" t="s">
        <v>237</v>
      </c>
      <c r="C379" s="13">
        <v>910</v>
      </c>
      <c r="D379" s="13">
        <v>0</v>
      </c>
      <c r="E379" s="13">
        <v>59</v>
      </c>
      <c r="F379" s="13">
        <v>133</v>
      </c>
      <c r="G379" s="13">
        <v>210</v>
      </c>
      <c r="H379" s="13">
        <v>312</v>
      </c>
      <c r="I379" s="13">
        <v>164</v>
      </c>
      <c r="J379" s="13">
        <v>32</v>
      </c>
    </row>
    <row r="380" spans="1:10" x14ac:dyDescent="0.25">
      <c r="A380" s="11">
        <v>2002</v>
      </c>
      <c r="B380" s="11" t="s">
        <v>238</v>
      </c>
      <c r="C380" s="13">
        <v>916</v>
      </c>
      <c r="D380" s="13">
        <v>0</v>
      </c>
      <c r="E380" s="13">
        <v>30</v>
      </c>
      <c r="F380" s="13">
        <v>68</v>
      </c>
      <c r="G380" s="13">
        <v>176</v>
      </c>
      <c r="H380" s="13">
        <v>391</v>
      </c>
      <c r="I380" s="13">
        <v>216</v>
      </c>
      <c r="J380" s="13">
        <v>35</v>
      </c>
    </row>
    <row r="381" spans="1:10" x14ac:dyDescent="0.25">
      <c r="A381" s="11">
        <v>2002</v>
      </c>
      <c r="B381" s="11" t="s">
        <v>239</v>
      </c>
      <c r="C381" s="13">
        <v>1507</v>
      </c>
      <c r="D381" s="13">
        <v>2</v>
      </c>
      <c r="E381" s="13">
        <v>126</v>
      </c>
      <c r="F381" s="13">
        <v>266</v>
      </c>
      <c r="G381" s="13">
        <v>420</v>
      </c>
      <c r="H381" s="13">
        <v>472</v>
      </c>
      <c r="I381" s="13">
        <v>184</v>
      </c>
      <c r="J381" s="13">
        <v>37</v>
      </c>
    </row>
    <row r="382" spans="1:10" x14ac:dyDescent="0.25">
      <c r="A382" s="11">
        <v>2002</v>
      </c>
      <c r="B382" s="11" t="s">
        <v>240</v>
      </c>
      <c r="C382" s="13">
        <v>3536</v>
      </c>
      <c r="D382" s="13">
        <v>0</v>
      </c>
      <c r="E382" s="13">
        <v>332</v>
      </c>
      <c r="F382" s="13">
        <v>726</v>
      </c>
      <c r="G382" s="13">
        <v>895</v>
      </c>
      <c r="H382" s="13">
        <v>1010</v>
      </c>
      <c r="I382" s="13">
        <v>490</v>
      </c>
      <c r="J382" s="13">
        <v>83</v>
      </c>
    </row>
    <row r="383" spans="1:10" x14ac:dyDescent="0.25">
      <c r="A383" s="11">
        <v>2002</v>
      </c>
      <c r="B383" s="11" t="s">
        <v>241</v>
      </c>
      <c r="C383" s="13">
        <v>6386</v>
      </c>
      <c r="D383" s="13">
        <v>3</v>
      </c>
      <c r="E383" s="13">
        <v>599</v>
      </c>
      <c r="F383" s="13">
        <v>1385</v>
      </c>
      <c r="G383" s="13">
        <v>1532</v>
      </c>
      <c r="H383" s="13">
        <v>1789</v>
      </c>
      <c r="I383" s="13">
        <v>897</v>
      </c>
      <c r="J383" s="13">
        <v>181</v>
      </c>
    </row>
    <row r="384" spans="1:10" x14ac:dyDescent="0.25">
      <c r="A384" s="11">
        <v>2002</v>
      </c>
      <c r="B384" s="11" t="s">
        <v>242</v>
      </c>
      <c r="C384" s="13">
        <v>1977</v>
      </c>
      <c r="D384" s="13">
        <v>1</v>
      </c>
      <c r="E384" s="13">
        <v>170</v>
      </c>
      <c r="F384" s="13">
        <v>365</v>
      </c>
      <c r="G384" s="13">
        <v>496</v>
      </c>
      <c r="H384" s="13">
        <v>543</v>
      </c>
      <c r="I384" s="13">
        <v>340</v>
      </c>
      <c r="J384" s="13">
        <v>62</v>
      </c>
    </row>
    <row r="385" spans="1:10" x14ac:dyDescent="0.25">
      <c r="A385" s="11">
        <v>2002</v>
      </c>
      <c r="B385" s="11" t="s">
        <v>243</v>
      </c>
      <c r="C385" s="13">
        <v>787</v>
      </c>
      <c r="D385" s="13">
        <v>0</v>
      </c>
      <c r="E385" s="13">
        <v>90</v>
      </c>
      <c r="F385" s="13">
        <v>141</v>
      </c>
      <c r="G385" s="13">
        <v>201</v>
      </c>
      <c r="H385" s="13">
        <v>232</v>
      </c>
      <c r="I385" s="13">
        <v>110</v>
      </c>
      <c r="J385" s="13">
        <v>13</v>
      </c>
    </row>
    <row r="386" spans="1:10" x14ac:dyDescent="0.25">
      <c r="A386" s="11">
        <v>2002</v>
      </c>
      <c r="B386" s="11" t="s">
        <v>244</v>
      </c>
      <c r="C386" s="13">
        <v>863</v>
      </c>
      <c r="D386" s="13">
        <v>0</v>
      </c>
      <c r="E386" s="13">
        <v>78</v>
      </c>
      <c r="F386" s="13">
        <v>146</v>
      </c>
      <c r="G386" s="13">
        <v>213</v>
      </c>
      <c r="H386" s="13">
        <v>283</v>
      </c>
      <c r="I386" s="13">
        <v>123</v>
      </c>
      <c r="J386" s="13">
        <v>20</v>
      </c>
    </row>
    <row r="387" spans="1:10" x14ac:dyDescent="0.25">
      <c r="A387" s="11">
        <v>2002</v>
      </c>
      <c r="B387" s="11" t="s">
        <v>245</v>
      </c>
      <c r="C387" s="13">
        <v>876</v>
      </c>
      <c r="D387" s="13">
        <v>0</v>
      </c>
      <c r="E387" s="13">
        <v>63</v>
      </c>
      <c r="F387" s="13">
        <v>150</v>
      </c>
      <c r="G387" s="13">
        <v>277</v>
      </c>
      <c r="H387" s="13">
        <v>264</v>
      </c>
      <c r="I387" s="13">
        <v>106</v>
      </c>
      <c r="J387" s="13">
        <v>16</v>
      </c>
    </row>
    <row r="388" spans="1:10" x14ac:dyDescent="0.25">
      <c r="A388" s="11">
        <v>2002</v>
      </c>
      <c r="B388" s="11" t="s">
        <v>246</v>
      </c>
      <c r="C388" s="13">
        <v>242</v>
      </c>
      <c r="D388" s="13">
        <v>0</v>
      </c>
      <c r="E388" s="13">
        <v>12</v>
      </c>
      <c r="F388" s="13">
        <v>34</v>
      </c>
      <c r="G388" s="13">
        <v>60</v>
      </c>
      <c r="H388" s="13">
        <v>100</v>
      </c>
      <c r="I388" s="13">
        <v>31</v>
      </c>
      <c r="J388" s="13">
        <v>5</v>
      </c>
    </row>
    <row r="389" spans="1:10" x14ac:dyDescent="0.25">
      <c r="A389" s="11">
        <v>2002</v>
      </c>
      <c r="B389" s="11" t="s">
        <v>247</v>
      </c>
      <c r="C389" s="13">
        <v>1379</v>
      </c>
      <c r="D389" s="13">
        <v>1</v>
      </c>
      <c r="E389" s="13">
        <v>160</v>
      </c>
      <c r="F389" s="13">
        <v>318</v>
      </c>
      <c r="G389" s="13">
        <v>348</v>
      </c>
      <c r="H389" s="13">
        <v>348</v>
      </c>
      <c r="I389" s="13">
        <v>178</v>
      </c>
      <c r="J389" s="13">
        <v>26</v>
      </c>
    </row>
    <row r="390" spans="1:10" x14ac:dyDescent="0.25">
      <c r="A390" s="11">
        <v>2002</v>
      </c>
      <c r="B390" s="11" t="s">
        <v>248</v>
      </c>
      <c r="C390" s="13">
        <v>3664</v>
      </c>
      <c r="D390" s="13">
        <v>0</v>
      </c>
      <c r="E390" s="13">
        <v>319</v>
      </c>
      <c r="F390" s="13">
        <v>733</v>
      </c>
      <c r="G390" s="13">
        <v>970</v>
      </c>
      <c r="H390" s="13">
        <v>1164</v>
      </c>
      <c r="I390" s="13">
        <v>424</v>
      </c>
      <c r="J390" s="13">
        <v>54</v>
      </c>
    </row>
    <row r="391" spans="1:10" x14ac:dyDescent="0.25">
      <c r="A391" s="11">
        <v>2002</v>
      </c>
      <c r="B391" s="11" t="s">
        <v>249</v>
      </c>
      <c r="C391" s="13">
        <v>164</v>
      </c>
      <c r="D391" s="13">
        <v>0</v>
      </c>
      <c r="E391" s="13">
        <v>12</v>
      </c>
      <c r="F391" s="13">
        <v>32</v>
      </c>
      <c r="G391" s="13">
        <v>43</v>
      </c>
      <c r="H391" s="13">
        <v>51</v>
      </c>
      <c r="I391" s="13">
        <v>21</v>
      </c>
      <c r="J391" s="13">
        <v>5</v>
      </c>
    </row>
    <row r="392" spans="1:10" x14ac:dyDescent="0.25">
      <c r="A392" s="11">
        <v>2002</v>
      </c>
      <c r="B392" s="11" t="s">
        <v>250</v>
      </c>
      <c r="C392" s="13">
        <v>1245</v>
      </c>
      <c r="D392" s="13">
        <v>1</v>
      </c>
      <c r="E392" s="13">
        <v>77</v>
      </c>
      <c r="F392" s="13">
        <v>175</v>
      </c>
      <c r="G392" s="13">
        <v>314</v>
      </c>
      <c r="H392" s="13">
        <v>426</v>
      </c>
      <c r="I392" s="13">
        <v>215</v>
      </c>
      <c r="J392" s="13">
        <v>37</v>
      </c>
    </row>
    <row r="393" spans="1:10" x14ac:dyDescent="0.25">
      <c r="A393" s="11">
        <v>2002</v>
      </c>
      <c r="B393" s="11" t="s">
        <v>251</v>
      </c>
      <c r="C393" s="13">
        <v>1797</v>
      </c>
      <c r="D393" s="13">
        <v>0</v>
      </c>
      <c r="E393" s="13">
        <v>156</v>
      </c>
      <c r="F393" s="13">
        <v>301</v>
      </c>
      <c r="G393" s="13">
        <v>408</v>
      </c>
      <c r="H393" s="13">
        <v>613</v>
      </c>
      <c r="I393" s="13">
        <v>271</v>
      </c>
      <c r="J393" s="13">
        <v>48</v>
      </c>
    </row>
    <row r="394" spans="1:10" x14ac:dyDescent="0.25">
      <c r="A394" s="11">
        <v>2002</v>
      </c>
      <c r="B394" s="11" t="s">
        <v>252</v>
      </c>
      <c r="C394" s="13">
        <v>1021</v>
      </c>
      <c r="D394" s="13">
        <v>7</v>
      </c>
      <c r="E394" s="13">
        <v>56</v>
      </c>
      <c r="F394" s="13">
        <v>149</v>
      </c>
      <c r="G394" s="13">
        <v>235</v>
      </c>
      <c r="H394" s="13">
        <v>353</v>
      </c>
      <c r="I394" s="13">
        <v>182</v>
      </c>
      <c r="J394" s="13">
        <v>39</v>
      </c>
    </row>
    <row r="395" spans="1:10" x14ac:dyDescent="0.25">
      <c r="A395" s="11">
        <v>2002</v>
      </c>
      <c r="B395" s="11" t="s">
        <v>253</v>
      </c>
      <c r="C395" s="13">
        <v>209</v>
      </c>
      <c r="D395" s="13">
        <v>0</v>
      </c>
      <c r="E395" s="13">
        <v>11</v>
      </c>
      <c r="F395" s="13">
        <v>40</v>
      </c>
      <c r="G395" s="13">
        <v>59</v>
      </c>
      <c r="H395" s="13">
        <v>56</v>
      </c>
      <c r="I395" s="13">
        <v>33</v>
      </c>
      <c r="J395" s="13">
        <v>10</v>
      </c>
    </row>
    <row r="396" spans="1:10" x14ac:dyDescent="0.25">
      <c r="A396" s="11">
        <v>2002</v>
      </c>
      <c r="B396" s="11" t="s">
        <v>254</v>
      </c>
      <c r="C396" s="13">
        <v>955</v>
      </c>
      <c r="D396" s="13">
        <v>0</v>
      </c>
      <c r="E396" s="13">
        <v>86</v>
      </c>
      <c r="F396" s="13">
        <v>172</v>
      </c>
      <c r="G396" s="13">
        <v>228</v>
      </c>
      <c r="H396" s="13">
        <v>303</v>
      </c>
      <c r="I396" s="13">
        <v>142</v>
      </c>
      <c r="J396" s="13">
        <v>24</v>
      </c>
    </row>
    <row r="397" spans="1:10" x14ac:dyDescent="0.25">
      <c r="A397" s="11">
        <v>2002</v>
      </c>
      <c r="B397" s="11" t="s">
        <v>255</v>
      </c>
      <c r="C397" s="13">
        <v>3076</v>
      </c>
      <c r="D397" s="13">
        <v>6</v>
      </c>
      <c r="E397" s="13">
        <v>224</v>
      </c>
      <c r="F397" s="13">
        <v>553</v>
      </c>
      <c r="G397" s="13">
        <v>780</v>
      </c>
      <c r="H397" s="13">
        <v>1013</v>
      </c>
      <c r="I397" s="13">
        <v>430</v>
      </c>
      <c r="J397" s="13">
        <v>70</v>
      </c>
    </row>
    <row r="398" spans="1:10" x14ac:dyDescent="0.25">
      <c r="A398" s="11">
        <v>2002</v>
      </c>
      <c r="B398" s="11" t="s">
        <v>256</v>
      </c>
      <c r="C398" s="13">
        <v>833</v>
      </c>
      <c r="D398" s="13">
        <v>1</v>
      </c>
      <c r="E398" s="13">
        <v>58</v>
      </c>
      <c r="F398" s="13">
        <v>119</v>
      </c>
      <c r="G398" s="13">
        <v>185</v>
      </c>
      <c r="H398" s="13">
        <v>281</v>
      </c>
      <c r="I398" s="13">
        <v>164</v>
      </c>
      <c r="J398" s="13">
        <v>25</v>
      </c>
    </row>
    <row r="399" spans="1:10" x14ac:dyDescent="0.25">
      <c r="A399" s="11">
        <v>2002</v>
      </c>
      <c r="B399" s="11" t="s">
        <v>257</v>
      </c>
      <c r="C399" s="13">
        <v>939</v>
      </c>
      <c r="D399" s="13">
        <v>0</v>
      </c>
      <c r="E399" s="13">
        <v>116</v>
      </c>
      <c r="F399" s="13">
        <v>208</v>
      </c>
      <c r="G399" s="13">
        <v>216</v>
      </c>
      <c r="H399" s="13">
        <v>256</v>
      </c>
      <c r="I399" s="13">
        <v>118</v>
      </c>
      <c r="J399" s="13">
        <v>25</v>
      </c>
    </row>
    <row r="400" spans="1:10" x14ac:dyDescent="0.25">
      <c r="A400" s="11">
        <v>2002</v>
      </c>
      <c r="B400" s="11" t="s">
        <v>258</v>
      </c>
      <c r="C400" s="13">
        <v>1960</v>
      </c>
      <c r="D400" s="13">
        <v>6</v>
      </c>
      <c r="E400" s="13">
        <v>168</v>
      </c>
      <c r="F400" s="13">
        <v>366</v>
      </c>
      <c r="G400" s="13">
        <v>499</v>
      </c>
      <c r="H400" s="13">
        <v>629</v>
      </c>
      <c r="I400" s="13">
        <v>259</v>
      </c>
      <c r="J400" s="13">
        <v>33</v>
      </c>
    </row>
    <row r="401" spans="1:10" x14ac:dyDescent="0.25">
      <c r="A401" s="11">
        <v>2003</v>
      </c>
      <c r="B401" s="11" t="s">
        <v>11</v>
      </c>
      <c r="C401" s="13">
        <v>52432</v>
      </c>
      <c r="D401" s="13">
        <v>60</v>
      </c>
      <c r="E401" s="13">
        <v>4155</v>
      </c>
      <c r="F401" s="13">
        <v>9626</v>
      </c>
      <c r="G401" s="13">
        <v>12725</v>
      </c>
      <c r="H401" s="13">
        <v>16085</v>
      </c>
      <c r="I401" s="13">
        <v>8310</v>
      </c>
      <c r="J401" s="13">
        <v>1471</v>
      </c>
    </row>
    <row r="402" spans="1:10" x14ac:dyDescent="0.25">
      <c r="A402" s="11">
        <v>2003</v>
      </c>
      <c r="B402" s="11" t="s">
        <v>227</v>
      </c>
      <c r="C402" s="13">
        <v>2003</v>
      </c>
      <c r="D402" s="13">
        <v>0</v>
      </c>
      <c r="E402" s="13">
        <v>175</v>
      </c>
      <c r="F402" s="13">
        <v>364</v>
      </c>
      <c r="G402" s="13">
        <v>491</v>
      </c>
      <c r="H402" s="13">
        <v>646</v>
      </c>
      <c r="I402" s="13">
        <v>281</v>
      </c>
      <c r="J402" s="13">
        <v>46</v>
      </c>
    </row>
    <row r="403" spans="1:10" x14ac:dyDescent="0.25">
      <c r="A403" s="11">
        <v>2003</v>
      </c>
      <c r="B403" s="11" t="s">
        <v>228</v>
      </c>
      <c r="C403" s="13">
        <v>2368</v>
      </c>
      <c r="D403" s="13">
        <v>2</v>
      </c>
      <c r="E403" s="13">
        <v>110</v>
      </c>
      <c r="F403" s="13">
        <v>345</v>
      </c>
      <c r="G403" s="13">
        <v>657</v>
      </c>
      <c r="H403" s="13">
        <v>840</v>
      </c>
      <c r="I403" s="13">
        <v>348</v>
      </c>
      <c r="J403" s="13">
        <v>66</v>
      </c>
    </row>
    <row r="404" spans="1:10" x14ac:dyDescent="0.25">
      <c r="A404" s="11">
        <v>2003</v>
      </c>
      <c r="B404" s="11" t="s">
        <v>229</v>
      </c>
      <c r="C404" s="13">
        <v>1089</v>
      </c>
      <c r="D404" s="13">
        <v>0</v>
      </c>
      <c r="E404" s="13">
        <v>84</v>
      </c>
      <c r="F404" s="13">
        <v>207</v>
      </c>
      <c r="G404" s="13">
        <v>278</v>
      </c>
      <c r="H404" s="13">
        <v>348</v>
      </c>
      <c r="I404" s="13">
        <v>139</v>
      </c>
      <c r="J404" s="13">
        <v>33</v>
      </c>
    </row>
    <row r="405" spans="1:10" x14ac:dyDescent="0.25">
      <c r="A405" s="11">
        <v>2003</v>
      </c>
      <c r="B405" s="11" t="s">
        <v>230</v>
      </c>
      <c r="C405" s="13">
        <v>732</v>
      </c>
      <c r="D405" s="13">
        <v>0</v>
      </c>
      <c r="E405" s="13">
        <v>47</v>
      </c>
      <c r="F405" s="13">
        <v>115</v>
      </c>
      <c r="G405" s="13">
        <v>190</v>
      </c>
      <c r="H405" s="13">
        <v>230</v>
      </c>
      <c r="I405" s="13">
        <v>127</v>
      </c>
      <c r="J405" s="13">
        <v>23</v>
      </c>
    </row>
    <row r="406" spans="1:10" x14ac:dyDescent="0.25">
      <c r="A406" s="11">
        <v>2003</v>
      </c>
      <c r="B406" s="11" t="s">
        <v>231</v>
      </c>
      <c r="C406" s="13">
        <v>4577</v>
      </c>
      <c r="D406" s="13">
        <v>2</v>
      </c>
      <c r="E406" s="13">
        <v>280</v>
      </c>
      <c r="F406" s="13">
        <v>655</v>
      </c>
      <c r="G406" s="13">
        <v>916</v>
      </c>
      <c r="H406" s="13">
        <v>1591</v>
      </c>
      <c r="I406" s="13">
        <v>947</v>
      </c>
      <c r="J406" s="13">
        <v>186</v>
      </c>
    </row>
    <row r="407" spans="1:10" x14ac:dyDescent="0.25">
      <c r="A407" s="11">
        <v>2003</v>
      </c>
      <c r="B407" s="11" t="s">
        <v>232</v>
      </c>
      <c r="C407" s="13">
        <v>468</v>
      </c>
      <c r="D407" s="13">
        <v>0</v>
      </c>
      <c r="E407" s="13">
        <v>54</v>
      </c>
      <c r="F407" s="13">
        <v>105</v>
      </c>
      <c r="G407" s="13">
        <v>110</v>
      </c>
      <c r="H407" s="13">
        <v>127</v>
      </c>
      <c r="I407" s="13">
        <v>68</v>
      </c>
      <c r="J407" s="13">
        <v>4</v>
      </c>
    </row>
    <row r="408" spans="1:10" x14ac:dyDescent="0.25">
      <c r="A408" s="11">
        <v>2003</v>
      </c>
      <c r="B408" s="11" t="s">
        <v>233</v>
      </c>
      <c r="C408" s="13">
        <v>1307</v>
      </c>
      <c r="D408" s="13">
        <v>7</v>
      </c>
      <c r="E408" s="13">
        <v>112</v>
      </c>
      <c r="F408" s="13">
        <v>284</v>
      </c>
      <c r="G408" s="13">
        <v>323</v>
      </c>
      <c r="H408" s="13">
        <v>370</v>
      </c>
      <c r="I408" s="13">
        <v>185</v>
      </c>
      <c r="J408" s="13">
        <v>26</v>
      </c>
    </row>
    <row r="409" spans="1:10" x14ac:dyDescent="0.25">
      <c r="A409" s="11">
        <v>2003</v>
      </c>
      <c r="B409" s="11" t="s">
        <v>234</v>
      </c>
      <c r="C409" s="13">
        <v>1548</v>
      </c>
      <c r="D409" s="13">
        <v>1</v>
      </c>
      <c r="E409" s="13">
        <v>190</v>
      </c>
      <c r="F409" s="13">
        <v>379</v>
      </c>
      <c r="G409" s="13">
        <v>422</v>
      </c>
      <c r="H409" s="13">
        <v>355</v>
      </c>
      <c r="I409" s="13">
        <v>174</v>
      </c>
      <c r="J409" s="13">
        <v>27</v>
      </c>
    </row>
    <row r="410" spans="1:10" x14ac:dyDescent="0.25">
      <c r="A410" s="11">
        <v>2003</v>
      </c>
      <c r="B410" s="11" t="s">
        <v>235</v>
      </c>
      <c r="C410" s="13">
        <v>1236</v>
      </c>
      <c r="D410" s="13">
        <v>0</v>
      </c>
      <c r="E410" s="13">
        <v>125</v>
      </c>
      <c r="F410" s="13">
        <v>260</v>
      </c>
      <c r="G410" s="13">
        <v>310</v>
      </c>
      <c r="H410" s="13">
        <v>349</v>
      </c>
      <c r="I410" s="13">
        <v>168</v>
      </c>
      <c r="J410" s="13">
        <v>24</v>
      </c>
    </row>
    <row r="411" spans="1:10" x14ac:dyDescent="0.25">
      <c r="A411" s="11">
        <v>2003</v>
      </c>
      <c r="B411" s="11" t="s">
        <v>236</v>
      </c>
      <c r="C411" s="13">
        <v>948</v>
      </c>
      <c r="D411" s="13">
        <v>0</v>
      </c>
      <c r="E411" s="13">
        <v>42</v>
      </c>
      <c r="F411" s="13">
        <v>85</v>
      </c>
      <c r="G411" s="13">
        <v>192</v>
      </c>
      <c r="H411" s="13">
        <v>359</v>
      </c>
      <c r="I411" s="13">
        <v>228</v>
      </c>
      <c r="J411" s="13">
        <v>42</v>
      </c>
    </row>
    <row r="412" spans="1:10" x14ac:dyDescent="0.25">
      <c r="A412" s="11">
        <v>2003</v>
      </c>
      <c r="B412" s="11" t="s">
        <v>237</v>
      </c>
      <c r="C412" s="13">
        <v>953</v>
      </c>
      <c r="D412" s="13">
        <v>0</v>
      </c>
      <c r="E412" s="13">
        <v>51</v>
      </c>
      <c r="F412" s="13">
        <v>121</v>
      </c>
      <c r="G412" s="13">
        <v>234</v>
      </c>
      <c r="H412" s="13">
        <v>325</v>
      </c>
      <c r="I412" s="13">
        <v>184</v>
      </c>
      <c r="J412" s="13">
        <v>38</v>
      </c>
    </row>
    <row r="413" spans="1:10" x14ac:dyDescent="0.25">
      <c r="A413" s="11">
        <v>2003</v>
      </c>
      <c r="B413" s="11" t="s">
        <v>238</v>
      </c>
      <c r="C413" s="13">
        <v>883</v>
      </c>
      <c r="D413" s="13">
        <v>1</v>
      </c>
      <c r="E413" s="13">
        <v>30</v>
      </c>
      <c r="F413" s="13">
        <v>83</v>
      </c>
      <c r="G413" s="13">
        <v>159</v>
      </c>
      <c r="H413" s="13">
        <v>353</v>
      </c>
      <c r="I413" s="13">
        <v>218</v>
      </c>
      <c r="J413" s="13">
        <v>39</v>
      </c>
    </row>
    <row r="414" spans="1:10" x14ac:dyDescent="0.25">
      <c r="A414" s="11">
        <v>2003</v>
      </c>
      <c r="B414" s="11" t="s">
        <v>239</v>
      </c>
      <c r="C414" s="13">
        <v>1595</v>
      </c>
      <c r="D414" s="13">
        <v>0</v>
      </c>
      <c r="E414" s="13">
        <v>118</v>
      </c>
      <c r="F414" s="13">
        <v>290</v>
      </c>
      <c r="G414" s="13">
        <v>440</v>
      </c>
      <c r="H414" s="13">
        <v>479</v>
      </c>
      <c r="I414" s="13">
        <v>237</v>
      </c>
      <c r="J414" s="13">
        <v>31</v>
      </c>
    </row>
    <row r="415" spans="1:10" x14ac:dyDescent="0.25">
      <c r="A415" s="11">
        <v>2003</v>
      </c>
      <c r="B415" s="11" t="s">
        <v>240</v>
      </c>
      <c r="C415" s="13">
        <v>3642</v>
      </c>
      <c r="D415" s="13">
        <v>8</v>
      </c>
      <c r="E415" s="13">
        <v>318</v>
      </c>
      <c r="F415" s="13">
        <v>774</v>
      </c>
      <c r="G415" s="13">
        <v>921</v>
      </c>
      <c r="H415" s="13">
        <v>1057</v>
      </c>
      <c r="I415" s="13">
        <v>490</v>
      </c>
      <c r="J415" s="13">
        <v>74</v>
      </c>
    </row>
    <row r="416" spans="1:10" x14ac:dyDescent="0.25">
      <c r="A416" s="11">
        <v>2003</v>
      </c>
      <c r="B416" s="11" t="s">
        <v>241</v>
      </c>
      <c r="C416" s="13">
        <v>6573</v>
      </c>
      <c r="D416" s="13">
        <v>6</v>
      </c>
      <c r="E416" s="13">
        <v>610</v>
      </c>
      <c r="F416" s="13">
        <v>1414</v>
      </c>
      <c r="G416" s="13">
        <v>1603</v>
      </c>
      <c r="H416" s="13">
        <v>1720</v>
      </c>
      <c r="I416" s="13">
        <v>1037</v>
      </c>
      <c r="J416" s="13">
        <v>183</v>
      </c>
    </row>
    <row r="417" spans="1:10" x14ac:dyDescent="0.25">
      <c r="A417" s="11">
        <v>2003</v>
      </c>
      <c r="B417" s="11" t="s">
        <v>242</v>
      </c>
      <c r="C417" s="13">
        <v>2085</v>
      </c>
      <c r="D417" s="13">
        <v>1</v>
      </c>
      <c r="E417" s="13">
        <v>155</v>
      </c>
      <c r="F417" s="13">
        <v>404</v>
      </c>
      <c r="G417" s="13">
        <v>501</v>
      </c>
      <c r="H417" s="13">
        <v>589</v>
      </c>
      <c r="I417" s="13">
        <v>363</v>
      </c>
      <c r="J417" s="13">
        <v>72</v>
      </c>
    </row>
    <row r="418" spans="1:10" x14ac:dyDescent="0.25">
      <c r="A418" s="11">
        <v>2003</v>
      </c>
      <c r="B418" s="11" t="s">
        <v>243</v>
      </c>
      <c r="C418" s="13">
        <v>830</v>
      </c>
      <c r="D418" s="13">
        <v>0</v>
      </c>
      <c r="E418" s="13">
        <v>105</v>
      </c>
      <c r="F418" s="13">
        <v>197</v>
      </c>
      <c r="G418" s="13">
        <v>170</v>
      </c>
      <c r="H418" s="13">
        <v>219</v>
      </c>
      <c r="I418" s="13">
        <v>120</v>
      </c>
      <c r="J418" s="13">
        <v>19</v>
      </c>
    </row>
    <row r="419" spans="1:10" x14ac:dyDescent="0.25">
      <c r="A419" s="11">
        <v>2003</v>
      </c>
      <c r="B419" s="11" t="s">
        <v>244</v>
      </c>
      <c r="C419" s="13">
        <v>847</v>
      </c>
      <c r="D419" s="13">
        <v>0</v>
      </c>
      <c r="E419" s="13">
        <v>72</v>
      </c>
      <c r="F419" s="13">
        <v>159</v>
      </c>
      <c r="G419" s="13">
        <v>210</v>
      </c>
      <c r="H419" s="13">
        <v>260</v>
      </c>
      <c r="I419" s="13">
        <v>116</v>
      </c>
      <c r="J419" s="13">
        <v>30</v>
      </c>
    </row>
    <row r="420" spans="1:10" x14ac:dyDescent="0.25">
      <c r="A420" s="11">
        <v>2003</v>
      </c>
      <c r="B420" s="11" t="s">
        <v>245</v>
      </c>
      <c r="C420" s="13">
        <v>824</v>
      </c>
      <c r="D420" s="13">
        <v>0</v>
      </c>
      <c r="E420" s="13">
        <v>67</v>
      </c>
      <c r="F420" s="13">
        <v>149</v>
      </c>
      <c r="G420" s="13">
        <v>238</v>
      </c>
      <c r="H420" s="13">
        <v>235</v>
      </c>
      <c r="I420" s="13">
        <v>103</v>
      </c>
      <c r="J420" s="13">
        <v>32</v>
      </c>
    </row>
    <row r="421" spans="1:10" x14ac:dyDescent="0.25">
      <c r="A421" s="11">
        <v>2003</v>
      </c>
      <c r="B421" s="11" t="s">
        <v>246</v>
      </c>
      <c r="C421" s="13">
        <v>255</v>
      </c>
      <c r="D421" s="13">
        <v>0</v>
      </c>
      <c r="E421" s="13">
        <v>9</v>
      </c>
      <c r="F421" s="13">
        <v>33</v>
      </c>
      <c r="G421" s="13">
        <v>59</v>
      </c>
      <c r="H421" s="13">
        <v>73</v>
      </c>
      <c r="I421" s="13">
        <v>69</v>
      </c>
      <c r="J421" s="13">
        <v>12</v>
      </c>
    </row>
    <row r="422" spans="1:10" x14ac:dyDescent="0.25">
      <c r="A422" s="11">
        <v>2003</v>
      </c>
      <c r="B422" s="11" t="s">
        <v>247</v>
      </c>
      <c r="C422" s="13">
        <v>1382</v>
      </c>
      <c r="D422" s="13">
        <v>1</v>
      </c>
      <c r="E422" s="13">
        <v>122</v>
      </c>
      <c r="F422" s="13">
        <v>340</v>
      </c>
      <c r="G422" s="13">
        <v>369</v>
      </c>
      <c r="H422" s="13">
        <v>355</v>
      </c>
      <c r="I422" s="13">
        <v>170</v>
      </c>
      <c r="J422" s="13">
        <v>25</v>
      </c>
    </row>
    <row r="423" spans="1:10" x14ac:dyDescent="0.25">
      <c r="A423" s="11">
        <v>2003</v>
      </c>
      <c r="B423" s="11" t="s">
        <v>248</v>
      </c>
      <c r="C423" s="13">
        <v>3771</v>
      </c>
      <c r="D423" s="13">
        <v>4</v>
      </c>
      <c r="E423" s="13">
        <v>342</v>
      </c>
      <c r="F423" s="13">
        <v>760</v>
      </c>
      <c r="G423" s="13">
        <v>944</v>
      </c>
      <c r="H423" s="13">
        <v>1153</v>
      </c>
      <c r="I423" s="13">
        <v>479</v>
      </c>
      <c r="J423" s="13">
        <v>89</v>
      </c>
    </row>
    <row r="424" spans="1:10" x14ac:dyDescent="0.25">
      <c r="A424" s="11">
        <v>2003</v>
      </c>
      <c r="B424" s="11" t="s">
        <v>249</v>
      </c>
      <c r="C424" s="13">
        <v>171</v>
      </c>
      <c r="D424" s="13">
        <v>0</v>
      </c>
      <c r="E424" s="13">
        <v>12</v>
      </c>
      <c r="F424" s="13">
        <v>26</v>
      </c>
      <c r="G424" s="13">
        <v>50</v>
      </c>
      <c r="H424" s="13">
        <v>50</v>
      </c>
      <c r="I424" s="13">
        <v>27</v>
      </c>
      <c r="J424" s="13">
        <v>6</v>
      </c>
    </row>
    <row r="425" spans="1:10" x14ac:dyDescent="0.25">
      <c r="A425" s="11">
        <v>2003</v>
      </c>
      <c r="B425" s="11" t="s">
        <v>250</v>
      </c>
      <c r="C425" s="13">
        <v>1292</v>
      </c>
      <c r="D425" s="13">
        <v>5</v>
      </c>
      <c r="E425" s="13">
        <v>71</v>
      </c>
      <c r="F425" s="13">
        <v>225</v>
      </c>
      <c r="G425" s="13">
        <v>283</v>
      </c>
      <c r="H425" s="13">
        <v>429</v>
      </c>
      <c r="I425" s="13">
        <v>233</v>
      </c>
      <c r="J425" s="13">
        <v>46</v>
      </c>
    </row>
    <row r="426" spans="1:10" x14ac:dyDescent="0.25">
      <c r="A426" s="11">
        <v>2003</v>
      </c>
      <c r="B426" s="11" t="s">
        <v>251</v>
      </c>
      <c r="C426" s="13">
        <v>1785</v>
      </c>
      <c r="D426" s="13">
        <v>0</v>
      </c>
      <c r="E426" s="13">
        <v>148</v>
      </c>
      <c r="F426" s="13">
        <v>301</v>
      </c>
      <c r="G426" s="13">
        <v>396</v>
      </c>
      <c r="H426" s="13">
        <v>588</v>
      </c>
      <c r="I426" s="13">
        <v>311</v>
      </c>
      <c r="J426" s="13">
        <v>41</v>
      </c>
    </row>
    <row r="427" spans="1:10" x14ac:dyDescent="0.25">
      <c r="A427" s="11">
        <v>2003</v>
      </c>
      <c r="B427" s="11" t="s">
        <v>252</v>
      </c>
      <c r="C427" s="13">
        <v>1048</v>
      </c>
      <c r="D427" s="13">
        <v>3</v>
      </c>
      <c r="E427" s="13">
        <v>71</v>
      </c>
      <c r="F427" s="13">
        <v>157</v>
      </c>
      <c r="G427" s="13">
        <v>228</v>
      </c>
      <c r="H427" s="13">
        <v>323</v>
      </c>
      <c r="I427" s="13">
        <v>227</v>
      </c>
      <c r="J427" s="13">
        <v>39</v>
      </c>
    </row>
    <row r="428" spans="1:10" x14ac:dyDescent="0.25">
      <c r="A428" s="11">
        <v>2003</v>
      </c>
      <c r="B428" s="11" t="s">
        <v>253</v>
      </c>
      <c r="C428" s="13">
        <v>251</v>
      </c>
      <c r="D428" s="13">
        <v>1</v>
      </c>
      <c r="E428" s="13">
        <v>10</v>
      </c>
      <c r="F428" s="13">
        <v>40</v>
      </c>
      <c r="G428" s="13">
        <v>67</v>
      </c>
      <c r="H428" s="13">
        <v>76</v>
      </c>
      <c r="I428" s="13">
        <v>45</v>
      </c>
      <c r="J428" s="13">
        <v>12</v>
      </c>
    </row>
    <row r="429" spans="1:10" x14ac:dyDescent="0.25">
      <c r="A429" s="11">
        <v>2003</v>
      </c>
      <c r="B429" s="11" t="s">
        <v>254</v>
      </c>
      <c r="C429" s="13">
        <v>984</v>
      </c>
      <c r="D429" s="13">
        <v>3</v>
      </c>
      <c r="E429" s="13">
        <v>87</v>
      </c>
      <c r="F429" s="13">
        <v>156</v>
      </c>
      <c r="G429" s="13">
        <v>264</v>
      </c>
      <c r="H429" s="13">
        <v>294</v>
      </c>
      <c r="I429" s="13">
        <v>159</v>
      </c>
      <c r="J429" s="13">
        <v>21</v>
      </c>
    </row>
    <row r="430" spans="1:10" x14ac:dyDescent="0.25">
      <c r="A430" s="11">
        <v>2003</v>
      </c>
      <c r="B430" s="11" t="s">
        <v>255</v>
      </c>
      <c r="C430" s="13">
        <v>3092</v>
      </c>
      <c r="D430" s="13">
        <v>13</v>
      </c>
      <c r="E430" s="13">
        <v>224</v>
      </c>
      <c r="F430" s="13">
        <v>494</v>
      </c>
      <c r="G430" s="13">
        <v>743</v>
      </c>
      <c r="H430" s="13">
        <v>1047</v>
      </c>
      <c r="I430" s="13">
        <v>490</v>
      </c>
      <c r="J430" s="13">
        <v>81</v>
      </c>
    </row>
    <row r="431" spans="1:10" x14ac:dyDescent="0.25">
      <c r="A431" s="11">
        <v>2003</v>
      </c>
      <c r="B431" s="11" t="s">
        <v>256</v>
      </c>
      <c r="C431" s="13">
        <v>866</v>
      </c>
      <c r="D431" s="13">
        <v>0</v>
      </c>
      <c r="E431" s="13">
        <v>42</v>
      </c>
      <c r="F431" s="13">
        <v>129</v>
      </c>
      <c r="G431" s="13">
        <v>186</v>
      </c>
      <c r="H431" s="13">
        <v>322</v>
      </c>
      <c r="I431" s="13">
        <v>159</v>
      </c>
      <c r="J431" s="13">
        <v>28</v>
      </c>
    </row>
    <row r="432" spans="1:10" x14ac:dyDescent="0.25">
      <c r="A432" s="11">
        <v>2003</v>
      </c>
      <c r="B432" s="11" t="s">
        <v>257</v>
      </c>
      <c r="C432" s="13">
        <v>984</v>
      </c>
      <c r="D432" s="13">
        <v>2</v>
      </c>
      <c r="E432" s="13">
        <v>96</v>
      </c>
      <c r="F432" s="13">
        <v>203</v>
      </c>
      <c r="G432" s="13">
        <v>237</v>
      </c>
      <c r="H432" s="13">
        <v>270</v>
      </c>
      <c r="I432" s="13">
        <v>152</v>
      </c>
      <c r="J432" s="13">
        <v>24</v>
      </c>
    </row>
    <row r="433" spans="1:10" x14ac:dyDescent="0.25">
      <c r="A433" s="11">
        <v>2003</v>
      </c>
      <c r="B433" s="11" t="s">
        <v>258</v>
      </c>
      <c r="C433" s="13">
        <v>2043</v>
      </c>
      <c r="D433" s="13">
        <v>0</v>
      </c>
      <c r="E433" s="13">
        <v>176</v>
      </c>
      <c r="F433" s="13">
        <v>372</v>
      </c>
      <c r="G433" s="13">
        <v>534</v>
      </c>
      <c r="H433" s="13">
        <v>653</v>
      </c>
      <c r="I433" s="13">
        <v>256</v>
      </c>
      <c r="J433" s="13">
        <v>52</v>
      </c>
    </row>
    <row r="434" spans="1:10" x14ac:dyDescent="0.25">
      <c r="A434" s="11">
        <v>2004</v>
      </c>
      <c r="B434" s="11" t="s">
        <v>11</v>
      </c>
      <c r="C434" s="13">
        <v>53957</v>
      </c>
      <c r="D434" s="13">
        <v>26</v>
      </c>
      <c r="E434" s="13">
        <v>4172</v>
      </c>
      <c r="F434" s="13">
        <v>9950</v>
      </c>
      <c r="G434" s="13">
        <v>13131</v>
      </c>
      <c r="H434" s="13">
        <v>16085</v>
      </c>
      <c r="I434" s="13">
        <v>8912</v>
      </c>
      <c r="J434" s="13">
        <v>1681</v>
      </c>
    </row>
    <row r="435" spans="1:10" x14ac:dyDescent="0.25">
      <c r="A435" s="11">
        <v>2004</v>
      </c>
      <c r="B435" s="11" t="s">
        <v>227</v>
      </c>
      <c r="C435" s="13">
        <v>2075</v>
      </c>
      <c r="D435" s="13">
        <v>1</v>
      </c>
      <c r="E435" s="13">
        <v>133</v>
      </c>
      <c r="F435" s="13">
        <v>402</v>
      </c>
      <c r="G435" s="13">
        <v>480</v>
      </c>
      <c r="H435" s="13">
        <v>671</v>
      </c>
      <c r="I435" s="13">
        <v>330</v>
      </c>
      <c r="J435" s="13">
        <v>58</v>
      </c>
    </row>
    <row r="436" spans="1:10" x14ac:dyDescent="0.25">
      <c r="A436" s="11">
        <v>2004</v>
      </c>
      <c r="B436" s="11" t="s">
        <v>228</v>
      </c>
      <c r="C436" s="13">
        <v>2388</v>
      </c>
      <c r="D436" s="13">
        <v>1</v>
      </c>
      <c r="E436" s="13">
        <v>101</v>
      </c>
      <c r="F436" s="13">
        <v>307</v>
      </c>
      <c r="G436" s="13">
        <v>679</v>
      </c>
      <c r="H436" s="13">
        <v>821</v>
      </c>
      <c r="I436" s="13">
        <v>409</v>
      </c>
      <c r="J436" s="13">
        <v>70</v>
      </c>
    </row>
    <row r="437" spans="1:10" x14ac:dyDescent="0.25">
      <c r="A437" s="11">
        <v>2004</v>
      </c>
      <c r="B437" s="11" t="s">
        <v>229</v>
      </c>
      <c r="C437" s="13">
        <v>1071</v>
      </c>
      <c r="D437" s="13">
        <v>0</v>
      </c>
      <c r="E437" s="13">
        <v>102</v>
      </c>
      <c r="F437" s="13">
        <v>192</v>
      </c>
      <c r="G437" s="13">
        <v>281</v>
      </c>
      <c r="H437" s="13">
        <v>326</v>
      </c>
      <c r="I437" s="13">
        <v>146</v>
      </c>
      <c r="J437" s="13">
        <v>24</v>
      </c>
    </row>
    <row r="438" spans="1:10" x14ac:dyDescent="0.25">
      <c r="A438" s="11">
        <v>2004</v>
      </c>
      <c r="B438" s="11" t="s">
        <v>230</v>
      </c>
      <c r="C438" s="13">
        <v>807</v>
      </c>
      <c r="D438" s="13">
        <v>2</v>
      </c>
      <c r="E438" s="13">
        <v>50</v>
      </c>
      <c r="F438" s="13">
        <v>143</v>
      </c>
      <c r="G438" s="13">
        <v>198</v>
      </c>
      <c r="H438" s="13">
        <v>239</v>
      </c>
      <c r="I438" s="13">
        <v>155</v>
      </c>
      <c r="J438" s="13">
        <v>20</v>
      </c>
    </row>
    <row r="439" spans="1:10" x14ac:dyDescent="0.25">
      <c r="A439" s="11">
        <v>2004</v>
      </c>
      <c r="B439" s="11" t="s">
        <v>231</v>
      </c>
      <c r="C439" s="13">
        <v>4568</v>
      </c>
      <c r="D439" s="13">
        <v>0</v>
      </c>
      <c r="E439" s="13">
        <v>282</v>
      </c>
      <c r="F439" s="13">
        <v>679</v>
      </c>
      <c r="G439" s="13">
        <v>910</v>
      </c>
      <c r="H439" s="13">
        <v>1525</v>
      </c>
      <c r="I439" s="13">
        <v>955</v>
      </c>
      <c r="J439" s="13">
        <v>217</v>
      </c>
    </row>
    <row r="440" spans="1:10" x14ac:dyDescent="0.25">
      <c r="A440" s="11">
        <v>2004</v>
      </c>
      <c r="B440" s="11" t="s">
        <v>232</v>
      </c>
      <c r="C440" s="13">
        <v>501</v>
      </c>
      <c r="D440" s="13">
        <v>0</v>
      </c>
      <c r="E440" s="13">
        <v>45</v>
      </c>
      <c r="F440" s="13">
        <v>97</v>
      </c>
      <c r="G440" s="13">
        <v>128</v>
      </c>
      <c r="H440" s="13">
        <v>143</v>
      </c>
      <c r="I440" s="13">
        <v>71</v>
      </c>
      <c r="J440" s="13">
        <v>17</v>
      </c>
    </row>
    <row r="441" spans="1:10" x14ac:dyDescent="0.25">
      <c r="A441" s="11">
        <v>2004</v>
      </c>
      <c r="B441" s="11" t="s">
        <v>233</v>
      </c>
      <c r="C441" s="13">
        <v>1431</v>
      </c>
      <c r="D441" s="13">
        <v>0</v>
      </c>
      <c r="E441" s="13">
        <v>124</v>
      </c>
      <c r="F441" s="13">
        <v>299</v>
      </c>
      <c r="G441" s="13">
        <v>376</v>
      </c>
      <c r="H441" s="13">
        <v>375</v>
      </c>
      <c r="I441" s="13">
        <v>219</v>
      </c>
      <c r="J441" s="13">
        <v>38</v>
      </c>
    </row>
    <row r="442" spans="1:10" x14ac:dyDescent="0.25">
      <c r="A442" s="11">
        <v>2004</v>
      </c>
      <c r="B442" s="11" t="s">
        <v>234</v>
      </c>
      <c r="C442" s="13">
        <v>1539</v>
      </c>
      <c r="D442" s="13">
        <v>0</v>
      </c>
      <c r="E442" s="13">
        <v>204</v>
      </c>
      <c r="F442" s="13">
        <v>392</v>
      </c>
      <c r="G442" s="13">
        <v>389</v>
      </c>
      <c r="H442" s="13">
        <v>352</v>
      </c>
      <c r="I442" s="13">
        <v>162</v>
      </c>
      <c r="J442" s="13">
        <v>40</v>
      </c>
    </row>
    <row r="443" spans="1:10" x14ac:dyDescent="0.25">
      <c r="A443" s="11">
        <v>2004</v>
      </c>
      <c r="B443" s="11" t="s">
        <v>235</v>
      </c>
      <c r="C443" s="13">
        <v>1271</v>
      </c>
      <c r="D443" s="13">
        <v>0</v>
      </c>
      <c r="E443" s="13">
        <v>139</v>
      </c>
      <c r="F443" s="13">
        <v>275</v>
      </c>
      <c r="G443" s="13">
        <v>311</v>
      </c>
      <c r="H443" s="13">
        <v>346</v>
      </c>
      <c r="I443" s="13">
        <v>172</v>
      </c>
      <c r="J443" s="13">
        <v>28</v>
      </c>
    </row>
    <row r="444" spans="1:10" x14ac:dyDescent="0.25">
      <c r="A444" s="11">
        <v>2004</v>
      </c>
      <c r="B444" s="11" t="s">
        <v>236</v>
      </c>
      <c r="C444" s="13">
        <v>889</v>
      </c>
      <c r="D444" s="13">
        <v>0</v>
      </c>
      <c r="E444" s="13">
        <v>40</v>
      </c>
      <c r="F444" s="13">
        <v>92</v>
      </c>
      <c r="G444" s="13">
        <v>178</v>
      </c>
      <c r="H444" s="13">
        <v>309</v>
      </c>
      <c r="I444" s="13">
        <v>230</v>
      </c>
      <c r="J444" s="13">
        <v>40</v>
      </c>
    </row>
    <row r="445" spans="1:10" x14ac:dyDescent="0.25">
      <c r="A445" s="11">
        <v>2004</v>
      </c>
      <c r="B445" s="11" t="s">
        <v>237</v>
      </c>
      <c r="C445" s="13">
        <v>950</v>
      </c>
      <c r="D445" s="13">
        <v>0</v>
      </c>
      <c r="E445" s="13">
        <v>53</v>
      </c>
      <c r="F445" s="13">
        <v>143</v>
      </c>
      <c r="G445" s="13">
        <v>199</v>
      </c>
      <c r="H445" s="13">
        <v>326</v>
      </c>
      <c r="I445" s="13">
        <v>196</v>
      </c>
      <c r="J445" s="13">
        <v>33</v>
      </c>
    </row>
    <row r="446" spans="1:10" x14ac:dyDescent="0.25">
      <c r="A446" s="11">
        <v>2004</v>
      </c>
      <c r="B446" s="11" t="s">
        <v>238</v>
      </c>
      <c r="C446" s="13">
        <v>941</v>
      </c>
      <c r="D446" s="13">
        <v>0</v>
      </c>
      <c r="E446" s="13">
        <v>25</v>
      </c>
      <c r="F446" s="13">
        <v>74</v>
      </c>
      <c r="G446" s="13">
        <v>199</v>
      </c>
      <c r="H446" s="13">
        <v>347</v>
      </c>
      <c r="I446" s="13">
        <v>248</v>
      </c>
      <c r="J446" s="13">
        <v>48</v>
      </c>
    </row>
    <row r="447" spans="1:10" x14ac:dyDescent="0.25">
      <c r="A447" s="11">
        <v>2004</v>
      </c>
      <c r="B447" s="11" t="s">
        <v>239</v>
      </c>
      <c r="C447" s="13">
        <v>1735</v>
      </c>
      <c r="D447" s="13">
        <v>0</v>
      </c>
      <c r="E447" s="13">
        <v>139</v>
      </c>
      <c r="F447" s="13">
        <v>319</v>
      </c>
      <c r="G447" s="13">
        <v>457</v>
      </c>
      <c r="H447" s="13">
        <v>543</v>
      </c>
      <c r="I447" s="13">
        <v>245</v>
      </c>
      <c r="J447" s="13">
        <v>32</v>
      </c>
    </row>
    <row r="448" spans="1:10" x14ac:dyDescent="0.25">
      <c r="A448" s="11">
        <v>2004</v>
      </c>
      <c r="B448" s="11" t="s">
        <v>240</v>
      </c>
      <c r="C448" s="13">
        <v>3735</v>
      </c>
      <c r="D448" s="13">
        <v>1</v>
      </c>
      <c r="E448" s="13">
        <v>336</v>
      </c>
      <c r="F448" s="13">
        <v>790</v>
      </c>
      <c r="G448" s="13">
        <v>974</v>
      </c>
      <c r="H448" s="13">
        <v>1024</v>
      </c>
      <c r="I448" s="13">
        <v>530</v>
      </c>
      <c r="J448" s="13">
        <v>80</v>
      </c>
    </row>
    <row r="449" spans="1:10" x14ac:dyDescent="0.25">
      <c r="A449" s="11">
        <v>2004</v>
      </c>
      <c r="B449" s="11" t="s">
        <v>241</v>
      </c>
      <c r="C449" s="13">
        <v>6612</v>
      </c>
      <c r="D449" s="13">
        <v>3</v>
      </c>
      <c r="E449" s="13">
        <v>622</v>
      </c>
      <c r="F449" s="13">
        <v>1413</v>
      </c>
      <c r="G449" s="13">
        <v>1612</v>
      </c>
      <c r="H449" s="13">
        <v>1719</v>
      </c>
      <c r="I449" s="13">
        <v>1025</v>
      </c>
      <c r="J449" s="13">
        <v>218</v>
      </c>
    </row>
    <row r="450" spans="1:10" x14ac:dyDescent="0.25">
      <c r="A450" s="11">
        <v>2004</v>
      </c>
      <c r="B450" s="11" t="s">
        <v>242</v>
      </c>
      <c r="C450" s="13">
        <v>2175</v>
      </c>
      <c r="D450" s="13">
        <v>0</v>
      </c>
      <c r="E450" s="13">
        <v>140</v>
      </c>
      <c r="F450" s="13">
        <v>417</v>
      </c>
      <c r="G450" s="13">
        <v>506</v>
      </c>
      <c r="H450" s="13">
        <v>640</v>
      </c>
      <c r="I450" s="13">
        <v>387</v>
      </c>
      <c r="J450" s="13">
        <v>85</v>
      </c>
    </row>
    <row r="451" spans="1:10" x14ac:dyDescent="0.25">
      <c r="A451" s="11">
        <v>2004</v>
      </c>
      <c r="B451" s="11" t="s">
        <v>243</v>
      </c>
      <c r="C451" s="13">
        <v>898</v>
      </c>
      <c r="D451" s="13">
        <v>0</v>
      </c>
      <c r="E451" s="13">
        <v>92</v>
      </c>
      <c r="F451" s="13">
        <v>195</v>
      </c>
      <c r="G451" s="13">
        <v>209</v>
      </c>
      <c r="H451" s="13">
        <v>256</v>
      </c>
      <c r="I451" s="13">
        <v>121</v>
      </c>
      <c r="J451" s="13">
        <v>25</v>
      </c>
    </row>
    <row r="452" spans="1:10" x14ac:dyDescent="0.25">
      <c r="A452" s="11">
        <v>2004</v>
      </c>
      <c r="B452" s="11" t="s">
        <v>244</v>
      </c>
      <c r="C452" s="13">
        <v>881</v>
      </c>
      <c r="D452" s="13">
        <v>0</v>
      </c>
      <c r="E452" s="13">
        <v>72</v>
      </c>
      <c r="F452" s="13">
        <v>150</v>
      </c>
      <c r="G452" s="13">
        <v>227</v>
      </c>
      <c r="H452" s="13">
        <v>272</v>
      </c>
      <c r="I452" s="13">
        <v>136</v>
      </c>
      <c r="J452" s="13">
        <v>24</v>
      </c>
    </row>
    <row r="453" spans="1:10" x14ac:dyDescent="0.25">
      <c r="A453" s="11">
        <v>2004</v>
      </c>
      <c r="B453" s="11" t="s">
        <v>245</v>
      </c>
      <c r="C453" s="13">
        <v>854</v>
      </c>
      <c r="D453" s="13">
        <v>0</v>
      </c>
      <c r="E453" s="13">
        <v>55</v>
      </c>
      <c r="F453" s="13">
        <v>171</v>
      </c>
      <c r="G453" s="13">
        <v>246</v>
      </c>
      <c r="H453" s="13">
        <v>235</v>
      </c>
      <c r="I453" s="13">
        <v>124</v>
      </c>
      <c r="J453" s="13">
        <v>23</v>
      </c>
    </row>
    <row r="454" spans="1:10" x14ac:dyDescent="0.25">
      <c r="A454" s="11">
        <v>2004</v>
      </c>
      <c r="B454" s="11" t="s">
        <v>246</v>
      </c>
      <c r="C454" s="13">
        <v>223</v>
      </c>
      <c r="D454" s="13">
        <v>3</v>
      </c>
      <c r="E454" s="13">
        <v>10</v>
      </c>
      <c r="F454" s="13">
        <v>21</v>
      </c>
      <c r="G454" s="13">
        <v>56</v>
      </c>
      <c r="H454" s="13">
        <v>73</v>
      </c>
      <c r="I454" s="13">
        <v>50</v>
      </c>
      <c r="J454" s="13">
        <v>10</v>
      </c>
    </row>
    <row r="455" spans="1:10" x14ac:dyDescent="0.25">
      <c r="A455" s="11">
        <v>2004</v>
      </c>
      <c r="B455" s="11" t="s">
        <v>247</v>
      </c>
      <c r="C455" s="13">
        <v>1406</v>
      </c>
      <c r="D455" s="13">
        <v>0</v>
      </c>
      <c r="E455" s="13">
        <v>137</v>
      </c>
      <c r="F455" s="13">
        <v>336</v>
      </c>
      <c r="G455" s="13">
        <v>363</v>
      </c>
      <c r="H455" s="13">
        <v>350</v>
      </c>
      <c r="I455" s="13">
        <v>187</v>
      </c>
      <c r="J455" s="13">
        <v>33</v>
      </c>
    </row>
    <row r="456" spans="1:10" x14ac:dyDescent="0.25">
      <c r="A456" s="11">
        <v>2004</v>
      </c>
      <c r="B456" s="11" t="s">
        <v>248</v>
      </c>
      <c r="C456" s="13">
        <v>4005</v>
      </c>
      <c r="D456" s="13">
        <v>0</v>
      </c>
      <c r="E456" s="13">
        <v>332</v>
      </c>
      <c r="F456" s="13">
        <v>831</v>
      </c>
      <c r="G456" s="13">
        <v>1009</v>
      </c>
      <c r="H456" s="13">
        <v>1171</v>
      </c>
      <c r="I456" s="13">
        <v>556</v>
      </c>
      <c r="J456" s="13">
        <v>106</v>
      </c>
    </row>
    <row r="457" spans="1:10" x14ac:dyDescent="0.25">
      <c r="A457" s="11">
        <v>2004</v>
      </c>
      <c r="B457" s="11" t="s">
        <v>249</v>
      </c>
      <c r="C457" s="13">
        <v>171</v>
      </c>
      <c r="D457" s="13">
        <v>0</v>
      </c>
      <c r="E457" s="13">
        <v>14</v>
      </c>
      <c r="F457" s="13">
        <v>36</v>
      </c>
      <c r="G457" s="13">
        <v>44</v>
      </c>
      <c r="H457" s="13">
        <v>42</v>
      </c>
      <c r="I457" s="13">
        <v>25</v>
      </c>
      <c r="J457" s="13">
        <v>10</v>
      </c>
    </row>
    <row r="458" spans="1:10" x14ac:dyDescent="0.25">
      <c r="A458" s="11">
        <v>2004</v>
      </c>
      <c r="B458" s="11" t="s">
        <v>250</v>
      </c>
      <c r="C458" s="13">
        <v>1285</v>
      </c>
      <c r="D458" s="13">
        <v>1</v>
      </c>
      <c r="E458" s="13">
        <v>72</v>
      </c>
      <c r="F458" s="13">
        <v>172</v>
      </c>
      <c r="G458" s="13">
        <v>295</v>
      </c>
      <c r="H458" s="13">
        <v>456</v>
      </c>
      <c r="I458" s="13">
        <v>235</v>
      </c>
      <c r="J458" s="13">
        <v>54</v>
      </c>
    </row>
    <row r="459" spans="1:10" x14ac:dyDescent="0.25">
      <c r="A459" s="11">
        <v>2004</v>
      </c>
      <c r="B459" s="11" t="s">
        <v>251</v>
      </c>
      <c r="C459" s="13">
        <v>1885</v>
      </c>
      <c r="D459" s="13">
        <v>0</v>
      </c>
      <c r="E459" s="13">
        <v>149</v>
      </c>
      <c r="F459" s="13">
        <v>340</v>
      </c>
      <c r="G459" s="13">
        <v>443</v>
      </c>
      <c r="H459" s="13">
        <v>559</v>
      </c>
      <c r="I459" s="13">
        <v>337</v>
      </c>
      <c r="J459" s="13">
        <v>57</v>
      </c>
    </row>
    <row r="460" spans="1:10" x14ac:dyDescent="0.25">
      <c r="A460" s="11">
        <v>2004</v>
      </c>
      <c r="B460" s="11" t="s">
        <v>252</v>
      </c>
      <c r="C460" s="13">
        <v>1052</v>
      </c>
      <c r="D460" s="13">
        <v>0</v>
      </c>
      <c r="E460" s="13">
        <v>58</v>
      </c>
      <c r="F460" s="13">
        <v>150</v>
      </c>
      <c r="G460" s="13">
        <v>237</v>
      </c>
      <c r="H460" s="13">
        <v>366</v>
      </c>
      <c r="I460" s="13">
        <v>187</v>
      </c>
      <c r="J460" s="13">
        <v>54</v>
      </c>
    </row>
    <row r="461" spans="1:10" x14ac:dyDescent="0.25">
      <c r="A461" s="11">
        <v>2004</v>
      </c>
      <c r="B461" s="11" t="s">
        <v>253</v>
      </c>
      <c r="C461" s="13">
        <v>230</v>
      </c>
      <c r="D461" s="13">
        <v>0</v>
      </c>
      <c r="E461" s="13">
        <v>9</v>
      </c>
      <c r="F461" s="13">
        <v>36</v>
      </c>
      <c r="G461" s="13">
        <v>73</v>
      </c>
      <c r="H461" s="13">
        <v>72</v>
      </c>
      <c r="I461" s="13">
        <v>32</v>
      </c>
      <c r="J461" s="13">
        <v>8</v>
      </c>
    </row>
    <row r="462" spans="1:10" x14ac:dyDescent="0.25">
      <c r="A462" s="11">
        <v>2004</v>
      </c>
      <c r="B462" s="11" t="s">
        <v>254</v>
      </c>
      <c r="C462" s="13">
        <v>1030</v>
      </c>
      <c r="D462" s="13">
        <v>3</v>
      </c>
      <c r="E462" s="13">
        <v>86</v>
      </c>
      <c r="F462" s="13">
        <v>188</v>
      </c>
      <c r="G462" s="13">
        <v>244</v>
      </c>
      <c r="H462" s="13">
        <v>284</v>
      </c>
      <c r="I462" s="13">
        <v>192</v>
      </c>
      <c r="J462" s="13">
        <v>33</v>
      </c>
    </row>
    <row r="463" spans="1:10" x14ac:dyDescent="0.25">
      <c r="A463" s="11">
        <v>2004</v>
      </c>
      <c r="B463" s="11" t="s">
        <v>255</v>
      </c>
      <c r="C463" s="13">
        <v>3358</v>
      </c>
      <c r="D463" s="13">
        <v>2</v>
      </c>
      <c r="E463" s="13">
        <v>235</v>
      </c>
      <c r="F463" s="13">
        <v>558</v>
      </c>
      <c r="G463" s="13">
        <v>866</v>
      </c>
      <c r="H463" s="13">
        <v>1026</v>
      </c>
      <c r="I463" s="13">
        <v>576</v>
      </c>
      <c r="J463" s="13">
        <v>95</v>
      </c>
    </row>
    <row r="464" spans="1:10" x14ac:dyDescent="0.25">
      <c r="A464" s="11">
        <v>2004</v>
      </c>
      <c r="B464" s="11" t="s">
        <v>256</v>
      </c>
      <c r="C464" s="13">
        <v>934</v>
      </c>
      <c r="D464" s="13">
        <v>0</v>
      </c>
      <c r="E464" s="13">
        <v>52</v>
      </c>
      <c r="F464" s="13">
        <v>122</v>
      </c>
      <c r="G464" s="13">
        <v>198</v>
      </c>
      <c r="H464" s="13">
        <v>337</v>
      </c>
      <c r="I464" s="13">
        <v>196</v>
      </c>
      <c r="J464" s="13">
        <v>29</v>
      </c>
    </row>
    <row r="465" spans="1:10" x14ac:dyDescent="0.25">
      <c r="A465" s="11">
        <v>2004</v>
      </c>
      <c r="B465" s="11" t="s">
        <v>257</v>
      </c>
      <c r="C465" s="13">
        <v>999</v>
      </c>
      <c r="D465" s="13">
        <v>9</v>
      </c>
      <c r="E465" s="13">
        <v>92</v>
      </c>
      <c r="F465" s="13">
        <v>224</v>
      </c>
      <c r="G465" s="13">
        <v>239</v>
      </c>
      <c r="H465" s="13">
        <v>253</v>
      </c>
      <c r="I465" s="13">
        <v>157</v>
      </c>
      <c r="J465" s="13">
        <v>25</v>
      </c>
    </row>
    <row r="466" spans="1:10" x14ac:dyDescent="0.25">
      <c r="A466" s="11">
        <v>2004</v>
      </c>
      <c r="B466" s="11" t="s">
        <v>258</v>
      </c>
      <c r="C466" s="13">
        <v>2058</v>
      </c>
      <c r="D466" s="13">
        <v>0</v>
      </c>
      <c r="E466" s="13">
        <v>172</v>
      </c>
      <c r="F466" s="13">
        <v>386</v>
      </c>
      <c r="G466" s="13">
        <v>505</v>
      </c>
      <c r="H466" s="13">
        <v>627</v>
      </c>
      <c r="I466" s="13">
        <v>321</v>
      </c>
      <c r="J466" s="13">
        <v>47</v>
      </c>
    </row>
    <row r="467" spans="1:10" x14ac:dyDescent="0.25">
      <c r="A467" s="11">
        <v>2005</v>
      </c>
      <c r="B467" s="11" t="s">
        <v>11</v>
      </c>
      <c r="C467" s="13">
        <v>54386</v>
      </c>
      <c r="D467" s="13">
        <v>77</v>
      </c>
      <c r="E467" s="13">
        <v>4171</v>
      </c>
      <c r="F467" s="13">
        <v>10008</v>
      </c>
      <c r="G467" s="13">
        <v>13229</v>
      </c>
      <c r="H467" s="13">
        <v>15962</v>
      </c>
      <c r="I467" s="13">
        <v>9179</v>
      </c>
      <c r="J467" s="13">
        <v>1760</v>
      </c>
    </row>
    <row r="468" spans="1:10" x14ac:dyDescent="0.25">
      <c r="A468" s="11">
        <v>2005</v>
      </c>
      <c r="B468" s="11" t="s">
        <v>227</v>
      </c>
      <c r="C468" s="13">
        <v>2061</v>
      </c>
      <c r="D468" s="13">
        <v>1</v>
      </c>
      <c r="E468" s="13">
        <v>157</v>
      </c>
      <c r="F468" s="13">
        <v>360</v>
      </c>
      <c r="G468" s="13">
        <v>508</v>
      </c>
      <c r="H468" s="13">
        <v>640</v>
      </c>
      <c r="I468" s="13">
        <v>334</v>
      </c>
      <c r="J468" s="13">
        <v>61</v>
      </c>
    </row>
    <row r="469" spans="1:10" x14ac:dyDescent="0.25">
      <c r="A469" s="11">
        <v>2005</v>
      </c>
      <c r="B469" s="11" t="s">
        <v>228</v>
      </c>
      <c r="C469" s="13">
        <v>2465</v>
      </c>
      <c r="D469" s="13">
        <v>1</v>
      </c>
      <c r="E469" s="13">
        <v>92</v>
      </c>
      <c r="F469" s="13">
        <v>314</v>
      </c>
      <c r="G469" s="13">
        <v>656</v>
      </c>
      <c r="H469" s="13">
        <v>867</v>
      </c>
      <c r="I469" s="13">
        <v>443</v>
      </c>
      <c r="J469" s="13">
        <v>92</v>
      </c>
    </row>
    <row r="470" spans="1:10" x14ac:dyDescent="0.25">
      <c r="A470" s="11">
        <v>2005</v>
      </c>
      <c r="B470" s="11" t="s">
        <v>229</v>
      </c>
      <c r="C470" s="13">
        <v>1095</v>
      </c>
      <c r="D470" s="13">
        <v>2</v>
      </c>
      <c r="E470" s="13">
        <v>89</v>
      </c>
      <c r="F470" s="13">
        <v>240</v>
      </c>
      <c r="G470" s="13">
        <v>266</v>
      </c>
      <c r="H470" s="13">
        <v>304</v>
      </c>
      <c r="I470" s="13">
        <v>163</v>
      </c>
      <c r="J470" s="13">
        <v>31</v>
      </c>
    </row>
    <row r="471" spans="1:10" x14ac:dyDescent="0.25">
      <c r="A471" s="11">
        <v>2005</v>
      </c>
      <c r="B471" s="11" t="s">
        <v>230</v>
      </c>
      <c r="C471" s="13">
        <v>773</v>
      </c>
      <c r="D471" s="13">
        <v>4</v>
      </c>
      <c r="E471" s="13">
        <v>47</v>
      </c>
      <c r="F471" s="13">
        <v>120</v>
      </c>
      <c r="G471" s="13">
        <v>173</v>
      </c>
      <c r="H471" s="13">
        <v>225</v>
      </c>
      <c r="I471" s="13">
        <v>172</v>
      </c>
      <c r="J471" s="13">
        <v>32</v>
      </c>
    </row>
    <row r="472" spans="1:10" x14ac:dyDescent="0.25">
      <c r="A472" s="11">
        <v>2005</v>
      </c>
      <c r="B472" s="11" t="s">
        <v>231</v>
      </c>
      <c r="C472" s="13">
        <v>4691</v>
      </c>
      <c r="D472" s="13">
        <v>5</v>
      </c>
      <c r="E472" s="13">
        <v>298</v>
      </c>
      <c r="F472" s="13">
        <v>668</v>
      </c>
      <c r="G472" s="13">
        <v>982</v>
      </c>
      <c r="H472" s="13">
        <v>1531</v>
      </c>
      <c r="I472" s="13">
        <v>985</v>
      </c>
      <c r="J472" s="13">
        <v>222</v>
      </c>
    </row>
    <row r="473" spans="1:10" x14ac:dyDescent="0.25">
      <c r="A473" s="11">
        <v>2005</v>
      </c>
      <c r="B473" s="11" t="s">
        <v>232</v>
      </c>
      <c r="C473" s="13">
        <v>528</v>
      </c>
      <c r="D473" s="13">
        <v>0</v>
      </c>
      <c r="E473" s="13">
        <v>46</v>
      </c>
      <c r="F473" s="13">
        <v>133</v>
      </c>
      <c r="G473" s="13">
        <v>133</v>
      </c>
      <c r="H473" s="13">
        <v>124</v>
      </c>
      <c r="I473" s="13">
        <v>80</v>
      </c>
      <c r="J473" s="13">
        <v>12</v>
      </c>
    </row>
    <row r="474" spans="1:10" x14ac:dyDescent="0.25">
      <c r="A474" s="11">
        <v>2005</v>
      </c>
      <c r="B474" s="11" t="s">
        <v>233</v>
      </c>
      <c r="C474" s="13">
        <v>1407</v>
      </c>
      <c r="D474" s="13">
        <v>0</v>
      </c>
      <c r="E474" s="13">
        <v>144</v>
      </c>
      <c r="F474" s="13">
        <v>332</v>
      </c>
      <c r="G474" s="13">
        <v>315</v>
      </c>
      <c r="H474" s="13">
        <v>381</v>
      </c>
      <c r="I474" s="13">
        <v>191</v>
      </c>
      <c r="J474" s="13">
        <v>44</v>
      </c>
    </row>
    <row r="475" spans="1:10" x14ac:dyDescent="0.25">
      <c r="A475" s="11">
        <v>2005</v>
      </c>
      <c r="B475" s="11" t="s">
        <v>234</v>
      </c>
      <c r="C475" s="13">
        <v>1545</v>
      </c>
      <c r="D475" s="13">
        <v>17</v>
      </c>
      <c r="E475" s="13">
        <v>190</v>
      </c>
      <c r="F475" s="13">
        <v>379</v>
      </c>
      <c r="G475" s="13">
        <v>411</v>
      </c>
      <c r="H475" s="13">
        <v>329</v>
      </c>
      <c r="I475" s="13">
        <v>188</v>
      </c>
      <c r="J475" s="13">
        <v>31</v>
      </c>
    </row>
    <row r="476" spans="1:10" x14ac:dyDescent="0.25">
      <c r="A476" s="11">
        <v>2005</v>
      </c>
      <c r="B476" s="11" t="s">
        <v>235</v>
      </c>
      <c r="C476" s="13">
        <v>1258</v>
      </c>
      <c r="D476" s="13">
        <v>1</v>
      </c>
      <c r="E476" s="13">
        <v>131</v>
      </c>
      <c r="F476" s="13">
        <v>273</v>
      </c>
      <c r="G476" s="13">
        <v>291</v>
      </c>
      <c r="H476" s="13">
        <v>339</v>
      </c>
      <c r="I476" s="13">
        <v>180</v>
      </c>
      <c r="J476" s="13">
        <v>43</v>
      </c>
    </row>
    <row r="477" spans="1:10" x14ac:dyDescent="0.25">
      <c r="A477" s="11">
        <v>2005</v>
      </c>
      <c r="B477" s="11" t="s">
        <v>236</v>
      </c>
      <c r="C477" s="13">
        <v>930</v>
      </c>
      <c r="D477" s="13">
        <v>0</v>
      </c>
      <c r="E477" s="13">
        <v>34</v>
      </c>
      <c r="F477" s="13">
        <v>98</v>
      </c>
      <c r="G477" s="13">
        <v>175</v>
      </c>
      <c r="H477" s="13">
        <v>340</v>
      </c>
      <c r="I477" s="13">
        <v>230</v>
      </c>
      <c r="J477" s="13">
        <v>53</v>
      </c>
    </row>
    <row r="478" spans="1:10" x14ac:dyDescent="0.25">
      <c r="A478" s="11">
        <v>2005</v>
      </c>
      <c r="B478" s="11" t="s">
        <v>237</v>
      </c>
      <c r="C478" s="13">
        <v>1054</v>
      </c>
      <c r="D478" s="13">
        <v>1</v>
      </c>
      <c r="E478" s="13">
        <v>73</v>
      </c>
      <c r="F478" s="13">
        <v>153</v>
      </c>
      <c r="G478" s="13">
        <v>207</v>
      </c>
      <c r="H478" s="13">
        <v>358</v>
      </c>
      <c r="I478" s="13">
        <v>225</v>
      </c>
      <c r="J478" s="13">
        <v>37</v>
      </c>
    </row>
    <row r="479" spans="1:10" x14ac:dyDescent="0.25">
      <c r="A479" s="11">
        <v>2005</v>
      </c>
      <c r="B479" s="11" t="s">
        <v>238</v>
      </c>
      <c r="C479" s="13">
        <v>898</v>
      </c>
      <c r="D479" s="13">
        <v>4</v>
      </c>
      <c r="E479" s="13">
        <v>34</v>
      </c>
      <c r="F479" s="13">
        <v>67</v>
      </c>
      <c r="G479" s="13">
        <v>170</v>
      </c>
      <c r="H479" s="13">
        <v>331</v>
      </c>
      <c r="I479" s="13">
        <v>249</v>
      </c>
      <c r="J479" s="13">
        <v>43</v>
      </c>
    </row>
    <row r="480" spans="1:10" x14ac:dyDescent="0.25">
      <c r="A480" s="11">
        <v>2005</v>
      </c>
      <c r="B480" s="11" t="s">
        <v>239</v>
      </c>
      <c r="C480" s="13">
        <v>1738</v>
      </c>
      <c r="D480" s="13">
        <v>0</v>
      </c>
      <c r="E480" s="13">
        <v>122</v>
      </c>
      <c r="F480" s="13">
        <v>318</v>
      </c>
      <c r="G480" s="13">
        <v>459</v>
      </c>
      <c r="H480" s="13">
        <v>532</v>
      </c>
      <c r="I480" s="13">
        <v>269</v>
      </c>
      <c r="J480" s="13">
        <v>38</v>
      </c>
    </row>
    <row r="481" spans="1:10" x14ac:dyDescent="0.25">
      <c r="A481" s="11">
        <v>2005</v>
      </c>
      <c r="B481" s="11" t="s">
        <v>240</v>
      </c>
      <c r="C481" s="13">
        <v>3831</v>
      </c>
      <c r="D481" s="13">
        <v>1</v>
      </c>
      <c r="E481" s="13">
        <v>311</v>
      </c>
      <c r="F481" s="13">
        <v>812</v>
      </c>
      <c r="G481" s="13">
        <v>962</v>
      </c>
      <c r="H481" s="13">
        <v>1100</v>
      </c>
      <c r="I481" s="13">
        <v>568</v>
      </c>
      <c r="J481" s="13">
        <v>77</v>
      </c>
    </row>
    <row r="482" spans="1:10" x14ac:dyDescent="0.25">
      <c r="A482" s="11">
        <v>2005</v>
      </c>
      <c r="B482" s="11" t="s">
        <v>241</v>
      </c>
      <c r="C482" s="13">
        <v>6833</v>
      </c>
      <c r="D482" s="13">
        <v>1</v>
      </c>
      <c r="E482" s="13">
        <v>625</v>
      </c>
      <c r="F482" s="13">
        <v>1419</v>
      </c>
      <c r="G482" s="13">
        <v>1729</v>
      </c>
      <c r="H482" s="13">
        <v>1772</v>
      </c>
      <c r="I482" s="13">
        <v>1063</v>
      </c>
      <c r="J482" s="13">
        <v>224</v>
      </c>
    </row>
    <row r="483" spans="1:10" x14ac:dyDescent="0.25">
      <c r="A483" s="11">
        <v>2005</v>
      </c>
      <c r="B483" s="11" t="s">
        <v>242</v>
      </c>
      <c r="C483" s="13">
        <v>2233</v>
      </c>
      <c r="D483" s="13">
        <v>3</v>
      </c>
      <c r="E483" s="13">
        <v>170</v>
      </c>
      <c r="F483" s="13">
        <v>403</v>
      </c>
      <c r="G483" s="13">
        <v>577</v>
      </c>
      <c r="H483" s="13">
        <v>591</v>
      </c>
      <c r="I483" s="13">
        <v>383</v>
      </c>
      <c r="J483" s="13">
        <v>106</v>
      </c>
    </row>
    <row r="484" spans="1:10" x14ac:dyDescent="0.25">
      <c r="A484" s="11">
        <v>2005</v>
      </c>
      <c r="B484" s="11" t="s">
        <v>243</v>
      </c>
      <c r="C484" s="13">
        <v>902</v>
      </c>
      <c r="D484" s="13">
        <v>0</v>
      </c>
      <c r="E484" s="13">
        <v>89</v>
      </c>
      <c r="F484" s="13">
        <v>225</v>
      </c>
      <c r="G484" s="13">
        <v>194</v>
      </c>
      <c r="H484" s="13">
        <v>242</v>
      </c>
      <c r="I484" s="13">
        <v>127</v>
      </c>
      <c r="J484" s="13">
        <v>25</v>
      </c>
    </row>
    <row r="485" spans="1:10" x14ac:dyDescent="0.25">
      <c r="A485" s="11">
        <v>2005</v>
      </c>
      <c r="B485" s="11" t="s">
        <v>244</v>
      </c>
      <c r="C485" s="13">
        <v>867</v>
      </c>
      <c r="D485" s="13">
        <v>1</v>
      </c>
      <c r="E485" s="13">
        <v>62</v>
      </c>
      <c r="F485" s="13">
        <v>152</v>
      </c>
      <c r="G485" s="13">
        <v>193</v>
      </c>
      <c r="H485" s="13">
        <v>299</v>
      </c>
      <c r="I485" s="13">
        <v>139</v>
      </c>
      <c r="J485" s="13">
        <v>21</v>
      </c>
    </row>
    <row r="486" spans="1:10" x14ac:dyDescent="0.25">
      <c r="A486" s="11">
        <v>2005</v>
      </c>
      <c r="B486" s="11" t="s">
        <v>245</v>
      </c>
      <c r="C486" s="13">
        <v>878</v>
      </c>
      <c r="D486" s="13">
        <v>1</v>
      </c>
      <c r="E486" s="13">
        <v>69</v>
      </c>
      <c r="F486" s="13">
        <v>183</v>
      </c>
      <c r="G486" s="13">
        <v>230</v>
      </c>
      <c r="H486" s="13">
        <v>244</v>
      </c>
      <c r="I486" s="13">
        <v>125</v>
      </c>
      <c r="J486" s="13">
        <v>26</v>
      </c>
    </row>
    <row r="487" spans="1:10" x14ac:dyDescent="0.25">
      <c r="A487" s="11">
        <v>2005</v>
      </c>
      <c r="B487" s="11" t="s">
        <v>246</v>
      </c>
      <c r="C487" s="13">
        <v>233</v>
      </c>
      <c r="D487" s="13">
        <v>1</v>
      </c>
      <c r="E487" s="13">
        <v>10</v>
      </c>
      <c r="F487" s="13">
        <v>29</v>
      </c>
      <c r="G487" s="13">
        <v>62</v>
      </c>
      <c r="H487" s="13">
        <v>66</v>
      </c>
      <c r="I487" s="13">
        <v>57</v>
      </c>
      <c r="J487" s="13">
        <v>8</v>
      </c>
    </row>
    <row r="488" spans="1:10" x14ac:dyDescent="0.25">
      <c r="A488" s="11">
        <v>2005</v>
      </c>
      <c r="B488" s="11" t="s">
        <v>247</v>
      </c>
      <c r="C488" s="13">
        <v>1379</v>
      </c>
      <c r="D488" s="13">
        <v>0</v>
      </c>
      <c r="E488" s="13">
        <v>131</v>
      </c>
      <c r="F488" s="13">
        <v>310</v>
      </c>
      <c r="G488" s="13">
        <v>360</v>
      </c>
      <c r="H488" s="13">
        <v>357</v>
      </c>
      <c r="I488" s="13">
        <v>177</v>
      </c>
      <c r="J488" s="13">
        <v>44</v>
      </c>
    </row>
    <row r="489" spans="1:10" x14ac:dyDescent="0.25">
      <c r="A489" s="11">
        <v>2005</v>
      </c>
      <c r="B489" s="11" t="s">
        <v>248</v>
      </c>
      <c r="C489" s="13">
        <v>3834</v>
      </c>
      <c r="D489" s="13">
        <v>0</v>
      </c>
      <c r="E489" s="13">
        <v>323</v>
      </c>
      <c r="F489" s="13">
        <v>759</v>
      </c>
      <c r="G489" s="13">
        <v>1033</v>
      </c>
      <c r="H489" s="13">
        <v>1093</v>
      </c>
      <c r="I489" s="13">
        <v>538</v>
      </c>
      <c r="J489" s="13">
        <v>88</v>
      </c>
    </row>
    <row r="490" spans="1:10" x14ac:dyDescent="0.25">
      <c r="A490" s="11">
        <v>2005</v>
      </c>
      <c r="B490" s="11" t="s">
        <v>249</v>
      </c>
      <c r="C490" s="13">
        <v>180</v>
      </c>
      <c r="D490" s="13">
        <v>0</v>
      </c>
      <c r="E490" s="13">
        <v>14</v>
      </c>
      <c r="F490" s="13">
        <v>30</v>
      </c>
      <c r="G490" s="13">
        <v>45</v>
      </c>
      <c r="H490" s="13">
        <v>53</v>
      </c>
      <c r="I490" s="13">
        <v>31</v>
      </c>
      <c r="J490" s="13">
        <v>7</v>
      </c>
    </row>
    <row r="491" spans="1:10" x14ac:dyDescent="0.25">
      <c r="A491" s="11">
        <v>2005</v>
      </c>
      <c r="B491" s="11" t="s">
        <v>250</v>
      </c>
      <c r="C491" s="13">
        <v>1347</v>
      </c>
      <c r="D491" s="13">
        <v>2</v>
      </c>
      <c r="E491" s="13">
        <v>87</v>
      </c>
      <c r="F491" s="13">
        <v>191</v>
      </c>
      <c r="G491" s="13">
        <v>301</v>
      </c>
      <c r="H491" s="13">
        <v>447</v>
      </c>
      <c r="I491" s="13">
        <v>277</v>
      </c>
      <c r="J491" s="13">
        <v>42</v>
      </c>
    </row>
    <row r="492" spans="1:10" x14ac:dyDescent="0.25">
      <c r="A492" s="11">
        <v>2005</v>
      </c>
      <c r="B492" s="11" t="s">
        <v>251</v>
      </c>
      <c r="C492" s="13">
        <v>1869</v>
      </c>
      <c r="D492" s="13">
        <v>0</v>
      </c>
      <c r="E492" s="13">
        <v>139</v>
      </c>
      <c r="F492" s="13">
        <v>360</v>
      </c>
      <c r="G492" s="13">
        <v>456</v>
      </c>
      <c r="H492" s="13">
        <v>539</v>
      </c>
      <c r="I492" s="13">
        <v>320</v>
      </c>
      <c r="J492" s="13">
        <v>55</v>
      </c>
    </row>
    <row r="493" spans="1:10" x14ac:dyDescent="0.25">
      <c r="A493" s="11">
        <v>2005</v>
      </c>
      <c r="B493" s="11" t="s">
        <v>252</v>
      </c>
      <c r="C493" s="13">
        <v>1047</v>
      </c>
      <c r="D493" s="13">
        <v>0</v>
      </c>
      <c r="E493" s="13">
        <v>64</v>
      </c>
      <c r="F493" s="13">
        <v>180</v>
      </c>
      <c r="G493" s="13">
        <v>239</v>
      </c>
      <c r="H493" s="13">
        <v>326</v>
      </c>
      <c r="I493" s="13">
        <v>195</v>
      </c>
      <c r="J493" s="13">
        <v>43</v>
      </c>
    </row>
    <row r="494" spans="1:10" x14ac:dyDescent="0.25">
      <c r="A494" s="11">
        <v>2005</v>
      </c>
      <c r="B494" s="11" t="s">
        <v>253</v>
      </c>
      <c r="C494" s="13">
        <v>227</v>
      </c>
      <c r="D494" s="13">
        <v>0</v>
      </c>
      <c r="E494" s="13">
        <v>14</v>
      </c>
      <c r="F494" s="13">
        <v>50</v>
      </c>
      <c r="G494" s="13">
        <v>54</v>
      </c>
      <c r="H494" s="13">
        <v>67</v>
      </c>
      <c r="I494" s="13">
        <v>34</v>
      </c>
      <c r="J494" s="13">
        <v>8</v>
      </c>
    </row>
    <row r="495" spans="1:10" x14ac:dyDescent="0.25">
      <c r="A495" s="11">
        <v>2005</v>
      </c>
      <c r="B495" s="11" t="s">
        <v>254</v>
      </c>
      <c r="C495" s="13">
        <v>976</v>
      </c>
      <c r="D495" s="13">
        <v>8</v>
      </c>
      <c r="E495" s="13">
        <v>99</v>
      </c>
      <c r="F495" s="13">
        <v>164</v>
      </c>
      <c r="G495" s="13">
        <v>220</v>
      </c>
      <c r="H495" s="13">
        <v>277</v>
      </c>
      <c r="I495" s="13">
        <v>167</v>
      </c>
      <c r="J495" s="13">
        <v>41</v>
      </c>
    </row>
    <row r="496" spans="1:10" x14ac:dyDescent="0.25">
      <c r="A496" s="11">
        <v>2005</v>
      </c>
      <c r="B496" s="11" t="s">
        <v>255</v>
      </c>
      <c r="C496" s="13">
        <v>3322</v>
      </c>
      <c r="D496" s="13">
        <v>2</v>
      </c>
      <c r="E496" s="13">
        <v>211</v>
      </c>
      <c r="F496" s="13">
        <v>565</v>
      </c>
      <c r="G496" s="13">
        <v>867</v>
      </c>
      <c r="H496" s="13">
        <v>997</v>
      </c>
      <c r="I496" s="13">
        <v>598</v>
      </c>
      <c r="J496" s="13">
        <v>82</v>
      </c>
    </row>
    <row r="497" spans="1:10" x14ac:dyDescent="0.25">
      <c r="A497" s="11">
        <v>2005</v>
      </c>
      <c r="B497" s="11" t="s">
        <v>256</v>
      </c>
      <c r="C497" s="13">
        <v>873</v>
      </c>
      <c r="D497" s="13">
        <v>0</v>
      </c>
      <c r="E497" s="13">
        <v>50</v>
      </c>
      <c r="F497" s="13">
        <v>123</v>
      </c>
      <c r="G497" s="13">
        <v>169</v>
      </c>
      <c r="H497" s="13">
        <v>310</v>
      </c>
      <c r="I497" s="13">
        <v>187</v>
      </c>
      <c r="J497" s="13">
        <v>34</v>
      </c>
    </row>
    <row r="498" spans="1:10" x14ac:dyDescent="0.25">
      <c r="A498" s="11">
        <v>2005</v>
      </c>
      <c r="B498" s="11" t="s">
        <v>257</v>
      </c>
      <c r="C498" s="13">
        <v>1000</v>
      </c>
      <c r="D498" s="13">
        <v>2</v>
      </c>
      <c r="E498" s="13">
        <v>105</v>
      </c>
      <c r="F498" s="13">
        <v>230</v>
      </c>
      <c r="G498" s="13">
        <v>250</v>
      </c>
      <c r="H498" s="13">
        <v>236</v>
      </c>
      <c r="I498" s="13">
        <v>149</v>
      </c>
      <c r="J498" s="13">
        <v>28</v>
      </c>
    </row>
    <row r="499" spans="1:10" x14ac:dyDescent="0.25">
      <c r="A499" s="11">
        <v>2005</v>
      </c>
      <c r="B499" s="11" t="s">
        <v>258</v>
      </c>
      <c r="C499" s="13">
        <v>2112</v>
      </c>
      <c r="D499" s="13">
        <v>19</v>
      </c>
      <c r="E499" s="13">
        <v>141</v>
      </c>
      <c r="F499" s="13">
        <v>368</v>
      </c>
      <c r="G499" s="13">
        <v>542</v>
      </c>
      <c r="H499" s="13">
        <v>645</v>
      </c>
      <c r="I499" s="13">
        <v>335</v>
      </c>
      <c r="J499" s="13">
        <v>62</v>
      </c>
    </row>
    <row r="500" spans="1:10" x14ac:dyDescent="0.25">
      <c r="A500" s="11">
        <v>2006</v>
      </c>
      <c r="B500" s="11" t="s">
        <v>11</v>
      </c>
      <c r="C500" s="13">
        <v>55690</v>
      </c>
      <c r="D500" s="13">
        <v>39</v>
      </c>
      <c r="E500" s="13">
        <v>4130</v>
      </c>
      <c r="F500" s="13">
        <v>10399</v>
      </c>
      <c r="G500" s="13">
        <v>13876</v>
      </c>
      <c r="H500" s="13">
        <v>15878</v>
      </c>
      <c r="I500" s="13">
        <v>9535</v>
      </c>
      <c r="J500" s="13">
        <v>1833</v>
      </c>
    </row>
    <row r="501" spans="1:10" x14ac:dyDescent="0.25">
      <c r="A501" s="11">
        <v>2006</v>
      </c>
      <c r="B501" s="11" t="s">
        <v>227</v>
      </c>
      <c r="C501" s="13">
        <v>2200</v>
      </c>
      <c r="D501" s="13">
        <v>5</v>
      </c>
      <c r="E501" s="13">
        <v>148</v>
      </c>
      <c r="F501" s="13">
        <v>408</v>
      </c>
      <c r="G501" s="13">
        <v>565</v>
      </c>
      <c r="H501" s="13">
        <v>638</v>
      </c>
      <c r="I501" s="13">
        <v>369</v>
      </c>
      <c r="J501" s="13">
        <v>67</v>
      </c>
    </row>
    <row r="502" spans="1:10" x14ac:dyDescent="0.25">
      <c r="A502" s="11">
        <v>2006</v>
      </c>
      <c r="B502" s="11" t="s">
        <v>228</v>
      </c>
      <c r="C502" s="13">
        <v>2589</v>
      </c>
      <c r="D502" s="13">
        <v>0</v>
      </c>
      <c r="E502" s="13">
        <v>99</v>
      </c>
      <c r="F502" s="13">
        <v>350</v>
      </c>
      <c r="G502" s="13">
        <v>698</v>
      </c>
      <c r="H502" s="13">
        <v>879</v>
      </c>
      <c r="I502" s="13">
        <v>486</v>
      </c>
      <c r="J502" s="13">
        <v>77</v>
      </c>
    </row>
    <row r="503" spans="1:10" x14ac:dyDescent="0.25">
      <c r="A503" s="11">
        <v>2006</v>
      </c>
      <c r="B503" s="11" t="s">
        <v>229</v>
      </c>
      <c r="C503" s="13">
        <v>1110</v>
      </c>
      <c r="D503" s="13">
        <v>0</v>
      </c>
      <c r="E503" s="13">
        <v>91</v>
      </c>
      <c r="F503" s="13">
        <v>203</v>
      </c>
      <c r="G503" s="13">
        <v>290</v>
      </c>
      <c r="H503" s="13">
        <v>329</v>
      </c>
      <c r="I503" s="13">
        <v>167</v>
      </c>
      <c r="J503" s="13">
        <v>30</v>
      </c>
    </row>
    <row r="504" spans="1:10" x14ac:dyDescent="0.25">
      <c r="A504" s="11">
        <v>2006</v>
      </c>
      <c r="B504" s="11" t="s">
        <v>230</v>
      </c>
      <c r="C504" s="13">
        <v>781</v>
      </c>
      <c r="D504" s="13">
        <v>0</v>
      </c>
      <c r="E504" s="13">
        <v>49</v>
      </c>
      <c r="F504" s="13">
        <v>138</v>
      </c>
      <c r="G504" s="13">
        <v>160</v>
      </c>
      <c r="H504" s="13">
        <v>228</v>
      </c>
      <c r="I504" s="13">
        <v>169</v>
      </c>
      <c r="J504" s="13">
        <v>37</v>
      </c>
    </row>
    <row r="505" spans="1:10" x14ac:dyDescent="0.25">
      <c r="A505" s="11">
        <v>2006</v>
      </c>
      <c r="B505" s="11" t="s">
        <v>231</v>
      </c>
      <c r="C505" s="13">
        <v>4894</v>
      </c>
      <c r="D505" s="13">
        <v>2</v>
      </c>
      <c r="E505" s="13">
        <v>266</v>
      </c>
      <c r="F505" s="13">
        <v>703</v>
      </c>
      <c r="G505" s="13">
        <v>1031</v>
      </c>
      <c r="H505" s="13">
        <v>1605</v>
      </c>
      <c r="I505" s="13">
        <v>1067</v>
      </c>
      <c r="J505" s="13">
        <v>220</v>
      </c>
    </row>
    <row r="506" spans="1:10" x14ac:dyDescent="0.25">
      <c r="A506" s="11">
        <v>2006</v>
      </c>
      <c r="B506" s="11" t="s">
        <v>232</v>
      </c>
      <c r="C506" s="13">
        <v>546</v>
      </c>
      <c r="D506" s="13">
        <v>0</v>
      </c>
      <c r="E506" s="13">
        <v>49</v>
      </c>
      <c r="F506" s="13">
        <v>125</v>
      </c>
      <c r="G506" s="13">
        <v>141</v>
      </c>
      <c r="H506" s="13">
        <v>131</v>
      </c>
      <c r="I506" s="13">
        <v>80</v>
      </c>
      <c r="J506" s="13">
        <v>20</v>
      </c>
    </row>
    <row r="507" spans="1:10" x14ac:dyDescent="0.25">
      <c r="A507" s="11">
        <v>2006</v>
      </c>
      <c r="B507" s="11" t="s">
        <v>233</v>
      </c>
      <c r="C507" s="13">
        <v>1471</v>
      </c>
      <c r="D507" s="13">
        <v>0</v>
      </c>
      <c r="E507" s="13">
        <v>138</v>
      </c>
      <c r="F507" s="13">
        <v>330</v>
      </c>
      <c r="G507" s="13">
        <v>361</v>
      </c>
      <c r="H507" s="13">
        <v>395</v>
      </c>
      <c r="I507" s="13">
        <v>207</v>
      </c>
      <c r="J507" s="13">
        <v>40</v>
      </c>
    </row>
    <row r="508" spans="1:10" x14ac:dyDescent="0.25">
      <c r="A508" s="11">
        <v>2006</v>
      </c>
      <c r="B508" s="11" t="s">
        <v>234</v>
      </c>
      <c r="C508" s="13">
        <v>1567</v>
      </c>
      <c r="D508" s="13">
        <v>0</v>
      </c>
      <c r="E508" s="13">
        <v>202</v>
      </c>
      <c r="F508" s="13">
        <v>411</v>
      </c>
      <c r="G508" s="13">
        <v>389</v>
      </c>
      <c r="H508" s="13">
        <v>353</v>
      </c>
      <c r="I508" s="13">
        <v>171</v>
      </c>
      <c r="J508" s="13">
        <v>41</v>
      </c>
    </row>
    <row r="509" spans="1:10" x14ac:dyDescent="0.25">
      <c r="A509" s="11">
        <v>2006</v>
      </c>
      <c r="B509" s="11" t="s">
        <v>235</v>
      </c>
      <c r="C509" s="13">
        <v>1316</v>
      </c>
      <c r="D509" s="13">
        <v>0</v>
      </c>
      <c r="E509" s="13">
        <v>120</v>
      </c>
      <c r="F509" s="13">
        <v>280</v>
      </c>
      <c r="G509" s="13">
        <v>377</v>
      </c>
      <c r="H509" s="13">
        <v>364</v>
      </c>
      <c r="I509" s="13">
        <v>153</v>
      </c>
      <c r="J509" s="13">
        <v>22</v>
      </c>
    </row>
    <row r="510" spans="1:10" x14ac:dyDescent="0.25">
      <c r="A510" s="11">
        <v>2006</v>
      </c>
      <c r="B510" s="11" t="s">
        <v>236</v>
      </c>
      <c r="C510" s="13">
        <v>922</v>
      </c>
      <c r="D510" s="13">
        <v>0</v>
      </c>
      <c r="E510" s="13">
        <v>40</v>
      </c>
      <c r="F510" s="13">
        <v>87</v>
      </c>
      <c r="G510" s="13">
        <v>201</v>
      </c>
      <c r="H510" s="13">
        <v>303</v>
      </c>
      <c r="I510" s="13">
        <v>252</v>
      </c>
      <c r="J510" s="13">
        <v>39</v>
      </c>
    </row>
    <row r="511" spans="1:10" x14ac:dyDescent="0.25">
      <c r="A511" s="11">
        <v>2006</v>
      </c>
      <c r="B511" s="11" t="s">
        <v>237</v>
      </c>
      <c r="C511" s="13">
        <v>1056</v>
      </c>
      <c r="D511" s="13">
        <v>0</v>
      </c>
      <c r="E511" s="13">
        <v>82</v>
      </c>
      <c r="F511" s="13">
        <v>146</v>
      </c>
      <c r="G511" s="13">
        <v>225</v>
      </c>
      <c r="H511" s="13">
        <v>323</v>
      </c>
      <c r="I511" s="13">
        <v>227</v>
      </c>
      <c r="J511" s="13">
        <v>53</v>
      </c>
    </row>
    <row r="512" spans="1:10" x14ac:dyDescent="0.25">
      <c r="A512" s="11">
        <v>2006</v>
      </c>
      <c r="B512" s="11" t="s">
        <v>238</v>
      </c>
      <c r="C512" s="13">
        <v>858</v>
      </c>
      <c r="D512" s="13">
        <v>2</v>
      </c>
      <c r="E512" s="13">
        <v>27</v>
      </c>
      <c r="F512" s="13">
        <v>81</v>
      </c>
      <c r="G512" s="13">
        <v>171</v>
      </c>
      <c r="H512" s="13">
        <v>296</v>
      </c>
      <c r="I512" s="13">
        <v>238</v>
      </c>
      <c r="J512" s="13">
        <v>43</v>
      </c>
    </row>
    <row r="513" spans="1:10" x14ac:dyDescent="0.25">
      <c r="A513" s="11">
        <v>2006</v>
      </c>
      <c r="B513" s="11" t="s">
        <v>239</v>
      </c>
      <c r="C513" s="13">
        <v>1757</v>
      </c>
      <c r="D513" s="13">
        <v>0</v>
      </c>
      <c r="E513" s="13">
        <v>137</v>
      </c>
      <c r="F513" s="13">
        <v>315</v>
      </c>
      <c r="G513" s="13">
        <v>448</v>
      </c>
      <c r="H513" s="13">
        <v>546</v>
      </c>
      <c r="I513" s="13">
        <v>265</v>
      </c>
      <c r="J513" s="13">
        <v>46</v>
      </c>
    </row>
    <row r="514" spans="1:10" x14ac:dyDescent="0.25">
      <c r="A514" s="11">
        <v>2006</v>
      </c>
      <c r="B514" s="11" t="s">
        <v>240</v>
      </c>
      <c r="C514" s="13">
        <v>3999</v>
      </c>
      <c r="D514" s="13">
        <v>2</v>
      </c>
      <c r="E514" s="13">
        <v>343</v>
      </c>
      <c r="F514" s="13">
        <v>843</v>
      </c>
      <c r="G514" s="13">
        <v>1054</v>
      </c>
      <c r="H514" s="13">
        <v>1064</v>
      </c>
      <c r="I514" s="13">
        <v>599</v>
      </c>
      <c r="J514" s="13">
        <v>94</v>
      </c>
    </row>
    <row r="515" spans="1:10" x14ac:dyDescent="0.25">
      <c r="A515" s="11">
        <v>2006</v>
      </c>
      <c r="B515" s="11" t="s">
        <v>241</v>
      </c>
      <c r="C515" s="13">
        <v>6617</v>
      </c>
      <c r="D515" s="13">
        <v>1</v>
      </c>
      <c r="E515" s="13">
        <v>585</v>
      </c>
      <c r="F515" s="13">
        <v>1434</v>
      </c>
      <c r="G515" s="13">
        <v>1646</v>
      </c>
      <c r="H515" s="13">
        <v>1653</v>
      </c>
      <c r="I515" s="13">
        <v>1074</v>
      </c>
      <c r="J515" s="13">
        <v>224</v>
      </c>
    </row>
    <row r="516" spans="1:10" x14ac:dyDescent="0.25">
      <c r="A516" s="11">
        <v>2006</v>
      </c>
      <c r="B516" s="11" t="s">
        <v>242</v>
      </c>
      <c r="C516" s="13">
        <v>2159</v>
      </c>
      <c r="D516" s="13">
        <v>5</v>
      </c>
      <c r="E516" s="13">
        <v>144</v>
      </c>
      <c r="F516" s="13">
        <v>403</v>
      </c>
      <c r="G516" s="13">
        <v>543</v>
      </c>
      <c r="H516" s="13">
        <v>611</v>
      </c>
      <c r="I516" s="13">
        <v>359</v>
      </c>
      <c r="J516" s="13">
        <v>94</v>
      </c>
    </row>
    <row r="517" spans="1:10" x14ac:dyDescent="0.25">
      <c r="A517" s="11">
        <v>2006</v>
      </c>
      <c r="B517" s="11" t="s">
        <v>243</v>
      </c>
      <c r="C517" s="13">
        <v>846</v>
      </c>
      <c r="D517" s="13">
        <v>0</v>
      </c>
      <c r="E517" s="13">
        <v>81</v>
      </c>
      <c r="F517" s="13">
        <v>182</v>
      </c>
      <c r="G517" s="13">
        <v>204</v>
      </c>
      <c r="H517" s="13">
        <v>231</v>
      </c>
      <c r="I517" s="13">
        <v>123</v>
      </c>
      <c r="J517" s="13">
        <v>25</v>
      </c>
    </row>
    <row r="518" spans="1:10" x14ac:dyDescent="0.25">
      <c r="A518" s="11">
        <v>2006</v>
      </c>
      <c r="B518" s="11" t="s">
        <v>244</v>
      </c>
      <c r="C518" s="13">
        <v>887</v>
      </c>
      <c r="D518" s="13">
        <v>0</v>
      </c>
      <c r="E518" s="13">
        <v>58</v>
      </c>
      <c r="F518" s="13">
        <v>145</v>
      </c>
      <c r="G518" s="13">
        <v>239</v>
      </c>
      <c r="H518" s="13">
        <v>265</v>
      </c>
      <c r="I518" s="13">
        <v>149</v>
      </c>
      <c r="J518" s="13">
        <v>31</v>
      </c>
    </row>
    <row r="519" spans="1:10" x14ac:dyDescent="0.25">
      <c r="A519" s="11">
        <v>2006</v>
      </c>
      <c r="B519" s="11" t="s">
        <v>245</v>
      </c>
      <c r="C519" s="13">
        <v>899</v>
      </c>
      <c r="D519" s="13">
        <v>0</v>
      </c>
      <c r="E519" s="13">
        <v>68</v>
      </c>
      <c r="F519" s="13">
        <v>175</v>
      </c>
      <c r="G519" s="13">
        <v>268</v>
      </c>
      <c r="H519" s="13">
        <v>231</v>
      </c>
      <c r="I519" s="13">
        <v>123</v>
      </c>
      <c r="J519" s="13">
        <v>34</v>
      </c>
    </row>
    <row r="520" spans="1:10" x14ac:dyDescent="0.25">
      <c r="A520" s="11">
        <v>2006</v>
      </c>
      <c r="B520" s="11" t="s">
        <v>246</v>
      </c>
      <c r="C520" s="13">
        <v>274</v>
      </c>
      <c r="D520" s="13">
        <v>1</v>
      </c>
      <c r="E520" s="13">
        <v>19</v>
      </c>
      <c r="F520" s="13">
        <v>30</v>
      </c>
      <c r="G520" s="13">
        <v>69</v>
      </c>
      <c r="H520" s="13">
        <v>75</v>
      </c>
      <c r="I520" s="13">
        <v>68</v>
      </c>
      <c r="J520" s="13">
        <v>12</v>
      </c>
    </row>
    <row r="521" spans="1:10" x14ac:dyDescent="0.25">
      <c r="A521" s="11">
        <v>2006</v>
      </c>
      <c r="B521" s="11" t="s">
        <v>247</v>
      </c>
      <c r="C521" s="13">
        <v>1501</v>
      </c>
      <c r="D521" s="13">
        <v>0</v>
      </c>
      <c r="E521" s="13">
        <v>154</v>
      </c>
      <c r="F521" s="13">
        <v>329</v>
      </c>
      <c r="G521" s="13">
        <v>377</v>
      </c>
      <c r="H521" s="13">
        <v>394</v>
      </c>
      <c r="I521" s="13">
        <v>214</v>
      </c>
      <c r="J521" s="13">
        <v>33</v>
      </c>
    </row>
    <row r="522" spans="1:10" x14ac:dyDescent="0.25">
      <c r="A522" s="11">
        <v>2006</v>
      </c>
      <c r="B522" s="11" t="s">
        <v>248</v>
      </c>
      <c r="C522" s="13">
        <v>4001</v>
      </c>
      <c r="D522" s="13">
        <v>1</v>
      </c>
      <c r="E522" s="13">
        <v>303</v>
      </c>
      <c r="F522" s="13">
        <v>867</v>
      </c>
      <c r="G522" s="13">
        <v>1068</v>
      </c>
      <c r="H522" s="13">
        <v>1086</v>
      </c>
      <c r="I522" s="13">
        <v>571</v>
      </c>
      <c r="J522" s="13">
        <v>105</v>
      </c>
    </row>
    <row r="523" spans="1:10" x14ac:dyDescent="0.25">
      <c r="A523" s="11">
        <v>2006</v>
      </c>
      <c r="B523" s="11" t="s">
        <v>249</v>
      </c>
      <c r="C523" s="13">
        <v>213</v>
      </c>
      <c r="D523" s="13">
        <v>0</v>
      </c>
      <c r="E523" s="13">
        <v>8</v>
      </c>
      <c r="F523" s="13">
        <v>40</v>
      </c>
      <c r="G523" s="13">
        <v>57</v>
      </c>
      <c r="H523" s="13">
        <v>72</v>
      </c>
      <c r="I523" s="13">
        <v>32</v>
      </c>
      <c r="J523" s="13">
        <v>4</v>
      </c>
    </row>
    <row r="524" spans="1:10" x14ac:dyDescent="0.25">
      <c r="A524" s="11">
        <v>2006</v>
      </c>
      <c r="B524" s="11" t="s">
        <v>250</v>
      </c>
      <c r="C524" s="13">
        <v>1331</v>
      </c>
      <c r="D524" s="13">
        <v>2</v>
      </c>
      <c r="E524" s="13">
        <v>72</v>
      </c>
      <c r="F524" s="13">
        <v>232</v>
      </c>
      <c r="G524" s="13">
        <v>315</v>
      </c>
      <c r="H524" s="13">
        <v>389</v>
      </c>
      <c r="I524" s="13">
        <v>263</v>
      </c>
      <c r="J524" s="13">
        <v>58</v>
      </c>
    </row>
    <row r="525" spans="1:10" x14ac:dyDescent="0.25">
      <c r="A525" s="11">
        <v>2006</v>
      </c>
      <c r="B525" s="11" t="s">
        <v>251</v>
      </c>
      <c r="C525" s="13">
        <v>1838</v>
      </c>
      <c r="D525" s="13">
        <v>1</v>
      </c>
      <c r="E525" s="13">
        <v>139</v>
      </c>
      <c r="F525" s="13">
        <v>321</v>
      </c>
      <c r="G525" s="13">
        <v>464</v>
      </c>
      <c r="H525" s="13">
        <v>503</v>
      </c>
      <c r="I525" s="13">
        <v>342</v>
      </c>
      <c r="J525" s="13">
        <v>68</v>
      </c>
    </row>
    <row r="526" spans="1:10" x14ac:dyDescent="0.25">
      <c r="A526" s="11">
        <v>2006</v>
      </c>
      <c r="B526" s="11" t="s">
        <v>252</v>
      </c>
      <c r="C526" s="13">
        <v>1111</v>
      </c>
      <c r="D526" s="13">
        <v>0</v>
      </c>
      <c r="E526" s="13">
        <v>73</v>
      </c>
      <c r="F526" s="13">
        <v>172</v>
      </c>
      <c r="G526" s="13">
        <v>239</v>
      </c>
      <c r="H526" s="13">
        <v>331</v>
      </c>
      <c r="I526" s="13">
        <v>242</v>
      </c>
      <c r="J526" s="13">
        <v>54</v>
      </c>
    </row>
    <row r="527" spans="1:10" x14ac:dyDescent="0.25">
      <c r="A527" s="11">
        <v>2006</v>
      </c>
      <c r="B527" s="11" t="s">
        <v>253</v>
      </c>
      <c r="C527" s="13">
        <v>268</v>
      </c>
      <c r="D527" s="13">
        <v>0</v>
      </c>
      <c r="E527" s="13">
        <v>16</v>
      </c>
      <c r="F527" s="13">
        <v>40</v>
      </c>
      <c r="G527" s="13">
        <v>81</v>
      </c>
      <c r="H527" s="13">
        <v>72</v>
      </c>
      <c r="I527" s="13">
        <v>49</v>
      </c>
      <c r="J527" s="13">
        <v>10</v>
      </c>
    </row>
    <row r="528" spans="1:10" x14ac:dyDescent="0.25">
      <c r="A528" s="11">
        <v>2006</v>
      </c>
      <c r="B528" s="11" t="s">
        <v>254</v>
      </c>
      <c r="C528" s="13">
        <v>1012</v>
      </c>
      <c r="D528" s="13">
        <v>3</v>
      </c>
      <c r="E528" s="13">
        <v>93</v>
      </c>
      <c r="F528" s="13">
        <v>205</v>
      </c>
      <c r="G528" s="13">
        <v>234</v>
      </c>
      <c r="H528" s="13">
        <v>285</v>
      </c>
      <c r="I528" s="13">
        <v>152</v>
      </c>
      <c r="J528" s="13">
        <v>40</v>
      </c>
    </row>
    <row r="529" spans="1:10" x14ac:dyDescent="0.25">
      <c r="A529" s="11">
        <v>2006</v>
      </c>
      <c r="B529" s="11" t="s">
        <v>255</v>
      </c>
      <c r="C529" s="13">
        <v>3524</v>
      </c>
      <c r="D529" s="13">
        <v>3</v>
      </c>
      <c r="E529" s="13">
        <v>223</v>
      </c>
      <c r="F529" s="13">
        <v>580</v>
      </c>
      <c r="G529" s="13">
        <v>932</v>
      </c>
      <c r="H529" s="13">
        <v>1071</v>
      </c>
      <c r="I529" s="13">
        <v>612</v>
      </c>
      <c r="J529" s="13">
        <v>103</v>
      </c>
    </row>
    <row r="530" spans="1:10" x14ac:dyDescent="0.25">
      <c r="A530" s="11">
        <v>2006</v>
      </c>
      <c r="B530" s="11" t="s">
        <v>256</v>
      </c>
      <c r="C530" s="13">
        <v>908</v>
      </c>
      <c r="D530" s="13">
        <v>0</v>
      </c>
      <c r="E530" s="13">
        <v>52</v>
      </c>
      <c r="F530" s="13">
        <v>136</v>
      </c>
      <c r="G530" s="13">
        <v>218</v>
      </c>
      <c r="H530" s="13">
        <v>267</v>
      </c>
      <c r="I530" s="13">
        <v>201</v>
      </c>
      <c r="J530" s="13">
        <v>34</v>
      </c>
    </row>
    <row r="531" spans="1:10" x14ac:dyDescent="0.25">
      <c r="A531" s="11">
        <v>2006</v>
      </c>
      <c r="B531" s="11" t="s">
        <v>257</v>
      </c>
      <c r="C531" s="13">
        <v>1044</v>
      </c>
      <c r="D531" s="13">
        <v>6</v>
      </c>
      <c r="E531" s="13">
        <v>105</v>
      </c>
      <c r="F531" s="13">
        <v>278</v>
      </c>
      <c r="G531" s="13">
        <v>236</v>
      </c>
      <c r="H531" s="13">
        <v>243</v>
      </c>
      <c r="I531" s="13">
        <v>152</v>
      </c>
      <c r="J531" s="13">
        <v>24</v>
      </c>
    </row>
    <row r="532" spans="1:10" x14ac:dyDescent="0.25">
      <c r="A532" s="11">
        <v>2006</v>
      </c>
      <c r="B532" s="11" t="s">
        <v>258</v>
      </c>
      <c r="C532" s="13">
        <v>2191</v>
      </c>
      <c r="D532" s="13">
        <v>5</v>
      </c>
      <c r="E532" s="13">
        <v>146</v>
      </c>
      <c r="F532" s="13">
        <v>410</v>
      </c>
      <c r="G532" s="13">
        <v>575</v>
      </c>
      <c r="H532" s="13">
        <v>645</v>
      </c>
      <c r="I532" s="13">
        <v>359</v>
      </c>
      <c r="J532" s="13">
        <v>51</v>
      </c>
    </row>
    <row r="533" spans="1:10" x14ac:dyDescent="0.25">
      <c r="A533" s="11">
        <v>2007</v>
      </c>
      <c r="B533" s="11" t="s">
        <v>11</v>
      </c>
      <c r="C533" s="13">
        <v>57781</v>
      </c>
      <c r="D533" s="13">
        <v>57</v>
      </c>
      <c r="E533" s="13">
        <v>4304</v>
      </c>
      <c r="F533" s="13">
        <v>10913</v>
      </c>
      <c r="G533" s="13">
        <v>14918</v>
      </c>
      <c r="H533" s="13">
        <v>15622</v>
      </c>
      <c r="I533" s="13">
        <v>10035</v>
      </c>
      <c r="J533" s="13">
        <v>1932</v>
      </c>
    </row>
    <row r="534" spans="1:10" x14ac:dyDescent="0.25">
      <c r="A534" s="11">
        <v>2007</v>
      </c>
      <c r="B534" s="11" t="s">
        <v>227</v>
      </c>
      <c r="C534" s="13">
        <v>2417</v>
      </c>
      <c r="D534" s="13">
        <v>0</v>
      </c>
      <c r="E534" s="13">
        <v>171</v>
      </c>
      <c r="F534" s="13">
        <v>458</v>
      </c>
      <c r="G534" s="13">
        <v>640</v>
      </c>
      <c r="H534" s="13">
        <v>719</v>
      </c>
      <c r="I534" s="13">
        <v>362</v>
      </c>
      <c r="J534" s="13">
        <v>67</v>
      </c>
    </row>
    <row r="535" spans="1:10" x14ac:dyDescent="0.25">
      <c r="A535" s="11">
        <v>2007</v>
      </c>
      <c r="B535" s="11" t="s">
        <v>228</v>
      </c>
      <c r="C535" s="13">
        <v>2690</v>
      </c>
      <c r="D535" s="13">
        <v>3</v>
      </c>
      <c r="E535" s="13">
        <v>121</v>
      </c>
      <c r="F535" s="13">
        <v>367</v>
      </c>
      <c r="G535" s="13">
        <v>757</v>
      </c>
      <c r="H535" s="13">
        <v>832</v>
      </c>
      <c r="I535" s="13">
        <v>514</v>
      </c>
      <c r="J535" s="13">
        <v>96</v>
      </c>
    </row>
    <row r="536" spans="1:10" x14ac:dyDescent="0.25">
      <c r="A536" s="11">
        <v>2007</v>
      </c>
      <c r="B536" s="11" t="s">
        <v>229</v>
      </c>
      <c r="C536" s="13">
        <v>1152</v>
      </c>
      <c r="D536" s="13">
        <v>0</v>
      </c>
      <c r="E536" s="13">
        <v>81</v>
      </c>
      <c r="F536" s="13">
        <v>219</v>
      </c>
      <c r="G536" s="13">
        <v>336</v>
      </c>
      <c r="H536" s="13">
        <v>307</v>
      </c>
      <c r="I536" s="13">
        <v>178</v>
      </c>
      <c r="J536" s="13">
        <v>31</v>
      </c>
    </row>
    <row r="537" spans="1:10" x14ac:dyDescent="0.25">
      <c r="A537" s="11">
        <v>2007</v>
      </c>
      <c r="B537" s="11" t="s">
        <v>230</v>
      </c>
      <c r="C537" s="13">
        <v>741</v>
      </c>
      <c r="D537" s="13">
        <v>1</v>
      </c>
      <c r="E537" s="13">
        <v>52</v>
      </c>
      <c r="F537" s="13">
        <v>133</v>
      </c>
      <c r="G537" s="13">
        <v>180</v>
      </c>
      <c r="H537" s="13">
        <v>197</v>
      </c>
      <c r="I537" s="13">
        <v>148</v>
      </c>
      <c r="J537" s="13">
        <v>30</v>
      </c>
    </row>
    <row r="538" spans="1:10" x14ac:dyDescent="0.25">
      <c r="A538" s="11">
        <v>2007</v>
      </c>
      <c r="B538" s="11" t="s">
        <v>231</v>
      </c>
      <c r="C538" s="13">
        <v>5056</v>
      </c>
      <c r="D538" s="13">
        <v>19</v>
      </c>
      <c r="E538" s="13">
        <v>281</v>
      </c>
      <c r="F538" s="13">
        <v>752</v>
      </c>
      <c r="G538" s="13">
        <v>1099</v>
      </c>
      <c r="H538" s="13">
        <v>1563</v>
      </c>
      <c r="I538" s="13">
        <v>1101</v>
      </c>
      <c r="J538" s="13">
        <v>241</v>
      </c>
    </row>
    <row r="539" spans="1:10" x14ac:dyDescent="0.25">
      <c r="A539" s="11">
        <v>2007</v>
      </c>
      <c r="B539" s="11" t="s">
        <v>232</v>
      </c>
      <c r="C539" s="13">
        <v>634</v>
      </c>
      <c r="D539" s="13">
        <v>0</v>
      </c>
      <c r="E539" s="13">
        <v>57</v>
      </c>
      <c r="F539" s="13">
        <v>122</v>
      </c>
      <c r="G539" s="13">
        <v>174</v>
      </c>
      <c r="H539" s="13">
        <v>172</v>
      </c>
      <c r="I539" s="13">
        <v>87</v>
      </c>
      <c r="J539" s="13">
        <v>22</v>
      </c>
    </row>
    <row r="540" spans="1:10" x14ac:dyDescent="0.25">
      <c r="A540" s="11">
        <v>2007</v>
      </c>
      <c r="B540" s="11" t="s">
        <v>233</v>
      </c>
      <c r="C540" s="13">
        <v>1507</v>
      </c>
      <c r="D540" s="13">
        <v>3</v>
      </c>
      <c r="E540" s="13">
        <v>140</v>
      </c>
      <c r="F540" s="13">
        <v>320</v>
      </c>
      <c r="G540" s="13">
        <v>398</v>
      </c>
      <c r="H540" s="13">
        <v>360</v>
      </c>
      <c r="I540" s="13">
        <v>231</v>
      </c>
      <c r="J540" s="13">
        <v>55</v>
      </c>
    </row>
    <row r="541" spans="1:10" x14ac:dyDescent="0.25">
      <c r="A541" s="11">
        <v>2007</v>
      </c>
      <c r="B541" s="11" t="s">
        <v>234</v>
      </c>
      <c r="C541" s="13">
        <v>1668</v>
      </c>
      <c r="D541" s="13">
        <v>0</v>
      </c>
      <c r="E541" s="13">
        <v>180</v>
      </c>
      <c r="F541" s="13">
        <v>436</v>
      </c>
      <c r="G541" s="13">
        <v>488</v>
      </c>
      <c r="H541" s="13">
        <v>339</v>
      </c>
      <c r="I541" s="13">
        <v>187</v>
      </c>
      <c r="J541" s="13">
        <v>38</v>
      </c>
    </row>
    <row r="542" spans="1:10" x14ac:dyDescent="0.25">
      <c r="A542" s="11">
        <v>2007</v>
      </c>
      <c r="B542" s="11" t="s">
        <v>235</v>
      </c>
      <c r="C542" s="13">
        <v>1304</v>
      </c>
      <c r="D542" s="13">
        <v>1</v>
      </c>
      <c r="E542" s="13">
        <v>132</v>
      </c>
      <c r="F542" s="13">
        <v>307</v>
      </c>
      <c r="G542" s="13">
        <v>306</v>
      </c>
      <c r="H542" s="13">
        <v>342</v>
      </c>
      <c r="I542" s="13">
        <v>187</v>
      </c>
      <c r="J542" s="13">
        <v>29</v>
      </c>
    </row>
    <row r="543" spans="1:10" x14ac:dyDescent="0.25">
      <c r="A543" s="11">
        <v>2007</v>
      </c>
      <c r="B543" s="11" t="s">
        <v>236</v>
      </c>
      <c r="C543" s="13">
        <v>892</v>
      </c>
      <c r="D543" s="13">
        <v>1</v>
      </c>
      <c r="E543" s="13">
        <v>32</v>
      </c>
      <c r="F543" s="13">
        <v>86</v>
      </c>
      <c r="G543" s="13">
        <v>193</v>
      </c>
      <c r="H543" s="13">
        <v>311</v>
      </c>
      <c r="I543" s="13">
        <v>235</v>
      </c>
      <c r="J543" s="13">
        <v>34</v>
      </c>
    </row>
    <row r="544" spans="1:10" x14ac:dyDescent="0.25">
      <c r="A544" s="11">
        <v>2007</v>
      </c>
      <c r="B544" s="11" t="s">
        <v>237</v>
      </c>
      <c r="C544" s="13">
        <v>1101</v>
      </c>
      <c r="D544" s="13">
        <v>0</v>
      </c>
      <c r="E544" s="13">
        <v>68</v>
      </c>
      <c r="F544" s="13">
        <v>168</v>
      </c>
      <c r="G544" s="13">
        <v>217</v>
      </c>
      <c r="H544" s="13">
        <v>329</v>
      </c>
      <c r="I544" s="13">
        <v>270</v>
      </c>
      <c r="J544" s="13">
        <v>49</v>
      </c>
    </row>
    <row r="545" spans="1:10" x14ac:dyDescent="0.25">
      <c r="A545" s="11">
        <v>2007</v>
      </c>
      <c r="B545" s="11" t="s">
        <v>238</v>
      </c>
      <c r="C545" s="13">
        <v>893</v>
      </c>
      <c r="D545" s="13">
        <v>6</v>
      </c>
      <c r="E545" s="13">
        <v>32</v>
      </c>
      <c r="F545" s="13">
        <v>83</v>
      </c>
      <c r="G545" s="13">
        <v>202</v>
      </c>
      <c r="H545" s="13">
        <v>297</v>
      </c>
      <c r="I545" s="13">
        <v>229</v>
      </c>
      <c r="J545" s="13">
        <v>44</v>
      </c>
    </row>
    <row r="546" spans="1:10" x14ac:dyDescent="0.25">
      <c r="A546" s="11">
        <v>2007</v>
      </c>
      <c r="B546" s="11" t="s">
        <v>239</v>
      </c>
      <c r="C546" s="13">
        <v>1892</v>
      </c>
      <c r="D546" s="13">
        <v>0</v>
      </c>
      <c r="E546" s="13">
        <v>152</v>
      </c>
      <c r="F546" s="13">
        <v>365</v>
      </c>
      <c r="G546" s="13">
        <v>470</v>
      </c>
      <c r="H546" s="13">
        <v>524</v>
      </c>
      <c r="I546" s="13">
        <v>337</v>
      </c>
      <c r="J546" s="13">
        <v>44</v>
      </c>
    </row>
    <row r="547" spans="1:10" x14ac:dyDescent="0.25">
      <c r="A547" s="11">
        <v>2007</v>
      </c>
      <c r="B547" s="11" t="s">
        <v>240</v>
      </c>
      <c r="C547" s="13">
        <v>4076</v>
      </c>
      <c r="D547" s="13">
        <v>1</v>
      </c>
      <c r="E547" s="13">
        <v>314</v>
      </c>
      <c r="F547" s="13">
        <v>850</v>
      </c>
      <c r="G547" s="13">
        <v>1149</v>
      </c>
      <c r="H547" s="13">
        <v>1038</v>
      </c>
      <c r="I547" s="13">
        <v>608</v>
      </c>
      <c r="J547" s="13">
        <v>116</v>
      </c>
    </row>
    <row r="548" spans="1:10" x14ac:dyDescent="0.25">
      <c r="A548" s="11">
        <v>2007</v>
      </c>
      <c r="B548" s="11" t="s">
        <v>241</v>
      </c>
      <c r="C548" s="13">
        <v>7154</v>
      </c>
      <c r="D548" s="13">
        <v>1</v>
      </c>
      <c r="E548" s="13">
        <v>594</v>
      </c>
      <c r="F548" s="13">
        <v>1597</v>
      </c>
      <c r="G548" s="13">
        <v>1892</v>
      </c>
      <c r="H548" s="13">
        <v>1744</v>
      </c>
      <c r="I548" s="13">
        <v>1104</v>
      </c>
      <c r="J548" s="13">
        <v>222</v>
      </c>
    </row>
    <row r="549" spans="1:10" x14ac:dyDescent="0.25">
      <c r="A549" s="11">
        <v>2007</v>
      </c>
      <c r="B549" s="11" t="s">
        <v>242</v>
      </c>
      <c r="C549" s="13">
        <v>2332</v>
      </c>
      <c r="D549" s="13">
        <v>0</v>
      </c>
      <c r="E549" s="13">
        <v>172</v>
      </c>
      <c r="F549" s="13">
        <v>431</v>
      </c>
      <c r="G549" s="13">
        <v>630</v>
      </c>
      <c r="H549" s="13">
        <v>588</v>
      </c>
      <c r="I549" s="13">
        <v>419</v>
      </c>
      <c r="J549" s="13">
        <v>92</v>
      </c>
    </row>
    <row r="550" spans="1:10" x14ac:dyDescent="0.25">
      <c r="A550" s="11">
        <v>2007</v>
      </c>
      <c r="B550" s="11" t="s">
        <v>243</v>
      </c>
      <c r="C550" s="13">
        <v>857</v>
      </c>
      <c r="D550" s="13">
        <v>0</v>
      </c>
      <c r="E550" s="13">
        <v>67</v>
      </c>
      <c r="F550" s="13">
        <v>194</v>
      </c>
      <c r="G550" s="13">
        <v>213</v>
      </c>
      <c r="H550" s="13">
        <v>228</v>
      </c>
      <c r="I550" s="13">
        <v>124</v>
      </c>
      <c r="J550" s="13">
        <v>31</v>
      </c>
    </row>
    <row r="551" spans="1:10" x14ac:dyDescent="0.25">
      <c r="A551" s="11">
        <v>2007</v>
      </c>
      <c r="B551" s="11" t="s">
        <v>244</v>
      </c>
      <c r="C551" s="13">
        <v>937</v>
      </c>
      <c r="D551" s="13">
        <v>0</v>
      </c>
      <c r="E551" s="13">
        <v>64</v>
      </c>
      <c r="F551" s="13">
        <v>165</v>
      </c>
      <c r="G551" s="13">
        <v>245</v>
      </c>
      <c r="H551" s="13">
        <v>243</v>
      </c>
      <c r="I551" s="13">
        <v>179</v>
      </c>
      <c r="J551" s="13">
        <v>41</v>
      </c>
    </row>
    <row r="552" spans="1:10" x14ac:dyDescent="0.25">
      <c r="A552" s="11">
        <v>2007</v>
      </c>
      <c r="B552" s="11" t="s">
        <v>245</v>
      </c>
      <c r="C552" s="13">
        <v>1001</v>
      </c>
      <c r="D552" s="13">
        <v>0</v>
      </c>
      <c r="E552" s="13">
        <v>77</v>
      </c>
      <c r="F552" s="13">
        <v>207</v>
      </c>
      <c r="G552" s="13">
        <v>272</v>
      </c>
      <c r="H552" s="13">
        <v>237</v>
      </c>
      <c r="I552" s="13">
        <v>175</v>
      </c>
      <c r="J552" s="13">
        <v>33</v>
      </c>
    </row>
    <row r="553" spans="1:10" x14ac:dyDescent="0.25">
      <c r="A553" s="11">
        <v>2007</v>
      </c>
      <c r="B553" s="11" t="s">
        <v>246</v>
      </c>
      <c r="C553" s="13">
        <v>263</v>
      </c>
      <c r="D553" s="13">
        <v>1</v>
      </c>
      <c r="E553" s="13">
        <v>11</v>
      </c>
      <c r="F553" s="13">
        <v>40</v>
      </c>
      <c r="G553" s="13">
        <v>65</v>
      </c>
      <c r="H553" s="13">
        <v>83</v>
      </c>
      <c r="I553" s="13">
        <v>55</v>
      </c>
      <c r="J553" s="13">
        <v>8</v>
      </c>
    </row>
    <row r="554" spans="1:10" x14ac:dyDescent="0.25">
      <c r="A554" s="11">
        <v>2007</v>
      </c>
      <c r="B554" s="11" t="s">
        <v>247</v>
      </c>
      <c r="C554" s="13">
        <v>1528</v>
      </c>
      <c r="D554" s="13">
        <v>0</v>
      </c>
      <c r="E554" s="13">
        <v>169</v>
      </c>
      <c r="F554" s="13">
        <v>338</v>
      </c>
      <c r="G554" s="13">
        <v>403</v>
      </c>
      <c r="H554" s="13">
        <v>352</v>
      </c>
      <c r="I554" s="13">
        <v>222</v>
      </c>
      <c r="J554" s="13">
        <v>44</v>
      </c>
    </row>
    <row r="555" spans="1:10" x14ac:dyDescent="0.25">
      <c r="A555" s="11">
        <v>2007</v>
      </c>
      <c r="B555" s="11" t="s">
        <v>248</v>
      </c>
      <c r="C555" s="13">
        <v>4045</v>
      </c>
      <c r="D555" s="13">
        <v>3</v>
      </c>
      <c r="E555" s="13">
        <v>376</v>
      </c>
      <c r="F555" s="13">
        <v>830</v>
      </c>
      <c r="G555" s="13">
        <v>1141</v>
      </c>
      <c r="H555" s="13">
        <v>1014</v>
      </c>
      <c r="I555" s="13">
        <v>584</v>
      </c>
      <c r="J555" s="13">
        <v>97</v>
      </c>
    </row>
    <row r="556" spans="1:10" x14ac:dyDescent="0.25">
      <c r="A556" s="11">
        <v>2007</v>
      </c>
      <c r="B556" s="11" t="s">
        <v>249</v>
      </c>
      <c r="C556" s="13">
        <v>190</v>
      </c>
      <c r="D556" s="13">
        <v>0</v>
      </c>
      <c r="E556" s="13">
        <v>15</v>
      </c>
      <c r="F556" s="13">
        <v>19</v>
      </c>
      <c r="G556" s="13">
        <v>46</v>
      </c>
      <c r="H556" s="13">
        <v>65</v>
      </c>
      <c r="I556" s="13">
        <v>36</v>
      </c>
      <c r="J556" s="13">
        <v>9</v>
      </c>
    </row>
    <row r="557" spans="1:10" x14ac:dyDescent="0.25">
      <c r="A557" s="11">
        <v>2007</v>
      </c>
      <c r="B557" s="11" t="s">
        <v>250</v>
      </c>
      <c r="C557" s="13">
        <v>1391</v>
      </c>
      <c r="D557" s="13">
        <v>4</v>
      </c>
      <c r="E557" s="13">
        <v>83</v>
      </c>
      <c r="F557" s="13">
        <v>239</v>
      </c>
      <c r="G557" s="13">
        <v>327</v>
      </c>
      <c r="H557" s="13">
        <v>400</v>
      </c>
      <c r="I557" s="13">
        <v>286</v>
      </c>
      <c r="J557" s="13">
        <v>52</v>
      </c>
    </row>
    <row r="558" spans="1:10" x14ac:dyDescent="0.25">
      <c r="A558" s="11">
        <v>2007</v>
      </c>
      <c r="B558" s="11" t="s">
        <v>251</v>
      </c>
      <c r="C558" s="13">
        <v>1898</v>
      </c>
      <c r="D558" s="13">
        <v>0</v>
      </c>
      <c r="E558" s="13">
        <v>139</v>
      </c>
      <c r="F558" s="13">
        <v>371</v>
      </c>
      <c r="G558" s="13">
        <v>486</v>
      </c>
      <c r="H558" s="13">
        <v>508</v>
      </c>
      <c r="I558" s="13">
        <v>322</v>
      </c>
      <c r="J558" s="13">
        <v>72</v>
      </c>
    </row>
    <row r="559" spans="1:10" x14ac:dyDescent="0.25">
      <c r="A559" s="11">
        <v>2007</v>
      </c>
      <c r="B559" s="11" t="s">
        <v>252</v>
      </c>
      <c r="C559" s="13">
        <v>1170</v>
      </c>
      <c r="D559" s="13">
        <v>2</v>
      </c>
      <c r="E559" s="13">
        <v>78</v>
      </c>
      <c r="F559" s="13">
        <v>190</v>
      </c>
      <c r="G559" s="13">
        <v>283</v>
      </c>
      <c r="H559" s="13">
        <v>332</v>
      </c>
      <c r="I559" s="13">
        <v>236</v>
      </c>
      <c r="J559" s="13">
        <v>49</v>
      </c>
    </row>
    <row r="560" spans="1:10" x14ac:dyDescent="0.25">
      <c r="A560" s="11">
        <v>2007</v>
      </c>
      <c r="B560" s="11" t="s">
        <v>253</v>
      </c>
      <c r="C560" s="13">
        <v>244</v>
      </c>
      <c r="D560" s="13">
        <v>1</v>
      </c>
      <c r="E560" s="13">
        <v>11</v>
      </c>
      <c r="F560" s="13">
        <v>27</v>
      </c>
      <c r="G560" s="13">
        <v>66</v>
      </c>
      <c r="H560" s="13">
        <v>77</v>
      </c>
      <c r="I560" s="13">
        <v>54</v>
      </c>
      <c r="J560" s="13">
        <v>8</v>
      </c>
    </row>
    <row r="561" spans="1:10" x14ac:dyDescent="0.25">
      <c r="A561" s="11">
        <v>2007</v>
      </c>
      <c r="B561" s="11" t="s">
        <v>254</v>
      </c>
      <c r="C561" s="13">
        <v>1029</v>
      </c>
      <c r="D561" s="13">
        <v>1</v>
      </c>
      <c r="E561" s="13">
        <v>93</v>
      </c>
      <c r="F561" s="13">
        <v>200</v>
      </c>
      <c r="G561" s="13">
        <v>256</v>
      </c>
      <c r="H561" s="13">
        <v>280</v>
      </c>
      <c r="I561" s="13">
        <v>178</v>
      </c>
      <c r="J561" s="13">
        <v>21</v>
      </c>
    </row>
    <row r="562" spans="1:10" x14ac:dyDescent="0.25">
      <c r="A562" s="11">
        <v>2007</v>
      </c>
      <c r="B562" s="11" t="s">
        <v>255</v>
      </c>
      <c r="C562" s="13">
        <v>3452</v>
      </c>
      <c r="D562" s="13">
        <v>6</v>
      </c>
      <c r="E562" s="13">
        <v>220</v>
      </c>
      <c r="F562" s="13">
        <v>597</v>
      </c>
      <c r="G562" s="13">
        <v>895</v>
      </c>
      <c r="H562" s="13">
        <v>998</v>
      </c>
      <c r="I562" s="13">
        <v>628</v>
      </c>
      <c r="J562" s="13">
        <v>108</v>
      </c>
    </row>
    <row r="563" spans="1:10" x14ac:dyDescent="0.25">
      <c r="A563" s="11">
        <v>2007</v>
      </c>
      <c r="B563" s="11" t="s">
        <v>256</v>
      </c>
      <c r="C563" s="13">
        <v>878</v>
      </c>
      <c r="D563" s="13">
        <v>2</v>
      </c>
      <c r="E563" s="13">
        <v>42</v>
      </c>
      <c r="F563" s="13">
        <v>136</v>
      </c>
      <c r="G563" s="13">
        <v>196</v>
      </c>
      <c r="H563" s="13">
        <v>261</v>
      </c>
      <c r="I563" s="13">
        <v>202</v>
      </c>
      <c r="J563" s="13">
        <v>39</v>
      </c>
    </row>
    <row r="564" spans="1:10" x14ac:dyDescent="0.25">
      <c r="A564" s="11">
        <v>2007</v>
      </c>
      <c r="B564" s="11" t="s">
        <v>257</v>
      </c>
      <c r="C564" s="13">
        <v>1105</v>
      </c>
      <c r="D564" s="13">
        <v>0</v>
      </c>
      <c r="E564" s="13">
        <v>100</v>
      </c>
      <c r="F564" s="13">
        <v>252</v>
      </c>
      <c r="G564" s="13">
        <v>306</v>
      </c>
      <c r="H564" s="13">
        <v>259</v>
      </c>
      <c r="I564" s="13">
        <v>155</v>
      </c>
      <c r="J564" s="13">
        <v>33</v>
      </c>
    </row>
    <row r="565" spans="1:10" x14ac:dyDescent="0.25">
      <c r="A565" s="11">
        <v>2007</v>
      </c>
      <c r="B565" s="11" t="s">
        <v>258</v>
      </c>
      <c r="C565" s="13">
        <v>2284</v>
      </c>
      <c r="D565" s="13">
        <v>1</v>
      </c>
      <c r="E565" s="13">
        <v>180</v>
      </c>
      <c r="F565" s="13">
        <v>414</v>
      </c>
      <c r="G565" s="13">
        <v>587</v>
      </c>
      <c r="H565" s="13">
        <v>623</v>
      </c>
      <c r="I565" s="13">
        <v>402</v>
      </c>
      <c r="J565" s="13">
        <v>77</v>
      </c>
    </row>
    <row r="566" spans="1:10" x14ac:dyDescent="0.25">
      <c r="A566" s="11">
        <v>2008</v>
      </c>
      <c r="B566" s="11" t="s">
        <v>11</v>
      </c>
      <c r="C566" s="13">
        <v>60041</v>
      </c>
      <c r="D566" s="13">
        <v>26</v>
      </c>
      <c r="E566" s="13">
        <v>4279</v>
      </c>
      <c r="F566" s="13">
        <v>11373</v>
      </c>
      <c r="G566" s="13">
        <v>16171</v>
      </c>
      <c r="H566" s="13">
        <v>16028</v>
      </c>
      <c r="I566" s="13">
        <v>10025</v>
      </c>
      <c r="J566" s="13">
        <v>2139</v>
      </c>
    </row>
    <row r="567" spans="1:10" x14ac:dyDescent="0.25">
      <c r="A567" s="11">
        <v>2008</v>
      </c>
      <c r="B567" s="11" t="s">
        <v>227</v>
      </c>
      <c r="C567" s="13">
        <v>2596</v>
      </c>
      <c r="D567" s="13">
        <v>0</v>
      </c>
      <c r="E567" s="13">
        <v>131</v>
      </c>
      <c r="F567" s="13">
        <v>517</v>
      </c>
      <c r="G567" s="13">
        <v>772</v>
      </c>
      <c r="H567" s="13">
        <v>720</v>
      </c>
      <c r="I567" s="13">
        <v>377</v>
      </c>
      <c r="J567" s="13">
        <v>79</v>
      </c>
    </row>
    <row r="568" spans="1:10" x14ac:dyDescent="0.25">
      <c r="A568" s="11">
        <v>2008</v>
      </c>
      <c r="B568" s="11" t="s">
        <v>228</v>
      </c>
      <c r="C568" s="13">
        <v>2771</v>
      </c>
      <c r="D568" s="13">
        <v>0</v>
      </c>
      <c r="E568" s="13">
        <v>111</v>
      </c>
      <c r="F568" s="13">
        <v>377</v>
      </c>
      <c r="G568" s="13">
        <v>759</v>
      </c>
      <c r="H568" s="13">
        <v>874</v>
      </c>
      <c r="I568" s="13">
        <v>534</v>
      </c>
      <c r="J568" s="13">
        <v>116</v>
      </c>
    </row>
    <row r="569" spans="1:10" x14ac:dyDescent="0.25">
      <c r="A569" s="11">
        <v>2008</v>
      </c>
      <c r="B569" s="11" t="s">
        <v>229</v>
      </c>
      <c r="C569" s="13">
        <v>1194</v>
      </c>
      <c r="D569" s="13">
        <v>0</v>
      </c>
      <c r="E569" s="13">
        <v>88</v>
      </c>
      <c r="F569" s="13">
        <v>209</v>
      </c>
      <c r="G569" s="13">
        <v>335</v>
      </c>
      <c r="H569" s="13">
        <v>332</v>
      </c>
      <c r="I569" s="13">
        <v>197</v>
      </c>
      <c r="J569" s="13">
        <v>33</v>
      </c>
    </row>
    <row r="570" spans="1:10" x14ac:dyDescent="0.25">
      <c r="A570" s="11">
        <v>2008</v>
      </c>
      <c r="B570" s="11" t="s">
        <v>230</v>
      </c>
      <c r="C570" s="13">
        <v>807</v>
      </c>
      <c r="D570" s="13">
        <v>0</v>
      </c>
      <c r="E570" s="13">
        <v>60</v>
      </c>
      <c r="F570" s="13">
        <v>155</v>
      </c>
      <c r="G570" s="13">
        <v>185</v>
      </c>
      <c r="H570" s="13">
        <v>209</v>
      </c>
      <c r="I570" s="13">
        <v>156</v>
      </c>
      <c r="J570" s="13">
        <v>42</v>
      </c>
    </row>
    <row r="571" spans="1:10" x14ac:dyDescent="0.25">
      <c r="A571" s="11">
        <v>2008</v>
      </c>
      <c r="B571" s="11" t="s">
        <v>231</v>
      </c>
      <c r="C571" s="13">
        <v>5440</v>
      </c>
      <c r="D571" s="13">
        <v>2</v>
      </c>
      <c r="E571" s="13">
        <v>288</v>
      </c>
      <c r="F571" s="13">
        <v>789</v>
      </c>
      <c r="G571" s="13">
        <v>1248</v>
      </c>
      <c r="H571" s="13">
        <v>1676</v>
      </c>
      <c r="I571" s="13">
        <v>1180</v>
      </c>
      <c r="J571" s="13">
        <v>257</v>
      </c>
    </row>
    <row r="572" spans="1:10" x14ac:dyDescent="0.25">
      <c r="A572" s="11">
        <v>2008</v>
      </c>
      <c r="B572" s="11" t="s">
        <v>232</v>
      </c>
      <c r="C572" s="13">
        <v>644</v>
      </c>
      <c r="D572" s="13">
        <v>1</v>
      </c>
      <c r="E572" s="13">
        <v>62</v>
      </c>
      <c r="F572" s="13">
        <v>149</v>
      </c>
      <c r="G572" s="13">
        <v>162</v>
      </c>
      <c r="H572" s="13">
        <v>185</v>
      </c>
      <c r="I572" s="13">
        <v>71</v>
      </c>
      <c r="J572" s="13">
        <v>14</v>
      </c>
    </row>
    <row r="573" spans="1:10" x14ac:dyDescent="0.25">
      <c r="A573" s="11">
        <v>2008</v>
      </c>
      <c r="B573" s="11" t="s">
        <v>233</v>
      </c>
      <c r="C573" s="13">
        <v>1430</v>
      </c>
      <c r="D573" s="13">
        <v>0</v>
      </c>
      <c r="E573" s="13">
        <v>123</v>
      </c>
      <c r="F573" s="13">
        <v>310</v>
      </c>
      <c r="G573" s="13">
        <v>423</v>
      </c>
      <c r="H573" s="13">
        <v>332</v>
      </c>
      <c r="I573" s="13">
        <v>206</v>
      </c>
      <c r="J573" s="13">
        <v>36</v>
      </c>
    </row>
    <row r="574" spans="1:10" x14ac:dyDescent="0.25">
      <c r="A574" s="11">
        <v>2008</v>
      </c>
      <c r="B574" s="11" t="s">
        <v>234</v>
      </c>
      <c r="C574" s="13">
        <v>1801</v>
      </c>
      <c r="D574" s="13">
        <v>0</v>
      </c>
      <c r="E574" s="13">
        <v>212</v>
      </c>
      <c r="F574" s="13">
        <v>463</v>
      </c>
      <c r="G574" s="13">
        <v>501</v>
      </c>
      <c r="H574" s="13">
        <v>385</v>
      </c>
      <c r="I574" s="13">
        <v>200</v>
      </c>
      <c r="J574" s="13">
        <v>40</v>
      </c>
    </row>
    <row r="575" spans="1:10" x14ac:dyDescent="0.25">
      <c r="A575" s="11">
        <v>2008</v>
      </c>
      <c r="B575" s="11" t="s">
        <v>235</v>
      </c>
      <c r="C575" s="13">
        <v>1371</v>
      </c>
      <c r="D575" s="13">
        <v>0</v>
      </c>
      <c r="E575" s="13">
        <v>128</v>
      </c>
      <c r="F575" s="13">
        <v>321</v>
      </c>
      <c r="G575" s="13">
        <v>388</v>
      </c>
      <c r="H575" s="13">
        <v>315</v>
      </c>
      <c r="I575" s="13">
        <v>187</v>
      </c>
      <c r="J575" s="13">
        <v>32</v>
      </c>
    </row>
    <row r="576" spans="1:10" x14ac:dyDescent="0.25">
      <c r="A576" s="11">
        <v>2008</v>
      </c>
      <c r="B576" s="11" t="s">
        <v>236</v>
      </c>
      <c r="C576" s="13">
        <v>970</v>
      </c>
      <c r="D576" s="13">
        <v>0</v>
      </c>
      <c r="E576" s="13">
        <v>48</v>
      </c>
      <c r="F576" s="13">
        <v>97</v>
      </c>
      <c r="G576" s="13">
        <v>212</v>
      </c>
      <c r="H576" s="13">
        <v>345</v>
      </c>
      <c r="I576" s="13">
        <v>228</v>
      </c>
      <c r="J576" s="13">
        <v>40</v>
      </c>
    </row>
    <row r="577" spans="1:10" x14ac:dyDescent="0.25">
      <c r="A577" s="11">
        <v>2008</v>
      </c>
      <c r="B577" s="11" t="s">
        <v>237</v>
      </c>
      <c r="C577" s="13">
        <v>1182</v>
      </c>
      <c r="D577" s="13">
        <v>0</v>
      </c>
      <c r="E577" s="13">
        <v>73</v>
      </c>
      <c r="F577" s="13">
        <v>182</v>
      </c>
      <c r="G577" s="13">
        <v>260</v>
      </c>
      <c r="H577" s="13">
        <v>344</v>
      </c>
      <c r="I577" s="13">
        <v>257</v>
      </c>
      <c r="J577" s="13">
        <v>66</v>
      </c>
    </row>
    <row r="578" spans="1:10" x14ac:dyDescent="0.25">
      <c r="A578" s="11">
        <v>2008</v>
      </c>
      <c r="B578" s="11" t="s">
        <v>238</v>
      </c>
      <c r="C578" s="13">
        <v>868</v>
      </c>
      <c r="D578" s="13">
        <v>0</v>
      </c>
      <c r="E578" s="13">
        <v>41</v>
      </c>
      <c r="F578" s="13">
        <v>86</v>
      </c>
      <c r="G578" s="13">
        <v>174</v>
      </c>
      <c r="H578" s="13">
        <v>295</v>
      </c>
      <c r="I578" s="13">
        <v>224</v>
      </c>
      <c r="J578" s="13">
        <v>48</v>
      </c>
    </row>
    <row r="579" spans="1:10" x14ac:dyDescent="0.25">
      <c r="A579" s="11">
        <v>2008</v>
      </c>
      <c r="B579" s="11" t="s">
        <v>239</v>
      </c>
      <c r="C579" s="13">
        <v>1949</v>
      </c>
      <c r="D579" s="13">
        <v>3</v>
      </c>
      <c r="E579" s="13">
        <v>153</v>
      </c>
      <c r="F579" s="13">
        <v>367</v>
      </c>
      <c r="G579" s="13">
        <v>541</v>
      </c>
      <c r="H579" s="13">
        <v>528</v>
      </c>
      <c r="I579" s="13">
        <v>298</v>
      </c>
      <c r="J579" s="13">
        <v>59</v>
      </c>
    </row>
    <row r="580" spans="1:10" x14ac:dyDescent="0.25">
      <c r="A580" s="11">
        <v>2008</v>
      </c>
      <c r="B580" s="11" t="s">
        <v>240</v>
      </c>
      <c r="C580" s="13">
        <v>4349</v>
      </c>
      <c r="D580" s="13">
        <v>1</v>
      </c>
      <c r="E580" s="13">
        <v>373</v>
      </c>
      <c r="F580" s="13">
        <v>885</v>
      </c>
      <c r="G580" s="13">
        <v>1235</v>
      </c>
      <c r="H580" s="13">
        <v>1092</v>
      </c>
      <c r="I580" s="13">
        <v>615</v>
      </c>
      <c r="J580" s="13">
        <v>148</v>
      </c>
    </row>
    <row r="581" spans="1:10" x14ac:dyDescent="0.25">
      <c r="A581" s="11">
        <v>2008</v>
      </c>
      <c r="B581" s="11" t="s">
        <v>241</v>
      </c>
      <c r="C581" s="13">
        <v>7371</v>
      </c>
      <c r="D581" s="13">
        <v>2</v>
      </c>
      <c r="E581" s="13">
        <v>555</v>
      </c>
      <c r="F581" s="13">
        <v>1605</v>
      </c>
      <c r="G581" s="13">
        <v>2143</v>
      </c>
      <c r="H581" s="13">
        <v>1745</v>
      </c>
      <c r="I581" s="13">
        <v>1070</v>
      </c>
      <c r="J581" s="13">
        <v>251</v>
      </c>
    </row>
    <row r="582" spans="1:10" x14ac:dyDescent="0.25">
      <c r="A582" s="11">
        <v>2008</v>
      </c>
      <c r="B582" s="11" t="s">
        <v>242</v>
      </c>
      <c r="C582" s="13">
        <v>2482</v>
      </c>
      <c r="D582" s="13">
        <v>1</v>
      </c>
      <c r="E582" s="13">
        <v>175</v>
      </c>
      <c r="F582" s="13">
        <v>483</v>
      </c>
      <c r="G582" s="13">
        <v>683</v>
      </c>
      <c r="H582" s="13">
        <v>618</v>
      </c>
      <c r="I582" s="13">
        <v>409</v>
      </c>
      <c r="J582" s="13">
        <v>113</v>
      </c>
    </row>
    <row r="583" spans="1:10" x14ac:dyDescent="0.25">
      <c r="A583" s="11">
        <v>2008</v>
      </c>
      <c r="B583" s="11" t="s">
        <v>243</v>
      </c>
      <c r="C583" s="13">
        <v>860</v>
      </c>
      <c r="D583" s="13">
        <v>0</v>
      </c>
      <c r="E583" s="13">
        <v>91</v>
      </c>
      <c r="F583" s="13">
        <v>181</v>
      </c>
      <c r="G583" s="13">
        <v>234</v>
      </c>
      <c r="H583" s="13">
        <v>209</v>
      </c>
      <c r="I583" s="13">
        <v>123</v>
      </c>
      <c r="J583" s="13">
        <v>22</v>
      </c>
    </row>
    <row r="584" spans="1:10" x14ac:dyDescent="0.25">
      <c r="A584" s="11">
        <v>2008</v>
      </c>
      <c r="B584" s="11" t="s">
        <v>244</v>
      </c>
      <c r="C584" s="13">
        <v>938</v>
      </c>
      <c r="D584" s="13">
        <v>0</v>
      </c>
      <c r="E584" s="13">
        <v>60</v>
      </c>
      <c r="F584" s="13">
        <v>194</v>
      </c>
      <c r="G584" s="13">
        <v>250</v>
      </c>
      <c r="H584" s="13">
        <v>241</v>
      </c>
      <c r="I584" s="13">
        <v>163</v>
      </c>
      <c r="J584" s="13">
        <v>30</v>
      </c>
    </row>
    <row r="585" spans="1:10" x14ac:dyDescent="0.25">
      <c r="A585" s="11">
        <v>2008</v>
      </c>
      <c r="B585" s="11" t="s">
        <v>245</v>
      </c>
      <c r="C585" s="13">
        <v>956</v>
      </c>
      <c r="D585" s="13">
        <v>0</v>
      </c>
      <c r="E585" s="13">
        <v>53</v>
      </c>
      <c r="F585" s="13">
        <v>203</v>
      </c>
      <c r="G585" s="13">
        <v>256</v>
      </c>
      <c r="H585" s="13">
        <v>259</v>
      </c>
      <c r="I585" s="13">
        <v>157</v>
      </c>
      <c r="J585" s="13">
        <v>28</v>
      </c>
    </row>
    <row r="586" spans="1:10" x14ac:dyDescent="0.25">
      <c r="A586" s="11">
        <v>2008</v>
      </c>
      <c r="B586" s="11" t="s">
        <v>246</v>
      </c>
      <c r="C586" s="13">
        <v>257</v>
      </c>
      <c r="D586" s="13">
        <v>4</v>
      </c>
      <c r="E586" s="13">
        <v>20</v>
      </c>
      <c r="F586" s="13">
        <v>35</v>
      </c>
      <c r="G586" s="13">
        <v>58</v>
      </c>
      <c r="H586" s="13">
        <v>73</v>
      </c>
      <c r="I586" s="13">
        <v>55</v>
      </c>
      <c r="J586" s="13">
        <v>12</v>
      </c>
    </row>
    <row r="587" spans="1:10" x14ac:dyDescent="0.25">
      <c r="A587" s="11">
        <v>2008</v>
      </c>
      <c r="B587" s="11" t="s">
        <v>247</v>
      </c>
      <c r="C587" s="13">
        <v>1481</v>
      </c>
      <c r="D587" s="13">
        <v>0</v>
      </c>
      <c r="E587" s="13">
        <v>143</v>
      </c>
      <c r="F587" s="13">
        <v>324</v>
      </c>
      <c r="G587" s="13">
        <v>427</v>
      </c>
      <c r="H587" s="13">
        <v>343</v>
      </c>
      <c r="I587" s="13">
        <v>199</v>
      </c>
      <c r="J587" s="13">
        <v>45</v>
      </c>
    </row>
    <row r="588" spans="1:10" x14ac:dyDescent="0.25">
      <c r="A588" s="11">
        <v>2008</v>
      </c>
      <c r="B588" s="11" t="s">
        <v>248</v>
      </c>
      <c r="C588" s="13">
        <v>4182</v>
      </c>
      <c r="D588" s="13">
        <v>0</v>
      </c>
      <c r="E588" s="13">
        <v>321</v>
      </c>
      <c r="F588" s="13">
        <v>885</v>
      </c>
      <c r="G588" s="13">
        <v>1156</v>
      </c>
      <c r="H588" s="13">
        <v>1095</v>
      </c>
      <c r="I588" s="13">
        <v>599</v>
      </c>
      <c r="J588" s="13">
        <v>126</v>
      </c>
    </row>
    <row r="589" spans="1:10" x14ac:dyDescent="0.25">
      <c r="A589" s="11">
        <v>2008</v>
      </c>
      <c r="B589" s="11" t="s">
        <v>249</v>
      </c>
      <c r="C589" s="13">
        <v>214</v>
      </c>
      <c r="D589" s="13">
        <v>0</v>
      </c>
      <c r="E589" s="13">
        <v>15</v>
      </c>
      <c r="F589" s="13">
        <v>41</v>
      </c>
      <c r="G589" s="13">
        <v>57</v>
      </c>
      <c r="H589" s="13">
        <v>48</v>
      </c>
      <c r="I589" s="13">
        <v>42</v>
      </c>
      <c r="J589" s="13">
        <v>11</v>
      </c>
    </row>
    <row r="590" spans="1:10" x14ac:dyDescent="0.25">
      <c r="A590" s="11">
        <v>2008</v>
      </c>
      <c r="B590" s="11" t="s">
        <v>250</v>
      </c>
      <c r="C590" s="13">
        <v>1443</v>
      </c>
      <c r="D590" s="13">
        <v>1</v>
      </c>
      <c r="E590" s="13">
        <v>96</v>
      </c>
      <c r="F590" s="13">
        <v>244</v>
      </c>
      <c r="G590" s="13">
        <v>383</v>
      </c>
      <c r="H590" s="13">
        <v>392</v>
      </c>
      <c r="I590" s="13">
        <v>267</v>
      </c>
      <c r="J590" s="13">
        <v>60</v>
      </c>
    </row>
    <row r="591" spans="1:10" x14ac:dyDescent="0.25">
      <c r="A591" s="11">
        <v>2008</v>
      </c>
      <c r="B591" s="11" t="s">
        <v>251</v>
      </c>
      <c r="C591" s="13">
        <v>2012</v>
      </c>
      <c r="D591" s="13">
        <v>0</v>
      </c>
      <c r="E591" s="13">
        <v>143</v>
      </c>
      <c r="F591" s="13">
        <v>381</v>
      </c>
      <c r="G591" s="13">
        <v>531</v>
      </c>
      <c r="H591" s="13">
        <v>527</v>
      </c>
      <c r="I591" s="13">
        <v>355</v>
      </c>
      <c r="J591" s="13">
        <v>75</v>
      </c>
    </row>
    <row r="592" spans="1:10" x14ac:dyDescent="0.25">
      <c r="A592" s="11">
        <v>2008</v>
      </c>
      <c r="B592" s="11" t="s">
        <v>252</v>
      </c>
      <c r="C592" s="13">
        <v>1138</v>
      </c>
      <c r="D592" s="13">
        <v>1</v>
      </c>
      <c r="E592" s="13">
        <v>61</v>
      </c>
      <c r="F592" s="13">
        <v>179</v>
      </c>
      <c r="G592" s="13">
        <v>278</v>
      </c>
      <c r="H592" s="13">
        <v>331</v>
      </c>
      <c r="I592" s="13">
        <v>240</v>
      </c>
      <c r="J592" s="13">
        <v>48</v>
      </c>
    </row>
    <row r="593" spans="1:10" x14ac:dyDescent="0.25">
      <c r="A593" s="11">
        <v>2008</v>
      </c>
      <c r="B593" s="11" t="s">
        <v>253</v>
      </c>
      <c r="C593" s="13">
        <v>278</v>
      </c>
      <c r="D593" s="13">
        <v>0</v>
      </c>
      <c r="E593" s="13">
        <v>12</v>
      </c>
      <c r="F593" s="13">
        <v>45</v>
      </c>
      <c r="G593" s="13">
        <v>66</v>
      </c>
      <c r="H593" s="13">
        <v>95</v>
      </c>
      <c r="I593" s="13">
        <v>54</v>
      </c>
      <c r="J593" s="13">
        <v>6</v>
      </c>
    </row>
    <row r="594" spans="1:10" x14ac:dyDescent="0.25">
      <c r="A594" s="11">
        <v>2008</v>
      </c>
      <c r="B594" s="11" t="s">
        <v>254</v>
      </c>
      <c r="C594" s="13">
        <v>1067</v>
      </c>
      <c r="D594" s="13">
        <v>2</v>
      </c>
      <c r="E594" s="13">
        <v>96</v>
      </c>
      <c r="F594" s="13">
        <v>201</v>
      </c>
      <c r="G594" s="13">
        <v>274</v>
      </c>
      <c r="H594" s="13">
        <v>261</v>
      </c>
      <c r="I594" s="13">
        <v>197</v>
      </c>
      <c r="J594" s="13">
        <v>36</v>
      </c>
    </row>
    <row r="595" spans="1:10" x14ac:dyDescent="0.25">
      <c r="A595" s="11">
        <v>2008</v>
      </c>
      <c r="B595" s="11" t="s">
        <v>255</v>
      </c>
      <c r="C595" s="13">
        <v>3689</v>
      </c>
      <c r="D595" s="13">
        <v>7</v>
      </c>
      <c r="E595" s="13">
        <v>246</v>
      </c>
      <c r="F595" s="13">
        <v>670</v>
      </c>
      <c r="G595" s="13">
        <v>1027</v>
      </c>
      <c r="H595" s="13">
        <v>992</v>
      </c>
      <c r="I595" s="13">
        <v>630</v>
      </c>
      <c r="J595" s="13">
        <v>117</v>
      </c>
    </row>
    <row r="596" spans="1:10" x14ac:dyDescent="0.25">
      <c r="A596" s="11">
        <v>2008</v>
      </c>
      <c r="B596" s="11" t="s">
        <v>256</v>
      </c>
      <c r="C596" s="13">
        <v>862</v>
      </c>
      <c r="D596" s="13">
        <v>0</v>
      </c>
      <c r="E596" s="13">
        <v>39</v>
      </c>
      <c r="F596" s="13">
        <v>114</v>
      </c>
      <c r="G596" s="13">
        <v>199</v>
      </c>
      <c r="H596" s="13">
        <v>253</v>
      </c>
      <c r="I596" s="13">
        <v>217</v>
      </c>
      <c r="J596" s="13">
        <v>40</v>
      </c>
    </row>
    <row r="597" spans="1:10" x14ac:dyDescent="0.25">
      <c r="A597" s="11">
        <v>2008</v>
      </c>
      <c r="B597" s="11" t="s">
        <v>257</v>
      </c>
      <c r="C597" s="13">
        <v>1104</v>
      </c>
      <c r="D597" s="13">
        <v>0</v>
      </c>
      <c r="E597" s="13">
        <v>111</v>
      </c>
      <c r="F597" s="13">
        <v>238</v>
      </c>
      <c r="G597" s="13">
        <v>333</v>
      </c>
      <c r="H597" s="13">
        <v>259</v>
      </c>
      <c r="I597" s="13">
        <v>133</v>
      </c>
      <c r="J597" s="13">
        <v>30</v>
      </c>
    </row>
    <row r="598" spans="1:10" x14ac:dyDescent="0.25">
      <c r="A598" s="11">
        <v>2008</v>
      </c>
      <c r="B598" s="11" t="s">
        <v>258</v>
      </c>
      <c r="C598" s="13">
        <v>2335</v>
      </c>
      <c r="D598" s="13">
        <v>1</v>
      </c>
      <c r="E598" s="13">
        <v>151</v>
      </c>
      <c r="F598" s="13">
        <v>443</v>
      </c>
      <c r="G598" s="13">
        <v>621</v>
      </c>
      <c r="H598" s="13">
        <v>655</v>
      </c>
      <c r="I598" s="13">
        <v>385</v>
      </c>
      <c r="J598" s="13">
        <v>79</v>
      </c>
    </row>
    <row r="599" spans="1:10" x14ac:dyDescent="0.25">
      <c r="A599" s="11">
        <v>2009</v>
      </c>
      <c r="B599" s="11" t="s">
        <v>11</v>
      </c>
      <c r="C599" s="13">
        <v>59046</v>
      </c>
      <c r="D599" s="13">
        <v>20</v>
      </c>
      <c r="E599" s="13">
        <v>3990</v>
      </c>
      <c r="F599" s="13">
        <v>11188</v>
      </c>
      <c r="G599" s="13">
        <v>16178</v>
      </c>
      <c r="H599" s="13">
        <v>15835</v>
      </c>
      <c r="I599" s="13">
        <v>9695</v>
      </c>
      <c r="J599" s="13">
        <v>2140</v>
      </c>
    </row>
    <row r="600" spans="1:10" x14ac:dyDescent="0.25">
      <c r="A600" s="11">
        <v>2009</v>
      </c>
      <c r="B600" s="11" t="s">
        <v>227</v>
      </c>
      <c r="C600" s="13">
        <v>2564</v>
      </c>
      <c r="D600" s="13">
        <v>0</v>
      </c>
      <c r="E600" s="13">
        <v>133</v>
      </c>
      <c r="F600" s="13">
        <v>442</v>
      </c>
      <c r="G600" s="13">
        <v>754</v>
      </c>
      <c r="H600" s="13">
        <v>764</v>
      </c>
      <c r="I600" s="13">
        <v>415</v>
      </c>
      <c r="J600" s="13">
        <v>56</v>
      </c>
    </row>
    <row r="601" spans="1:10" x14ac:dyDescent="0.25">
      <c r="A601" s="11">
        <v>2009</v>
      </c>
      <c r="B601" s="11" t="s">
        <v>228</v>
      </c>
      <c r="C601" s="13">
        <v>2903</v>
      </c>
      <c r="D601" s="13">
        <v>0</v>
      </c>
      <c r="E601" s="13">
        <v>118</v>
      </c>
      <c r="F601" s="13">
        <v>382</v>
      </c>
      <c r="G601" s="13">
        <v>814</v>
      </c>
      <c r="H601" s="13">
        <v>916</v>
      </c>
      <c r="I601" s="13">
        <v>551</v>
      </c>
      <c r="J601" s="13">
        <v>122</v>
      </c>
    </row>
    <row r="602" spans="1:10" x14ac:dyDescent="0.25">
      <c r="A602" s="11">
        <v>2009</v>
      </c>
      <c r="B602" s="11" t="s">
        <v>229</v>
      </c>
      <c r="C602" s="13">
        <v>1165</v>
      </c>
      <c r="D602" s="13">
        <v>0</v>
      </c>
      <c r="E602" s="13">
        <v>84</v>
      </c>
      <c r="F602" s="13">
        <v>228</v>
      </c>
      <c r="G602" s="13">
        <v>337</v>
      </c>
      <c r="H602" s="13">
        <v>303</v>
      </c>
      <c r="I602" s="13">
        <v>172</v>
      </c>
      <c r="J602" s="13">
        <v>41</v>
      </c>
    </row>
    <row r="603" spans="1:10" x14ac:dyDescent="0.25">
      <c r="A603" s="11">
        <v>2009</v>
      </c>
      <c r="B603" s="11" t="s">
        <v>230</v>
      </c>
      <c r="C603" s="13">
        <v>815</v>
      </c>
      <c r="D603" s="13">
        <v>1</v>
      </c>
      <c r="E603" s="13">
        <v>54</v>
      </c>
      <c r="F603" s="13">
        <v>145</v>
      </c>
      <c r="G603" s="13">
        <v>206</v>
      </c>
      <c r="H603" s="13">
        <v>214</v>
      </c>
      <c r="I603" s="13">
        <v>153</v>
      </c>
      <c r="J603" s="13">
        <v>42</v>
      </c>
    </row>
    <row r="604" spans="1:10" x14ac:dyDescent="0.25">
      <c r="A604" s="11">
        <v>2009</v>
      </c>
      <c r="B604" s="11" t="s">
        <v>231</v>
      </c>
      <c r="C604" s="13">
        <v>5475</v>
      </c>
      <c r="D604" s="13">
        <v>1</v>
      </c>
      <c r="E604" s="13">
        <v>254</v>
      </c>
      <c r="F604" s="13">
        <v>753</v>
      </c>
      <c r="G604" s="13">
        <v>1286</v>
      </c>
      <c r="H604" s="13">
        <v>1732</v>
      </c>
      <c r="I604" s="13">
        <v>1211</v>
      </c>
      <c r="J604" s="13">
        <v>238</v>
      </c>
    </row>
    <row r="605" spans="1:10" x14ac:dyDescent="0.25">
      <c r="A605" s="11">
        <v>2009</v>
      </c>
      <c r="B605" s="11" t="s">
        <v>232</v>
      </c>
      <c r="C605" s="13">
        <v>610</v>
      </c>
      <c r="D605" s="13">
        <v>0</v>
      </c>
      <c r="E605" s="13">
        <v>71</v>
      </c>
      <c r="F605" s="13">
        <v>136</v>
      </c>
      <c r="G605" s="13">
        <v>164</v>
      </c>
      <c r="H605" s="13">
        <v>134</v>
      </c>
      <c r="I605" s="13">
        <v>88</v>
      </c>
      <c r="J605" s="13">
        <v>17</v>
      </c>
    </row>
    <row r="606" spans="1:10" x14ac:dyDescent="0.25">
      <c r="A606" s="11">
        <v>2009</v>
      </c>
      <c r="B606" s="11" t="s">
        <v>233</v>
      </c>
      <c r="C606" s="13">
        <v>1507</v>
      </c>
      <c r="D606" s="13">
        <v>1</v>
      </c>
      <c r="E606" s="13">
        <v>133</v>
      </c>
      <c r="F606" s="13">
        <v>347</v>
      </c>
      <c r="G606" s="13">
        <v>430</v>
      </c>
      <c r="H606" s="13">
        <v>330</v>
      </c>
      <c r="I606" s="13">
        <v>208</v>
      </c>
      <c r="J606" s="13">
        <v>58</v>
      </c>
    </row>
    <row r="607" spans="1:10" x14ac:dyDescent="0.25">
      <c r="A607" s="11">
        <v>2009</v>
      </c>
      <c r="B607" s="11" t="s">
        <v>234</v>
      </c>
      <c r="C607" s="13">
        <v>1768</v>
      </c>
      <c r="D607" s="13">
        <v>0</v>
      </c>
      <c r="E607" s="13">
        <v>173</v>
      </c>
      <c r="F607" s="13">
        <v>453</v>
      </c>
      <c r="G607" s="13">
        <v>530</v>
      </c>
      <c r="H607" s="13">
        <v>367</v>
      </c>
      <c r="I607" s="13">
        <v>194</v>
      </c>
      <c r="J607" s="13">
        <v>51</v>
      </c>
    </row>
    <row r="608" spans="1:10" x14ac:dyDescent="0.25">
      <c r="A608" s="11">
        <v>2009</v>
      </c>
      <c r="B608" s="11" t="s">
        <v>235</v>
      </c>
      <c r="C608" s="13">
        <v>1362</v>
      </c>
      <c r="D608" s="13">
        <v>0</v>
      </c>
      <c r="E608" s="13">
        <v>118</v>
      </c>
      <c r="F608" s="13">
        <v>328</v>
      </c>
      <c r="G608" s="13">
        <v>371</v>
      </c>
      <c r="H608" s="13">
        <v>336</v>
      </c>
      <c r="I608" s="13">
        <v>176</v>
      </c>
      <c r="J608" s="13">
        <v>33</v>
      </c>
    </row>
    <row r="609" spans="1:10" x14ac:dyDescent="0.25">
      <c r="A609" s="11">
        <v>2009</v>
      </c>
      <c r="B609" s="11" t="s">
        <v>236</v>
      </c>
      <c r="C609" s="13">
        <v>929</v>
      </c>
      <c r="D609" s="13">
        <v>0</v>
      </c>
      <c r="E609" s="13">
        <v>47</v>
      </c>
      <c r="F609" s="13">
        <v>110</v>
      </c>
      <c r="G609" s="13">
        <v>207</v>
      </c>
      <c r="H609" s="13">
        <v>300</v>
      </c>
      <c r="I609" s="13">
        <v>211</v>
      </c>
      <c r="J609" s="13">
        <v>54</v>
      </c>
    </row>
    <row r="610" spans="1:10" x14ac:dyDescent="0.25">
      <c r="A610" s="11">
        <v>2009</v>
      </c>
      <c r="B610" s="11" t="s">
        <v>237</v>
      </c>
      <c r="C610" s="13">
        <v>1062</v>
      </c>
      <c r="D610" s="13">
        <v>0</v>
      </c>
      <c r="E610" s="13">
        <v>74</v>
      </c>
      <c r="F610" s="13">
        <v>176</v>
      </c>
      <c r="G610" s="13">
        <v>244</v>
      </c>
      <c r="H610" s="13">
        <v>282</v>
      </c>
      <c r="I610" s="13">
        <v>228</v>
      </c>
      <c r="J610" s="13">
        <v>58</v>
      </c>
    </row>
    <row r="611" spans="1:10" x14ac:dyDescent="0.25">
      <c r="A611" s="11">
        <v>2009</v>
      </c>
      <c r="B611" s="11" t="s">
        <v>238</v>
      </c>
      <c r="C611" s="13">
        <v>848</v>
      </c>
      <c r="D611" s="13">
        <v>2</v>
      </c>
      <c r="E611" s="13">
        <v>18</v>
      </c>
      <c r="F611" s="13">
        <v>94</v>
      </c>
      <c r="G611" s="13">
        <v>176</v>
      </c>
      <c r="H611" s="13">
        <v>289</v>
      </c>
      <c r="I611" s="13">
        <v>219</v>
      </c>
      <c r="J611" s="13">
        <v>50</v>
      </c>
    </row>
    <row r="612" spans="1:10" x14ac:dyDescent="0.25">
      <c r="A612" s="11">
        <v>2009</v>
      </c>
      <c r="B612" s="11" t="s">
        <v>239</v>
      </c>
      <c r="C612" s="13">
        <v>1874</v>
      </c>
      <c r="D612" s="13">
        <v>0</v>
      </c>
      <c r="E612" s="13">
        <v>130</v>
      </c>
      <c r="F612" s="13">
        <v>355</v>
      </c>
      <c r="G612" s="13">
        <v>511</v>
      </c>
      <c r="H612" s="13">
        <v>493</v>
      </c>
      <c r="I612" s="13">
        <v>317</v>
      </c>
      <c r="J612" s="13">
        <v>68</v>
      </c>
    </row>
    <row r="613" spans="1:10" x14ac:dyDescent="0.25">
      <c r="A613" s="11">
        <v>2009</v>
      </c>
      <c r="B613" s="11" t="s">
        <v>240</v>
      </c>
      <c r="C613" s="13">
        <v>4135</v>
      </c>
      <c r="D613" s="13">
        <v>4</v>
      </c>
      <c r="E613" s="13">
        <v>346</v>
      </c>
      <c r="F613" s="13">
        <v>866</v>
      </c>
      <c r="G613" s="13">
        <v>1191</v>
      </c>
      <c r="H613" s="13">
        <v>1052</v>
      </c>
      <c r="I613" s="13">
        <v>550</v>
      </c>
      <c r="J613" s="13">
        <v>126</v>
      </c>
    </row>
    <row r="614" spans="1:10" x14ac:dyDescent="0.25">
      <c r="A614" s="11">
        <v>2009</v>
      </c>
      <c r="B614" s="11" t="s">
        <v>241</v>
      </c>
      <c r="C614" s="13">
        <v>7512</v>
      </c>
      <c r="D614" s="13">
        <v>1</v>
      </c>
      <c r="E614" s="13">
        <v>517</v>
      </c>
      <c r="F614" s="13">
        <v>1574</v>
      </c>
      <c r="G614" s="13">
        <v>2155</v>
      </c>
      <c r="H614" s="13">
        <v>1928</v>
      </c>
      <c r="I614" s="13">
        <v>1065</v>
      </c>
      <c r="J614" s="13">
        <v>272</v>
      </c>
    </row>
    <row r="615" spans="1:10" x14ac:dyDescent="0.25">
      <c r="A615" s="11">
        <v>2009</v>
      </c>
      <c r="B615" s="11" t="s">
        <v>242</v>
      </c>
      <c r="C615" s="13">
        <v>2374</v>
      </c>
      <c r="D615" s="13">
        <v>0</v>
      </c>
      <c r="E615" s="13">
        <v>170</v>
      </c>
      <c r="F615" s="13">
        <v>457</v>
      </c>
      <c r="G615" s="13">
        <v>682</v>
      </c>
      <c r="H615" s="13">
        <v>581</v>
      </c>
      <c r="I615" s="13">
        <v>385</v>
      </c>
      <c r="J615" s="13">
        <v>99</v>
      </c>
    </row>
    <row r="616" spans="1:10" x14ac:dyDescent="0.25">
      <c r="A616" s="11">
        <v>2009</v>
      </c>
      <c r="B616" s="11" t="s">
        <v>243</v>
      </c>
      <c r="C616" s="13">
        <v>813</v>
      </c>
      <c r="D616" s="13">
        <v>1</v>
      </c>
      <c r="E616" s="13">
        <v>60</v>
      </c>
      <c r="F616" s="13">
        <v>191</v>
      </c>
      <c r="G616" s="13">
        <v>208</v>
      </c>
      <c r="H616" s="13">
        <v>206</v>
      </c>
      <c r="I616" s="13">
        <v>117</v>
      </c>
      <c r="J616" s="13">
        <v>30</v>
      </c>
    </row>
    <row r="617" spans="1:10" x14ac:dyDescent="0.25">
      <c r="A617" s="11">
        <v>2009</v>
      </c>
      <c r="B617" s="11" t="s">
        <v>244</v>
      </c>
      <c r="C617" s="13">
        <v>947</v>
      </c>
      <c r="D617" s="13">
        <v>0</v>
      </c>
      <c r="E617" s="13">
        <v>61</v>
      </c>
      <c r="F617" s="13">
        <v>171</v>
      </c>
      <c r="G617" s="13">
        <v>256</v>
      </c>
      <c r="H617" s="13">
        <v>257</v>
      </c>
      <c r="I617" s="13">
        <v>169</v>
      </c>
      <c r="J617" s="13">
        <v>33</v>
      </c>
    </row>
    <row r="618" spans="1:10" x14ac:dyDescent="0.25">
      <c r="A618" s="11">
        <v>2009</v>
      </c>
      <c r="B618" s="11" t="s">
        <v>245</v>
      </c>
      <c r="C618" s="13">
        <v>966</v>
      </c>
      <c r="D618" s="13">
        <v>0</v>
      </c>
      <c r="E618" s="13">
        <v>79</v>
      </c>
      <c r="F618" s="13">
        <v>187</v>
      </c>
      <c r="G618" s="13">
        <v>260</v>
      </c>
      <c r="H618" s="13">
        <v>250</v>
      </c>
      <c r="I618" s="13">
        <v>157</v>
      </c>
      <c r="J618" s="13">
        <v>33</v>
      </c>
    </row>
    <row r="619" spans="1:10" x14ac:dyDescent="0.25">
      <c r="A619" s="11">
        <v>2009</v>
      </c>
      <c r="B619" s="11" t="s">
        <v>246</v>
      </c>
      <c r="C619" s="13">
        <v>227</v>
      </c>
      <c r="D619" s="13">
        <v>0</v>
      </c>
      <c r="E619" s="13">
        <v>14</v>
      </c>
      <c r="F619" s="13">
        <v>38</v>
      </c>
      <c r="G619" s="13">
        <v>60</v>
      </c>
      <c r="H619" s="13">
        <v>59</v>
      </c>
      <c r="I619" s="13">
        <v>41</v>
      </c>
      <c r="J619" s="13">
        <v>15</v>
      </c>
    </row>
    <row r="620" spans="1:10" x14ac:dyDescent="0.25">
      <c r="A620" s="11">
        <v>2009</v>
      </c>
      <c r="B620" s="11" t="s">
        <v>247</v>
      </c>
      <c r="C620" s="13">
        <v>1498</v>
      </c>
      <c r="D620" s="13">
        <v>0</v>
      </c>
      <c r="E620" s="13">
        <v>160</v>
      </c>
      <c r="F620" s="13">
        <v>350</v>
      </c>
      <c r="G620" s="13">
        <v>415</v>
      </c>
      <c r="H620" s="13">
        <v>346</v>
      </c>
      <c r="I620" s="13">
        <v>186</v>
      </c>
      <c r="J620" s="13">
        <v>41</v>
      </c>
    </row>
    <row r="621" spans="1:10" x14ac:dyDescent="0.25">
      <c r="A621" s="11">
        <v>2009</v>
      </c>
      <c r="B621" s="11" t="s">
        <v>248</v>
      </c>
      <c r="C621" s="13">
        <v>4067</v>
      </c>
      <c r="D621" s="13">
        <v>0</v>
      </c>
      <c r="E621" s="13">
        <v>315</v>
      </c>
      <c r="F621" s="13">
        <v>870</v>
      </c>
      <c r="G621" s="13">
        <v>1185</v>
      </c>
      <c r="H621" s="13">
        <v>1012</v>
      </c>
      <c r="I621" s="13">
        <v>569</v>
      </c>
      <c r="J621" s="13">
        <v>116</v>
      </c>
    </row>
    <row r="622" spans="1:10" x14ac:dyDescent="0.25">
      <c r="A622" s="11">
        <v>2009</v>
      </c>
      <c r="B622" s="11" t="s">
        <v>249</v>
      </c>
      <c r="C622" s="13">
        <v>199</v>
      </c>
      <c r="D622" s="13">
        <v>0</v>
      </c>
      <c r="E622" s="13">
        <v>7</v>
      </c>
      <c r="F622" s="13">
        <v>44</v>
      </c>
      <c r="G622" s="13">
        <v>55</v>
      </c>
      <c r="H622" s="13">
        <v>49</v>
      </c>
      <c r="I622" s="13">
        <v>36</v>
      </c>
      <c r="J622" s="13">
        <v>8</v>
      </c>
    </row>
    <row r="623" spans="1:10" x14ac:dyDescent="0.25">
      <c r="A623" s="11">
        <v>2009</v>
      </c>
      <c r="B623" s="11" t="s">
        <v>250</v>
      </c>
      <c r="C623" s="13">
        <v>1425</v>
      </c>
      <c r="D623" s="13">
        <v>0</v>
      </c>
      <c r="E623" s="13">
        <v>89</v>
      </c>
      <c r="F623" s="13">
        <v>265</v>
      </c>
      <c r="G623" s="13">
        <v>405</v>
      </c>
      <c r="H623" s="13">
        <v>344</v>
      </c>
      <c r="I623" s="13">
        <v>267</v>
      </c>
      <c r="J623" s="13">
        <v>55</v>
      </c>
    </row>
    <row r="624" spans="1:10" x14ac:dyDescent="0.25">
      <c r="A624" s="11">
        <v>2009</v>
      </c>
      <c r="B624" s="11" t="s">
        <v>251</v>
      </c>
      <c r="C624" s="13">
        <v>1869</v>
      </c>
      <c r="D624" s="13">
        <v>0</v>
      </c>
      <c r="E624" s="13">
        <v>129</v>
      </c>
      <c r="F624" s="13">
        <v>335</v>
      </c>
      <c r="G624" s="13">
        <v>536</v>
      </c>
      <c r="H624" s="13">
        <v>510</v>
      </c>
      <c r="I624" s="13">
        <v>301</v>
      </c>
      <c r="J624" s="13">
        <v>58</v>
      </c>
    </row>
    <row r="625" spans="1:10" x14ac:dyDescent="0.25">
      <c r="A625" s="11">
        <v>2009</v>
      </c>
      <c r="B625" s="11" t="s">
        <v>252</v>
      </c>
      <c r="C625" s="13">
        <v>1159</v>
      </c>
      <c r="D625" s="13">
        <v>2</v>
      </c>
      <c r="E625" s="13">
        <v>78</v>
      </c>
      <c r="F625" s="13">
        <v>194</v>
      </c>
      <c r="G625" s="13">
        <v>304</v>
      </c>
      <c r="H625" s="13">
        <v>303</v>
      </c>
      <c r="I625" s="13">
        <v>223</v>
      </c>
      <c r="J625" s="13">
        <v>55</v>
      </c>
    </row>
    <row r="626" spans="1:10" x14ac:dyDescent="0.25">
      <c r="A626" s="11">
        <v>2009</v>
      </c>
      <c r="B626" s="11" t="s">
        <v>253</v>
      </c>
      <c r="C626" s="13">
        <v>273</v>
      </c>
      <c r="D626" s="13">
        <v>0</v>
      </c>
      <c r="E626" s="13">
        <v>7</v>
      </c>
      <c r="F626" s="13">
        <v>51</v>
      </c>
      <c r="G626" s="13">
        <v>76</v>
      </c>
      <c r="H626" s="13">
        <v>89</v>
      </c>
      <c r="I626" s="13">
        <v>42</v>
      </c>
      <c r="J626" s="13">
        <v>8</v>
      </c>
    </row>
    <row r="627" spans="1:10" x14ac:dyDescent="0.25">
      <c r="A627" s="11">
        <v>2009</v>
      </c>
      <c r="B627" s="11" t="s">
        <v>254</v>
      </c>
      <c r="C627" s="13">
        <v>1054</v>
      </c>
      <c r="D627" s="13">
        <v>2</v>
      </c>
      <c r="E627" s="13">
        <v>91</v>
      </c>
      <c r="F627" s="13">
        <v>232</v>
      </c>
      <c r="G627" s="13">
        <v>251</v>
      </c>
      <c r="H627" s="13">
        <v>278</v>
      </c>
      <c r="I627" s="13">
        <v>164</v>
      </c>
      <c r="J627" s="13">
        <v>36</v>
      </c>
    </row>
    <row r="628" spans="1:10" x14ac:dyDescent="0.25">
      <c r="A628" s="11">
        <v>2009</v>
      </c>
      <c r="B628" s="11" t="s">
        <v>255</v>
      </c>
      <c r="C628" s="13">
        <v>3467</v>
      </c>
      <c r="D628" s="13">
        <v>4</v>
      </c>
      <c r="E628" s="13">
        <v>200</v>
      </c>
      <c r="F628" s="13">
        <v>589</v>
      </c>
      <c r="G628" s="13">
        <v>973</v>
      </c>
      <c r="H628" s="13">
        <v>1005</v>
      </c>
      <c r="I628" s="13">
        <v>563</v>
      </c>
      <c r="J628" s="13">
        <v>133</v>
      </c>
    </row>
    <row r="629" spans="1:10" x14ac:dyDescent="0.25">
      <c r="A629" s="11">
        <v>2009</v>
      </c>
      <c r="B629" s="11" t="s">
        <v>256</v>
      </c>
      <c r="C629" s="13">
        <v>863</v>
      </c>
      <c r="D629" s="13">
        <v>0</v>
      </c>
      <c r="E629" s="13">
        <v>42</v>
      </c>
      <c r="F629" s="13">
        <v>151</v>
      </c>
      <c r="G629" s="13">
        <v>174</v>
      </c>
      <c r="H629" s="13">
        <v>245</v>
      </c>
      <c r="I629" s="13">
        <v>211</v>
      </c>
      <c r="J629" s="13">
        <v>40</v>
      </c>
    </row>
    <row r="630" spans="1:10" x14ac:dyDescent="0.25">
      <c r="A630" s="11">
        <v>2009</v>
      </c>
      <c r="B630" s="11" t="s">
        <v>257</v>
      </c>
      <c r="C630" s="13">
        <v>1082</v>
      </c>
      <c r="D630" s="13">
        <v>0</v>
      </c>
      <c r="E630" s="13">
        <v>89</v>
      </c>
      <c r="F630" s="13">
        <v>232</v>
      </c>
      <c r="G630" s="13">
        <v>320</v>
      </c>
      <c r="H630" s="13">
        <v>252</v>
      </c>
      <c r="I630" s="13">
        <v>159</v>
      </c>
      <c r="J630" s="13">
        <v>30</v>
      </c>
    </row>
    <row r="631" spans="1:10" x14ac:dyDescent="0.25">
      <c r="A631" s="11">
        <v>2009</v>
      </c>
      <c r="B631" s="11" t="s">
        <v>258</v>
      </c>
      <c r="C631" s="13">
        <v>2234</v>
      </c>
      <c r="D631" s="13">
        <v>1</v>
      </c>
      <c r="E631" s="13">
        <v>129</v>
      </c>
      <c r="F631" s="13">
        <v>442</v>
      </c>
      <c r="G631" s="13">
        <v>642</v>
      </c>
      <c r="H631" s="13">
        <v>609</v>
      </c>
      <c r="I631" s="13">
        <v>347</v>
      </c>
      <c r="J631" s="13">
        <v>64</v>
      </c>
    </row>
    <row r="632" spans="1:10" x14ac:dyDescent="0.25">
      <c r="A632" s="11">
        <v>2010</v>
      </c>
      <c r="B632" s="11" t="s">
        <v>11</v>
      </c>
      <c r="C632" s="13">
        <v>58791</v>
      </c>
      <c r="D632" s="13">
        <v>21</v>
      </c>
      <c r="E632" s="13">
        <v>3755</v>
      </c>
      <c r="F632" s="13">
        <v>10660</v>
      </c>
      <c r="G632" s="13">
        <v>16152</v>
      </c>
      <c r="H632" s="13">
        <v>16426</v>
      </c>
      <c r="I632" s="13">
        <v>9599</v>
      </c>
      <c r="J632" s="13">
        <v>2178</v>
      </c>
    </row>
    <row r="633" spans="1:10" x14ac:dyDescent="0.25">
      <c r="A633" s="11">
        <v>2010</v>
      </c>
      <c r="B633" s="11" t="s">
        <v>227</v>
      </c>
      <c r="C633" s="13">
        <v>2599</v>
      </c>
      <c r="D633" s="13">
        <v>1</v>
      </c>
      <c r="E633" s="13">
        <v>126</v>
      </c>
      <c r="F633" s="13">
        <v>463</v>
      </c>
      <c r="G633" s="13">
        <v>761</v>
      </c>
      <c r="H633" s="13">
        <v>798</v>
      </c>
      <c r="I633" s="13">
        <v>379</v>
      </c>
      <c r="J633" s="13">
        <v>71</v>
      </c>
    </row>
    <row r="634" spans="1:10" x14ac:dyDescent="0.25">
      <c r="A634" s="11">
        <v>2010</v>
      </c>
      <c r="B634" s="11" t="s">
        <v>228</v>
      </c>
      <c r="C634" s="13">
        <v>2727</v>
      </c>
      <c r="D634" s="13">
        <v>0</v>
      </c>
      <c r="E634" s="13">
        <v>96</v>
      </c>
      <c r="F634" s="13">
        <v>389</v>
      </c>
      <c r="G634" s="13">
        <v>759</v>
      </c>
      <c r="H634" s="13">
        <v>868</v>
      </c>
      <c r="I634" s="13">
        <v>500</v>
      </c>
      <c r="J634" s="13">
        <v>115</v>
      </c>
    </row>
    <row r="635" spans="1:10" x14ac:dyDescent="0.25">
      <c r="A635" s="11">
        <v>2010</v>
      </c>
      <c r="B635" s="11" t="s">
        <v>229</v>
      </c>
      <c r="C635" s="13">
        <v>1096</v>
      </c>
      <c r="D635" s="13">
        <v>0</v>
      </c>
      <c r="E635" s="13">
        <v>73</v>
      </c>
      <c r="F635" s="13">
        <v>194</v>
      </c>
      <c r="G635" s="13">
        <v>324</v>
      </c>
      <c r="H635" s="13">
        <v>313</v>
      </c>
      <c r="I635" s="13">
        <v>154</v>
      </c>
      <c r="J635" s="13">
        <v>38</v>
      </c>
    </row>
    <row r="636" spans="1:10" x14ac:dyDescent="0.25">
      <c r="A636" s="11">
        <v>2010</v>
      </c>
      <c r="B636" s="11" t="s">
        <v>230</v>
      </c>
      <c r="C636" s="13">
        <v>763</v>
      </c>
      <c r="D636" s="13">
        <v>0</v>
      </c>
      <c r="E636" s="13">
        <v>47</v>
      </c>
      <c r="F636" s="13">
        <v>142</v>
      </c>
      <c r="G636" s="13">
        <v>207</v>
      </c>
      <c r="H636" s="13">
        <v>190</v>
      </c>
      <c r="I636" s="13">
        <v>136</v>
      </c>
      <c r="J636" s="13">
        <v>41</v>
      </c>
    </row>
    <row r="637" spans="1:10" x14ac:dyDescent="0.25">
      <c r="A637" s="11">
        <v>2010</v>
      </c>
      <c r="B637" s="11" t="s">
        <v>231</v>
      </c>
      <c r="C637" s="13">
        <v>5552</v>
      </c>
      <c r="D637" s="13">
        <v>6</v>
      </c>
      <c r="E637" s="13">
        <v>233</v>
      </c>
      <c r="F637" s="13">
        <v>709</v>
      </c>
      <c r="G637" s="13">
        <v>1261</v>
      </c>
      <c r="H637" s="13">
        <v>1880</v>
      </c>
      <c r="I637" s="13">
        <v>1171</v>
      </c>
      <c r="J637" s="13">
        <v>292</v>
      </c>
    </row>
    <row r="638" spans="1:10" x14ac:dyDescent="0.25">
      <c r="A638" s="11">
        <v>2010</v>
      </c>
      <c r="B638" s="11" t="s">
        <v>232</v>
      </c>
      <c r="C638" s="13">
        <v>620</v>
      </c>
      <c r="D638" s="13">
        <v>0</v>
      </c>
      <c r="E638" s="13">
        <v>48</v>
      </c>
      <c r="F638" s="13">
        <v>118</v>
      </c>
      <c r="G638" s="13">
        <v>184</v>
      </c>
      <c r="H638" s="13">
        <v>172</v>
      </c>
      <c r="I638" s="13">
        <v>79</v>
      </c>
      <c r="J638" s="13">
        <v>19</v>
      </c>
    </row>
    <row r="639" spans="1:10" x14ac:dyDescent="0.25">
      <c r="A639" s="11">
        <v>2010</v>
      </c>
      <c r="B639" s="11" t="s">
        <v>233</v>
      </c>
      <c r="C639" s="13">
        <v>1445</v>
      </c>
      <c r="D639" s="13">
        <v>0</v>
      </c>
      <c r="E639" s="13">
        <v>106</v>
      </c>
      <c r="F639" s="13">
        <v>326</v>
      </c>
      <c r="G639" s="13">
        <v>444</v>
      </c>
      <c r="H639" s="13">
        <v>338</v>
      </c>
      <c r="I639" s="13">
        <v>188</v>
      </c>
      <c r="J639" s="13">
        <v>43</v>
      </c>
    </row>
    <row r="640" spans="1:10" x14ac:dyDescent="0.25">
      <c r="A640" s="11">
        <v>2010</v>
      </c>
      <c r="B640" s="11" t="s">
        <v>234</v>
      </c>
      <c r="C640" s="13">
        <v>1745</v>
      </c>
      <c r="D640" s="13">
        <v>0</v>
      </c>
      <c r="E640" s="13">
        <v>172</v>
      </c>
      <c r="F640" s="13">
        <v>408</v>
      </c>
      <c r="G640" s="13">
        <v>542</v>
      </c>
      <c r="H640" s="13">
        <v>391</v>
      </c>
      <c r="I640" s="13">
        <v>193</v>
      </c>
      <c r="J640" s="13">
        <v>39</v>
      </c>
    </row>
    <row r="641" spans="1:10" x14ac:dyDescent="0.25">
      <c r="A641" s="11">
        <v>2010</v>
      </c>
      <c r="B641" s="11" t="s">
        <v>235</v>
      </c>
      <c r="C641" s="13">
        <v>1334</v>
      </c>
      <c r="D641" s="13">
        <v>0</v>
      </c>
      <c r="E641" s="13">
        <v>103</v>
      </c>
      <c r="F641" s="13">
        <v>278</v>
      </c>
      <c r="G641" s="13">
        <v>410</v>
      </c>
      <c r="H641" s="13">
        <v>331</v>
      </c>
      <c r="I641" s="13">
        <v>173</v>
      </c>
      <c r="J641" s="13">
        <v>39</v>
      </c>
    </row>
    <row r="642" spans="1:10" x14ac:dyDescent="0.25">
      <c r="A642" s="11">
        <v>2010</v>
      </c>
      <c r="B642" s="11" t="s">
        <v>236</v>
      </c>
      <c r="C642" s="13">
        <v>924</v>
      </c>
      <c r="D642" s="13">
        <v>0</v>
      </c>
      <c r="E642" s="13">
        <v>39</v>
      </c>
      <c r="F642" s="13">
        <v>114</v>
      </c>
      <c r="G642" s="13">
        <v>178</v>
      </c>
      <c r="H642" s="13">
        <v>316</v>
      </c>
      <c r="I642" s="13">
        <v>230</v>
      </c>
      <c r="J642" s="13">
        <v>47</v>
      </c>
    </row>
    <row r="643" spans="1:10" x14ac:dyDescent="0.25">
      <c r="A643" s="11">
        <v>2010</v>
      </c>
      <c r="B643" s="11" t="s">
        <v>237</v>
      </c>
      <c r="C643" s="13">
        <v>1123</v>
      </c>
      <c r="D643" s="13">
        <v>1</v>
      </c>
      <c r="E643" s="13">
        <v>80</v>
      </c>
      <c r="F643" s="13">
        <v>173</v>
      </c>
      <c r="G643" s="13">
        <v>288</v>
      </c>
      <c r="H643" s="13">
        <v>305</v>
      </c>
      <c r="I643" s="13">
        <v>218</v>
      </c>
      <c r="J643" s="13">
        <v>58</v>
      </c>
    </row>
    <row r="644" spans="1:10" x14ac:dyDescent="0.25">
      <c r="A644" s="11">
        <v>2010</v>
      </c>
      <c r="B644" s="11" t="s">
        <v>238</v>
      </c>
      <c r="C644" s="13">
        <v>872</v>
      </c>
      <c r="D644" s="13">
        <v>1</v>
      </c>
      <c r="E644" s="13">
        <v>24</v>
      </c>
      <c r="F644" s="13">
        <v>80</v>
      </c>
      <c r="G644" s="13">
        <v>189</v>
      </c>
      <c r="H644" s="13">
        <v>296</v>
      </c>
      <c r="I644" s="13">
        <v>227</v>
      </c>
      <c r="J644" s="13">
        <v>55</v>
      </c>
    </row>
    <row r="645" spans="1:10" x14ac:dyDescent="0.25">
      <c r="A645" s="11">
        <v>2010</v>
      </c>
      <c r="B645" s="11" t="s">
        <v>239</v>
      </c>
      <c r="C645" s="13">
        <v>1874</v>
      </c>
      <c r="D645" s="13">
        <v>0</v>
      </c>
      <c r="E645" s="13">
        <v>130</v>
      </c>
      <c r="F645" s="13">
        <v>314</v>
      </c>
      <c r="G645" s="13">
        <v>549</v>
      </c>
      <c r="H645" s="13">
        <v>528</v>
      </c>
      <c r="I645" s="13">
        <v>304</v>
      </c>
      <c r="J645" s="13">
        <v>49</v>
      </c>
    </row>
    <row r="646" spans="1:10" x14ac:dyDescent="0.25">
      <c r="A646" s="11">
        <v>2010</v>
      </c>
      <c r="B646" s="11" t="s">
        <v>240</v>
      </c>
      <c r="C646" s="13">
        <v>4172</v>
      </c>
      <c r="D646" s="13">
        <v>0</v>
      </c>
      <c r="E646" s="13">
        <v>349</v>
      </c>
      <c r="F646" s="13">
        <v>842</v>
      </c>
      <c r="G646" s="13">
        <v>1124</v>
      </c>
      <c r="H646" s="13">
        <v>1102</v>
      </c>
      <c r="I646" s="13">
        <v>634</v>
      </c>
      <c r="J646" s="13">
        <v>121</v>
      </c>
    </row>
    <row r="647" spans="1:10" x14ac:dyDescent="0.25">
      <c r="A647" s="11">
        <v>2010</v>
      </c>
      <c r="B647" s="11" t="s">
        <v>241</v>
      </c>
      <c r="C647" s="13">
        <v>7565</v>
      </c>
      <c r="D647" s="13">
        <v>2</v>
      </c>
      <c r="E647" s="13">
        <v>455</v>
      </c>
      <c r="F647" s="13">
        <v>1519</v>
      </c>
      <c r="G647" s="13">
        <v>2228</v>
      </c>
      <c r="H647" s="13">
        <v>2024</v>
      </c>
      <c r="I647" s="13">
        <v>1071</v>
      </c>
      <c r="J647" s="13">
        <v>266</v>
      </c>
    </row>
    <row r="648" spans="1:10" x14ac:dyDescent="0.25">
      <c r="A648" s="11">
        <v>2010</v>
      </c>
      <c r="B648" s="11" t="s">
        <v>242</v>
      </c>
      <c r="C648" s="13">
        <v>2467</v>
      </c>
      <c r="D648" s="13">
        <v>3</v>
      </c>
      <c r="E648" s="13">
        <v>176</v>
      </c>
      <c r="F648" s="13">
        <v>439</v>
      </c>
      <c r="G648" s="13">
        <v>676</v>
      </c>
      <c r="H648" s="13">
        <v>657</v>
      </c>
      <c r="I648" s="13">
        <v>394</v>
      </c>
      <c r="J648" s="13">
        <v>122</v>
      </c>
    </row>
    <row r="649" spans="1:10" x14ac:dyDescent="0.25">
      <c r="A649" s="11">
        <v>2010</v>
      </c>
      <c r="B649" s="11" t="s">
        <v>243</v>
      </c>
      <c r="C649" s="13">
        <v>791</v>
      </c>
      <c r="D649" s="13">
        <v>0</v>
      </c>
      <c r="E649" s="13">
        <v>65</v>
      </c>
      <c r="F649" s="13">
        <v>176</v>
      </c>
      <c r="G649" s="13">
        <v>199</v>
      </c>
      <c r="H649" s="13">
        <v>225</v>
      </c>
      <c r="I649" s="13">
        <v>102</v>
      </c>
      <c r="J649" s="13">
        <v>24</v>
      </c>
    </row>
    <row r="650" spans="1:10" x14ac:dyDescent="0.25">
      <c r="A650" s="11">
        <v>2010</v>
      </c>
      <c r="B650" s="11" t="s">
        <v>244</v>
      </c>
      <c r="C650" s="13">
        <v>994</v>
      </c>
      <c r="D650" s="13">
        <v>0</v>
      </c>
      <c r="E650" s="13">
        <v>80</v>
      </c>
      <c r="F650" s="13">
        <v>205</v>
      </c>
      <c r="G650" s="13">
        <v>252</v>
      </c>
      <c r="H650" s="13">
        <v>265</v>
      </c>
      <c r="I650" s="13">
        <v>163</v>
      </c>
      <c r="J650" s="13">
        <v>29</v>
      </c>
    </row>
    <row r="651" spans="1:10" x14ac:dyDescent="0.25">
      <c r="A651" s="11">
        <v>2010</v>
      </c>
      <c r="B651" s="11" t="s">
        <v>245</v>
      </c>
      <c r="C651" s="13">
        <v>928</v>
      </c>
      <c r="D651" s="13">
        <v>0</v>
      </c>
      <c r="E651" s="13">
        <v>75</v>
      </c>
      <c r="F651" s="13">
        <v>155</v>
      </c>
      <c r="G651" s="13">
        <v>294</v>
      </c>
      <c r="H651" s="13">
        <v>227</v>
      </c>
      <c r="I651" s="13">
        <v>146</v>
      </c>
      <c r="J651" s="13">
        <v>31</v>
      </c>
    </row>
    <row r="652" spans="1:10" x14ac:dyDescent="0.25">
      <c r="A652" s="11">
        <v>2010</v>
      </c>
      <c r="B652" s="11" t="s">
        <v>246</v>
      </c>
      <c r="C652" s="13">
        <v>235</v>
      </c>
      <c r="D652" s="13">
        <v>2</v>
      </c>
      <c r="E652" s="13">
        <v>14</v>
      </c>
      <c r="F652" s="13">
        <v>36</v>
      </c>
      <c r="G652" s="13">
        <v>38</v>
      </c>
      <c r="H652" s="13">
        <v>78</v>
      </c>
      <c r="I652" s="13">
        <v>55</v>
      </c>
      <c r="J652" s="13">
        <v>12</v>
      </c>
    </row>
    <row r="653" spans="1:10" x14ac:dyDescent="0.25">
      <c r="A653" s="11">
        <v>2010</v>
      </c>
      <c r="B653" s="11" t="s">
        <v>247</v>
      </c>
      <c r="C653" s="13">
        <v>1450</v>
      </c>
      <c r="D653" s="13">
        <v>0</v>
      </c>
      <c r="E653" s="13">
        <v>156</v>
      </c>
      <c r="F653" s="13">
        <v>295</v>
      </c>
      <c r="G653" s="13">
        <v>422</v>
      </c>
      <c r="H653" s="13">
        <v>329</v>
      </c>
      <c r="I653" s="13">
        <v>200</v>
      </c>
      <c r="J653" s="13">
        <v>48</v>
      </c>
    </row>
    <row r="654" spans="1:10" x14ac:dyDescent="0.25">
      <c r="A654" s="11">
        <v>2010</v>
      </c>
      <c r="B654" s="11" t="s">
        <v>248</v>
      </c>
      <c r="C654" s="13">
        <v>3929</v>
      </c>
      <c r="D654" s="13">
        <v>0</v>
      </c>
      <c r="E654" s="13">
        <v>294</v>
      </c>
      <c r="F654" s="13">
        <v>777</v>
      </c>
      <c r="G654" s="13">
        <v>1154</v>
      </c>
      <c r="H654" s="13">
        <v>1014</v>
      </c>
      <c r="I654" s="13">
        <v>556</v>
      </c>
      <c r="J654" s="13">
        <v>134</v>
      </c>
    </row>
    <row r="655" spans="1:10" x14ac:dyDescent="0.25">
      <c r="A655" s="11">
        <v>2010</v>
      </c>
      <c r="B655" s="11" t="s">
        <v>249</v>
      </c>
      <c r="C655" s="13">
        <v>197</v>
      </c>
      <c r="D655" s="13">
        <v>0</v>
      </c>
      <c r="E655" s="13">
        <v>10</v>
      </c>
      <c r="F655" s="13">
        <v>32</v>
      </c>
      <c r="G655" s="13">
        <v>54</v>
      </c>
      <c r="H655" s="13">
        <v>60</v>
      </c>
      <c r="I655" s="13">
        <v>29</v>
      </c>
      <c r="J655" s="13">
        <v>12</v>
      </c>
    </row>
    <row r="656" spans="1:10" x14ac:dyDescent="0.25">
      <c r="A656" s="11">
        <v>2010</v>
      </c>
      <c r="B656" s="11" t="s">
        <v>250</v>
      </c>
      <c r="C656" s="13">
        <v>1466</v>
      </c>
      <c r="D656" s="13">
        <v>1</v>
      </c>
      <c r="E656" s="13">
        <v>76</v>
      </c>
      <c r="F656" s="13">
        <v>266</v>
      </c>
      <c r="G656" s="13">
        <v>400</v>
      </c>
      <c r="H656" s="13">
        <v>381</v>
      </c>
      <c r="I656" s="13">
        <v>287</v>
      </c>
      <c r="J656" s="13">
        <v>55</v>
      </c>
    </row>
    <row r="657" spans="1:10" x14ac:dyDescent="0.25">
      <c r="A657" s="11">
        <v>2010</v>
      </c>
      <c r="B657" s="11" t="s">
        <v>251</v>
      </c>
      <c r="C657" s="13">
        <v>1995</v>
      </c>
      <c r="D657" s="13">
        <v>0</v>
      </c>
      <c r="E657" s="13">
        <v>133</v>
      </c>
      <c r="F657" s="13">
        <v>372</v>
      </c>
      <c r="G657" s="13">
        <v>576</v>
      </c>
      <c r="H657" s="13">
        <v>512</v>
      </c>
      <c r="I657" s="13">
        <v>342</v>
      </c>
      <c r="J657" s="13">
        <v>60</v>
      </c>
    </row>
    <row r="658" spans="1:10" x14ac:dyDescent="0.25">
      <c r="A658" s="11">
        <v>2010</v>
      </c>
      <c r="B658" s="11" t="s">
        <v>252</v>
      </c>
      <c r="C658" s="13">
        <v>1161</v>
      </c>
      <c r="D658" s="13">
        <v>0</v>
      </c>
      <c r="E658" s="13">
        <v>63</v>
      </c>
      <c r="F658" s="13">
        <v>217</v>
      </c>
      <c r="G658" s="13">
        <v>279</v>
      </c>
      <c r="H658" s="13">
        <v>317</v>
      </c>
      <c r="I658" s="13">
        <v>235</v>
      </c>
      <c r="J658" s="13">
        <v>50</v>
      </c>
    </row>
    <row r="659" spans="1:10" x14ac:dyDescent="0.25">
      <c r="A659" s="11">
        <v>2010</v>
      </c>
      <c r="B659" s="11" t="s">
        <v>253</v>
      </c>
      <c r="C659" s="13">
        <v>266</v>
      </c>
      <c r="D659" s="13">
        <v>0</v>
      </c>
      <c r="E659" s="13">
        <v>14</v>
      </c>
      <c r="F659" s="13">
        <v>49</v>
      </c>
      <c r="G659" s="13">
        <v>62</v>
      </c>
      <c r="H659" s="13">
        <v>87</v>
      </c>
      <c r="I659" s="13">
        <v>48</v>
      </c>
      <c r="J659" s="13">
        <v>6</v>
      </c>
    </row>
    <row r="660" spans="1:10" x14ac:dyDescent="0.25">
      <c r="A660" s="11">
        <v>2010</v>
      </c>
      <c r="B660" s="11" t="s">
        <v>254</v>
      </c>
      <c r="C660" s="13">
        <v>1035</v>
      </c>
      <c r="D660" s="13">
        <v>3</v>
      </c>
      <c r="E660" s="13">
        <v>81</v>
      </c>
      <c r="F660" s="13">
        <v>218</v>
      </c>
      <c r="G660" s="13">
        <v>289</v>
      </c>
      <c r="H660" s="13">
        <v>266</v>
      </c>
      <c r="I660" s="13">
        <v>144</v>
      </c>
      <c r="J660" s="13">
        <v>34</v>
      </c>
    </row>
    <row r="661" spans="1:10" x14ac:dyDescent="0.25">
      <c r="A661" s="11">
        <v>2010</v>
      </c>
      <c r="B661" s="11" t="s">
        <v>255</v>
      </c>
      <c r="C661" s="13">
        <v>3418</v>
      </c>
      <c r="D661" s="13">
        <v>0</v>
      </c>
      <c r="E661" s="13">
        <v>168</v>
      </c>
      <c r="F661" s="13">
        <v>574</v>
      </c>
      <c r="G661" s="13">
        <v>962</v>
      </c>
      <c r="H661" s="13">
        <v>1023</v>
      </c>
      <c r="I661" s="13">
        <v>567</v>
      </c>
      <c r="J661" s="13">
        <v>124</v>
      </c>
    </row>
    <row r="662" spans="1:10" x14ac:dyDescent="0.25">
      <c r="A662" s="11">
        <v>2010</v>
      </c>
      <c r="B662" s="11" t="s">
        <v>256</v>
      </c>
      <c r="C662" s="13">
        <v>836</v>
      </c>
      <c r="D662" s="13">
        <v>0</v>
      </c>
      <c r="E662" s="13">
        <v>50</v>
      </c>
      <c r="F662" s="13">
        <v>140</v>
      </c>
      <c r="G662" s="13">
        <v>204</v>
      </c>
      <c r="H662" s="13">
        <v>219</v>
      </c>
      <c r="I662" s="13">
        <v>185</v>
      </c>
      <c r="J662" s="13">
        <v>38</v>
      </c>
    </row>
    <row r="663" spans="1:10" x14ac:dyDescent="0.25">
      <c r="A663" s="11">
        <v>2010</v>
      </c>
      <c r="B663" s="11" t="s">
        <v>257</v>
      </c>
      <c r="C663" s="13">
        <v>1044</v>
      </c>
      <c r="D663" s="13">
        <v>0</v>
      </c>
      <c r="E663" s="13">
        <v>96</v>
      </c>
      <c r="F663" s="13">
        <v>212</v>
      </c>
      <c r="G663" s="13">
        <v>298</v>
      </c>
      <c r="H663" s="13">
        <v>278</v>
      </c>
      <c r="I663" s="13">
        <v>129</v>
      </c>
      <c r="J663" s="13">
        <v>31</v>
      </c>
    </row>
    <row r="664" spans="1:10" x14ac:dyDescent="0.25">
      <c r="A664" s="11">
        <v>2010</v>
      </c>
      <c r="B664" s="11" t="s">
        <v>258</v>
      </c>
      <c r="C664" s="13">
        <v>2168</v>
      </c>
      <c r="D664" s="13">
        <v>1</v>
      </c>
      <c r="E664" s="13">
        <v>123</v>
      </c>
      <c r="F664" s="13">
        <v>428</v>
      </c>
      <c r="G664" s="13">
        <v>545</v>
      </c>
      <c r="H664" s="13">
        <v>636</v>
      </c>
      <c r="I664" s="13">
        <v>360</v>
      </c>
      <c r="J664" s="13">
        <v>75</v>
      </c>
    </row>
    <row r="665" spans="1:10" x14ac:dyDescent="0.25">
      <c r="A665" s="11">
        <v>2011</v>
      </c>
      <c r="B665" s="11" t="s">
        <v>11</v>
      </c>
      <c r="C665" s="13">
        <v>58590</v>
      </c>
      <c r="D665" s="13">
        <v>46</v>
      </c>
      <c r="E665" s="13">
        <v>3387</v>
      </c>
      <c r="F665" s="13">
        <v>10619</v>
      </c>
      <c r="G665" s="13">
        <v>15879</v>
      </c>
      <c r="H665" s="13">
        <v>16868</v>
      </c>
      <c r="I665" s="13">
        <v>9513</v>
      </c>
      <c r="J665" s="13">
        <v>2278</v>
      </c>
    </row>
    <row r="666" spans="1:10" x14ac:dyDescent="0.25">
      <c r="A666" s="11">
        <v>2011</v>
      </c>
      <c r="B666" s="11" t="s">
        <v>227</v>
      </c>
      <c r="C666" s="13">
        <v>2608</v>
      </c>
      <c r="D666" s="13">
        <v>0</v>
      </c>
      <c r="E666" s="13">
        <v>130</v>
      </c>
      <c r="F666" s="13">
        <v>410</v>
      </c>
      <c r="G666" s="13">
        <v>788</v>
      </c>
      <c r="H666" s="13">
        <v>787</v>
      </c>
      <c r="I666" s="13">
        <v>409</v>
      </c>
      <c r="J666" s="13">
        <v>84</v>
      </c>
    </row>
    <row r="667" spans="1:10" x14ac:dyDescent="0.25">
      <c r="A667" s="11">
        <v>2011</v>
      </c>
      <c r="B667" s="11" t="s">
        <v>228</v>
      </c>
      <c r="C667" s="13">
        <v>2695</v>
      </c>
      <c r="D667" s="13">
        <v>1</v>
      </c>
      <c r="E667" s="13">
        <v>86</v>
      </c>
      <c r="F667" s="13">
        <v>382</v>
      </c>
      <c r="G667" s="13">
        <v>697</v>
      </c>
      <c r="H667" s="13">
        <v>958</v>
      </c>
      <c r="I667" s="13">
        <v>462</v>
      </c>
      <c r="J667" s="13">
        <v>109</v>
      </c>
    </row>
    <row r="668" spans="1:10" x14ac:dyDescent="0.25">
      <c r="A668" s="11">
        <v>2011</v>
      </c>
      <c r="B668" s="11" t="s">
        <v>229</v>
      </c>
      <c r="C668" s="13">
        <v>1155</v>
      </c>
      <c r="D668" s="13">
        <v>0</v>
      </c>
      <c r="E668" s="13">
        <v>80</v>
      </c>
      <c r="F668" s="13">
        <v>223</v>
      </c>
      <c r="G668" s="13">
        <v>336</v>
      </c>
      <c r="H668" s="13">
        <v>295</v>
      </c>
      <c r="I668" s="13">
        <v>181</v>
      </c>
      <c r="J668" s="13">
        <v>40</v>
      </c>
    </row>
    <row r="669" spans="1:10" x14ac:dyDescent="0.25">
      <c r="A669" s="11">
        <v>2011</v>
      </c>
      <c r="B669" s="11" t="s">
        <v>230</v>
      </c>
      <c r="C669" s="13">
        <v>745</v>
      </c>
      <c r="D669" s="13">
        <v>3</v>
      </c>
      <c r="E669" s="13">
        <v>47</v>
      </c>
      <c r="F669" s="13">
        <v>136</v>
      </c>
      <c r="G669" s="13">
        <v>179</v>
      </c>
      <c r="H669" s="13">
        <v>214</v>
      </c>
      <c r="I669" s="13">
        <v>133</v>
      </c>
      <c r="J669" s="13">
        <v>33</v>
      </c>
    </row>
    <row r="670" spans="1:10" x14ac:dyDescent="0.25">
      <c r="A670" s="11">
        <v>2011</v>
      </c>
      <c r="B670" s="11" t="s">
        <v>231</v>
      </c>
      <c r="C670" s="13">
        <v>5560</v>
      </c>
      <c r="D670" s="13">
        <v>5</v>
      </c>
      <c r="E670" s="13">
        <v>177</v>
      </c>
      <c r="F670" s="13">
        <v>743</v>
      </c>
      <c r="G670" s="13">
        <v>1260</v>
      </c>
      <c r="H670" s="13">
        <v>1891</v>
      </c>
      <c r="I670" s="13">
        <v>1189</v>
      </c>
      <c r="J670" s="13">
        <v>295</v>
      </c>
    </row>
    <row r="671" spans="1:10" x14ac:dyDescent="0.25">
      <c r="A671" s="11">
        <v>2011</v>
      </c>
      <c r="B671" s="11" t="s">
        <v>232</v>
      </c>
      <c r="C671" s="13">
        <v>564</v>
      </c>
      <c r="D671" s="13">
        <v>0</v>
      </c>
      <c r="E671" s="13">
        <v>44</v>
      </c>
      <c r="F671" s="13">
        <v>131</v>
      </c>
      <c r="G671" s="13">
        <v>152</v>
      </c>
      <c r="H671" s="13">
        <v>146</v>
      </c>
      <c r="I671" s="13">
        <v>76</v>
      </c>
      <c r="J671" s="13">
        <v>15</v>
      </c>
    </row>
    <row r="672" spans="1:10" x14ac:dyDescent="0.25">
      <c r="A672" s="11">
        <v>2011</v>
      </c>
      <c r="B672" s="11" t="s">
        <v>233</v>
      </c>
      <c r="C672" s="13">
        <v>1396</v>
      </c>
      <c r="D672" s="13">
        <v>1</v>
      </c>
      <c r="E672" s="13">
        <v>91</v>
      </c>
      <c r="F672" s="13">
        <v>308</v>
      </c>
      <c r="G672" s="13">
        <v>415</v>
      </c>
      <c r="H672" s="13">
        <v>339</v>
      </c>
      <c r="I672" s="13">
        <v>196</v>
      </c>
      <c r="J672" s="13">
        <v>46</v>
      </c>
    </row>
    <row r="673" spans="1:10" x14ac:dyDescent="0.25">
      <c r="A673" s="11">
        <v>2011</v>
      </c>
      <c r="B673" s="11" t="s">
        <v>234</v>
      </c>
      <c r="C673" s="13">
        <v>1765</v>
      </c>
      <c r="D673" s="13">
        <v>0</v>
      </c>
      <c r="E673" s="13">
        <v>130</v>
      </c>
      <c r="F673" s="13">
        <v>407</v>
      </c>
      <c r="G673" s="13">
        <v>537</v>
      </c>
      <c r="H673" s="13">
        <v>429</v>
      </c>
      <c r="I673" s="13">
        <v>214</v>
      </c>
      <c r="J673" s="13">
        <v>48</v>
      </c>
    </row>
    <row r="674" spans="1:10" x14ac:dyDescent="0.25">
      <c r="A674" s="11">
        <v>2011</v>
      </c>
      <c r="B674" s="11" t="s">
        <v>235</v>
      </c>
      <c r="C674" s="13">
        <v>1362</v>
      </c>
      <c r="D674" s="13">
        <v>2</v>
      </c>
      <c r="E674" s="13">
        <v>104</v>
      </c>
      <c r="F674" s="13">
        <v>314</v>
      </c>
      <c r="G674" s="13">
        <v>395</v>
      </c>
      <c r="H674" s="13">
        <v>331</v>
      </c>
      <c r="I674" s="13">
        <v>168</v>
      </c>
      <c r="J674" s="13">
        <v>48</v>
      </c>
    </row>
    <row r="675" spans="1:10" x14ac:dyDescent="0.25">
      <c r="A675" s="11">
        <v>2011</v>
      </c>
      <c r="B675" s="11" t="s">
        <v>236</v>
      </c>
      <c r="C675" s="13">
        <v>924</v>
      </c>
      <c r="D675" s="13">
        <v>0</v>
      </c>
      <c r="E675" s="13">
        <v>37</v>
      </c>
      <c r="F675" s="13">
        <v>107</v>
      </c>
      <c r="G675" s="13">
        <v>177</v>
      </c>
      <c r="H675" s="13">
        <v>321</v>
      </c>
      <c r="I675" s="13">
        <v>223</v>
      </c>
      <c r="J675" s="13">
        <v>59</v>
      </c>
    </row>
    <row r="676" spans="1:10" x14ac:dyDescent="0.25">
      <c r="A676" s="11">
        <v>2011</v>
      </c>
      <c r="B676" s="11" t="s">
        <v>237</v>
      </c>
      <c r="C676" s="13">
        <v>1126</v>
      </c>
      <c r="D676" s="13">
        <v>2</v>
      </c>
      <c r="E676" s="13">
        <v>69</v>
      </c>
      <c r="F676" s="13">
        <v>205</v>
      </c>
      <c r="G676" s="13">
        <v>264</v>
      </c>
      <c r="H676" s="13">
        <v>316</v>
      </c>
      <c r="I676" s="13">
        <v>224</v>
      </c>
      <c r="J676" s="13">
        <v>46</v>
      </c>
    </row>
    <row r="677" spans="1:10" x14ac:dyDescent="0.25">
      <c r="A677" s="11">
        <v>2011</v>
      </c>
      <c r="B677" s="11" t="s">
        <v>238</v>
      </c>
      <c r="C677" s="13">
        <v>807</v>
      </c>
      <c r="D677" s="13">
        <v>1</v>
      </c>
      <c r="E677" s="13">
        <v>19</v>
      </c>
      <c r="F677" s="13">
        <v>84</v>
      </c>
      <c r="G677" s="13">
        <v>163</v>
      </c>
      <c r="H677" s="13">
        <v>287</v>
      </c>
      <c r="I677" s="13">
        <v>200</v>
      </c>
      <c r="J677" s="13">
        <v>53</v>
      </c>
    </row>
    <row r="678" spans="1:10" x14ac:dyDescent="0.25">
      <c r="A678" s="11">
        <v>2011</v>
      </c>
      <c r="B678" s="11" t="s">
        <v>239</v>
      </c>
      <c r="C678" s="13">
        <v>1757</v>
      </c>
      <c r="D678" s="13">
        <v>1</v>
      </c>
      <c r="E678" s="13">
        <v>102</v>
      </c>
      <c r="F678" s="13">
        <v>297</v>
      </c>
      <c r="G678" s="13">
        <v>483</v>
      </c>
      <c r="H678" s="13">
        <v>506</v>
      </c>
      <c r="I678" s="13">
        <v>299</v>
      </c>
      <c r="J678" s="13">
        <v>69</v>
      </c>
    </row>
    <row r="679" spans="1:10" x14ac:dyDescent="0.25">
      <c r="A679" s="11">
        <v>2011</v>
      </c>
      <c r="B679" s="11" t="s">
        <v>240</v>
      </c>
      <c r="C679" s="13">
        <v>4268</v>
      </c>
      <c r="D679" s="13">
        <v>1</v>
      </c>
      <c r="E679" s="13">
        <v>313</v>
      </c>
      <c r="F679" s="13">
        <v>880</v>
      </c>
      <c r="G679" s="13">
        <v>1244</v>
      </c>
      <c r="H679" s="13">
        <v>1116</v>
      </c>
      <c r="I679" s="13">
        <v>598</v>
      </c>
      <c r="J679" s="13">
        <v>116</v>
      </c>
    </row>
    <row r="680" spans="1:10" x14ac:dyDescent="0.25">
      <c r="A680" s="11">
        <v>2011</v>
      </c>
      <c r="B680" s="11" t="s">
        <v>241</v>
      </c>
      <c r="C680" s="13">
        <v>7631</v>
      </c>
      <c r="D680" s="13">
        <v>5</v>
      </c>
      <c r="E680" s="13">
        <v>447</v>
      </c>
      <c r="F680" s="13">
        <v>1464</v>
      </c>
      <c r="G680" s="13">
        <v>2146</v>
      </c>
      <c r="H680" s="13">
        <v>2159</v>
      </c>
      <c r="I680" s="13">
        <v>1117</v>
      </c>
      <c r="J680" s="13">
        <v>293</v>
      </c>
    </row>
    <row r="681" spans="1:10" x14ac:dyDescent="0.25">
      <c r="A681" s="11">
        <v>2011</v>
      </c>
      <c r="B681" s="11" t="s">
        <v>242</v>
      </c>
      <c r="C681" s="13">
        <v>2345</v>
      </c>
      <c r="D681" s="13">
        <v>10</v>
      </c>
      <c r="E681" s="13">
        <v>163</v>
      </c>
      <c r="F681" s="13">
        <v>391</v>
      </c>
      <c r="G681" s="13">
        <v>631</v>
      </c>
      <c r="H681" s="13">
        <v>650</v>
      </c>
      <c r="I681" s="13">
        <v>391</v>
      </c>
      <c r="J681" s="13">
        <v>109</v>
      </c>
    </row>
    <row r="682" spans="1:10" x14ac:dyDescent="0.25">
      <c r="A682" s="11">
        <v>2011</v>
      </c>
      <c r="B682" s="11" t="s">
        <v>243</v>
      </c>
      <c r="C682" s="13">
        <v>814</v>
      </c>
      <c r="D682" s="13">
        <v>3</v>
      </c>
      <c r="E682" s="13">
        <v>48</v>
      </c>
      <c r="F682" s="13">
        <v>158</v>
      </c>
      <c r="G682" s="13">
        <v>238</v>
      </c>
      <c r="H682" s="13">
        <v>226</v>
      </c>
      <c r="I682" s="13">
        <v>106</v>
      </c>
      <c r="J682" s="13">
        <v>35</v>
      </c>
    </row>
    <row r="683" spans="1:10" x14ac:dyDescent="0.25">
      <c r="A683" s="11">
        <v>2011</v>
      </c>
      <c r="B683" s="11" t="s">
        <v>244</v>
      </c>
      <c r="C683" s="13">
        <v>979</v>
      </c>
      <c r="D683" s="13">
        <v>1</v>
      </c>
      <c r="E683" s="13">
        <v>70</v>
      </c>
      <c r="F683" s="13">
        <v>200</v>
      </c>
      <c r="G683" s="13">
        <v>267</v>
      </c>
      <c r="H683" s="13">
        <v>267</v>
      </c>
      <c r="I683" s="13">
        <v>142</v>
      </c>
      <c r="J683" s="13">
        <v>32</v>
      </c>
    </row>
    <row r="684" spans="1:10" x14ac:dyDescent="0.25">
      <c r="A684" s="11">
        <v>2011</v>
      </c>
      <c r="B684" s="11" t="s">
        <v>245</v>
      </c>
      <c r="C684" s="13">
        <v>973</v>
      </c>
      <c r="D684" s="13">
        <v>0</v>
      </c>
      <c r="E684" s="13">
        <v>52</v>
      </c>
      <c r="F684" s="13">
        <v>195</v>
      </c>
      <c r="G684" s="13">
        <v>285</v>
      </c>
      <c r="H684" s="13">
        <v>254</v>
      </c>
      <c r="I684" s="13">
        <v>150</v>
      </c>
      <c r="J684" s="13">
        <v>37</v>
      </c>
    </row>
    <row r="685" spans="1:10" x14ac:dyDescent="0.25">
      <c r="A685" s="11">
        <v>2011</v>
      </c>
      <c r="B685" s="11" t="s">
        <v>246</v>
      </c>
      <c r="C685" s="13">
        <v>235</v>
      </c>
      <c r="D685" s="13">
        <v>1</v>
      </c>
      <c r="E685" s="13">
        <v>13</v>
      </c>
      <c r="F685" s="13">
        <v>41</v>
      </c>
      <c r="G685" s="13">
        <v>60</v>
      </c>
      <c r="H685" s="13">
        <v>62</v>
      </c>
      <c r="I685" s="13">
        <v>44</v>
      </c>
      <c r="J685" s="13">
        <v>14</v>
      </c>
    </row>
    <row r="686" spans="1:10" x14ac:dyDescent="0.25">
      <c r="A686" s="11">
        <v>2011</v>
      </c>
      <c r="B686" s="11" t="s">
        <v>247</v>
      </c>
      <c r="C686" s="13">
        <v>1452</v>
      </c>
      <c r="D686" s="13">
        <v>0</v>
      </c>
      <c r="E686" s="13">
        <v>144</v>
      </c>
      <c r="F686" s="13">
        <v>322</v>
      </c>
      <c r="G686" s="13">
        <v>390</v>
      </c>
      <c r="H686" s="13">
        <v>350</v>
      </c>
      <c r="I686" s="13">
        <v>203</v>
      </c>
      <c r="J686" s="13">
        <v>43</v>
      </c>
    </row>
    <row r="687" spans="1:10" x14ac:dyDescent="0.25">
      <c r="A687" s="11">
        <v>2011</v>
      </c>
      <c r="B687" s="11" t="s">
        <v>248</v>
      </c>
      <c r="C687" s="13">
        <v>3993</v>
      </c>
      <c r="D687" s="13">
        <v>1</v>
      </c>
      <c r="E687" s="13">
        <v>256</v>
      </c>
      <c r="F687" s="13">
        <v>769</v>
      </c>
      <c r="G687" s="13">
        <v>1146</v>
      </c>
      <c r="H687" s="13">
        <v>1140</v>
      </c>
      <c r="I687" s="13">
        <v>563</v>
      </c>
      <c r="J687" s="13">
        <v>118</v>
      </c>
    </row>
    <row r="688" spans="1:10" x14ac:dyDescent="0.25">
      <c r="A688" s="11">
        <v>2011</v>
      </c>
      <c r="B688" s="11" t="s">
        <v>249</v>
      </c>
      <c r="C688" s="13">
        <v>205</v>
      </c>
      <c r="D688" s="13">
        <v>0</v>
      </c>
      <c r="E688" s="13">
        <v>7</v>
      </c>
      <c r="F688" s="13">
        <v>37</v>
      </c>
      <c r="G688" s="13">
        <v>64</v>
      </c>
      <c r="H688" s="13">
        <v>56</v>
      </c>
      <c r="I688" s="13">
        <v>31</v>
      </c>
      <c r="J688" s="13">
        <v>10</v>
      </c>
    </row>
    <row r="689" spans="1:10" x14ac:dyDescent="0.25">
      <c r="A689" s="11">
        <v>2011</v>
      </c>
      <c r="B689" s="11" t="s">
        <v>250</v>
      </c>
      <c r="C689" s="13">
        <v>1447</v>
      </c>
      <c r="D689" s="13">
        <v>1</v>
      </c>
      <c r="E689" s="13">
        <v>78</v>
      </c>
      <c r="F689" s="13">
        <v>248</v>
      </c>
      <c r="G689" s="13">
        <v>396</v>
      </c>
      <c r="H689" s="13">
        <v>407</v>
      </c>
      <c r="I689" s="13">
        <v>254</v>
      </c>
      <c r="J689" s="13">
        <v>63</v>
      </c>
    </row>
    <row r="690" spans="1:10" x14ac:dyDescent="0.25">
      <c r="A690" s="11">
        <v>2011</v>
      </c>
      <c r="B690" s="11" t="s">
        <v>251</v>
      </c>
      <c r="C690" s="13">
        <v>1828</v>
      </c>
      <c r="D690" s="13">
        <v>1</v>
      </c>
      <c r="E690" s="13">
        <v>105</v>
      </c>
      <c r="F690" s="13">
        <v>353</v>
      </c>
      <c r="G690" s="13">
        <v>477</v>
      </c>
      <c r="H690" s="13">
        <v>536</v>
      </c>
      <c r="I690" s="13">
        <v>276</v>
      </c>
      <c r="J690" s="13">
        <v>80</v>
      </c>
    </row>
    <row r="691" spans="1:10" x14ac:dyDescent="0.25">
      <c r="A691" s="11">
        <v>2011</v>
      </c>
      <c r="B691" s="11" t="s">
        <v>252</v>
      </c>
      <c r="C691" s="13">
        <v>1108</v>
      </c>
      <c r="D691" s="13">
        <v>1</v>
      </c>
      <c r="E691" s="13">
        <v>63</v>
      </c>
      <c r="F691" s="13">
        <v>197</v>
      </c>
      <c r="G691" s="13">
        <v>302</v>
      </c>
      <c r="H691" s="13">
        <v>302</v>
      </c>
      <c r="I691" s="13">
        <v>187</v>
      </c>
      <c r="J691" s="13">
        <v>56</v>
      </c>
    </row>
    <row r="692" spans="1:10" x14ac:dyDescent="0.25">
      <c r="A692" s="11">
        <v>2011</v>
      </c>
      <c r="B692" s="11" t="s">
        <v>253</v>
      </c>
      <c r="C692" s="13">
        <v>242</v>
      </c>
      <c r="D692" s="13">
        <v>0</v>
      </c>
      <c r="E692" s="13">
        <v>14</v>
      </c>
      <c r="F692" s="13">
        <v>39</v>
      </c>
      <c r="G692" s="13">
        <v>62</v>
      </c>
      <c r="H692" s="13">
        <v>78</v>
      </c>
      <c r="I692" s="13">
        <v>40</v>
      </c>
      <c r="J692" s="13">
        <v>9</v>
      </c>
    </row>
    <row r="693" spans="1:10" x14ac:dyDescent="0.25">
      <c r="A693" s="11">
        <v>2011</v>
      </c>
      <c r="B693" s="11" t="s">
        <v>254</v>
      </c>
      <c r="C693" s="13">
        <v>1073</v>
      </c>
      <c r="D693" s="13">
        <v>1</v>
      </c>
      <c r="E693" s="13">
        <v>77</v>
      </c>
      <c r="F693" s="13">
        <v>219</v>
      </c>
      <c r="G693" s="13">
        <v>272</v>
      </c>
      <c r="H693" s="13">
        <v>281</v>
      </c>
      <c r="I693" s="13">
        <v>173</v>
      </c>
      <c r="J693" s="13">
        <v>50</v>
      </c>
    </row>
    <row r="694" spans="1:10" x14ac:dyDescent="0.25">
      <c r="A694" s="11">
        <v>2011</v>
      </c>
      <c r="B694" s="11" t="s">
        <v>255</v>
      </c>
      <c r="C694" s="13">
        <v>3502</v>
      </c>
      <c r="D694" s="13">
        <v>4</v>
      </c>
      <c r="E694" s="13">
        <v>175</v>
      </c>
      <c r="F694" s="13">
        <v>565</v>
      </c>
      <c r="G694" s="13">
        <v>939</v>
      </c>
      <c r="H694" s="13">
        <v>1069</v>
      </c>
      <c r="I694" s="13">
        <v>614</v>
      </c>
      <c r="J694" s="13">
        <v>136</v>
      </c>
    </row>
    <row r="695" spans="1:10" x14ac:dyDescent="0.25">
      <c r="A695" s="11">
        <v>2011</v>
      </c>
      <c r="B695" s="11" t="s">
        <v>256</v>
      </c>
      <c r="C695" s="13">
        <v>833</v>
      </c>
      <c r="D695" s="13">
        <v>0</v>
      </c>
      <c r="E695" s="13">
        <v>47</v>
      </c>
      <c r="F695" s="13">
        <v>103</v>
      </c>
      <c r="G695" s="13">
        <v>196</v>
      </c>
      <c r="H695" s="13">
        <v>269</v>
      </c>
      <c r="I695" s="13">
        <v>179</v>
      </c>
      <c r="J695" s="13">
        <v>39</v>
      </c>
    </row>
    <row r="696" spans="1:10" x14ac:dyDescent="0.25">
      <c r="A696" s="11">
        <v>2011</v>
      </c>
      <c r="B696" s="11" t="s">
        <v>257</v>
      </c>
      <c r="C696" s="13">
        <v>1064</v>
      </c>
      <c r="D696" s="13">
        <v>0</v>
      </c>
      <c r="E696" s="13">
        <v>78</v>
      </c>
      <c r="F696" s="13">
        <v>240</v>
      </c>
      <c r="G696" s="13">
        <v>329</v>
      </c>
      <c r="H696" s="13">
        <v>252</v>
      </c>
      <c r="I696" s="13">
        <v>137</v>
      </c>
      <c r="J696" s="13">
        <v>28</v>
      </c>
    </row>
    <row r="697" spans="1:10" x14ac:dyDescent="0.25">
      <c r="A697" s="11">
        <v>2011</v>
      </c>
      <c r="B697" s="11" t="s">
        <v>258</v>
      </c>
      <c r="C697" s="13">
        <v>2134</v>
      </c>
      <c r="D697" s="13">
        <v>0</v>
      </c>
      <c r="E697" s="13">
        <v>121</v>
      </c>
      <c r="F697" s="13">
        <v>451</v>
      </c>
      <c r="G697" s="13">
        <v>589</v>
      </c>
      <c r="H697" s="13">
        <v>574</v>
      </c>
      <c r="I697" s="13">
        <v>334</v>
      </c>
      <c r="J697" s="13">
        <v>65</v>
      </c>
    </row>
    <row r="698" spans="1:10" x14ac:dyDescent="0.25">
      <c r="A698" s="11">
        <v>2012</v>
      </c>
      <c r="B698" s="11" t="s">
        <v>11</v>
      </c>
      <c r="C698" s="13">
        <v>58027</v>
      </c>
      <c r="D698" s="13">
        <v>45</v>
      </c>
      <c r="E698" s="13">
        <v>3074</v>
      </c>
      <c r="F698" s="13">
        <v>10272</v>
      </c>
      <c r="G698" s="13">
        <v>16028</v>
      </c>
      <c r="H698" s="13">
        <v>17262</v>
      </c>
      <c r="I698" s="13">
        <v>9147</v>
      </c>
      <c r="J698" s="13">
        <v>2199</v>
      </c>
    </row>
    <row r="699" spans="1:10" x14ac:dyDescent="0.25">
      <c r="A699" s="11">
        <v>2012</v>
      </c>
      <c r="B699" s="11" t="s">
        <v>227</v>
      </c>
      <c r="C699" s="13">
        <v>2688</v>
      </c>
      <c r="D699" s="13">
        <v>0</v>
      </c>
      <c r="E699" s="13">
        <v>121</v>
      </c>
      <c r="F699" s="13">
        <v>410</v>
      </c>
      <c r="G699" s="13">
        <v>798</v>
      </c>
      <c r="H699" s="13">
        <v>843</v>
      </c>
      <c r="I699" s="13">
        <v>421</v>
      </c>
      <c r="J699" s="13">
        <v>95</v>
      </c>
    </row>
    <row r="700" spans="1:10" x14ac:dyDescent="0.25">
      <c r="A700" s="11">
        <v>2012</v>
      </c>
      <c r="B700" s="11" t="s">
        <v>228</v>
      </c>
      <c r="C700" s="13">
        <v>2867</v>
      </c>
      <c r="D700" s="13">
        <v>0</v>
      </c>
      <c r="E700" s="13">
        <v>105</v>
      </c>
      <c r="F700" s="13">
        <v>388</v>
      </c>
      <c r="G700" s="13">
        <v>832</v>
      </c>
      <c r="H700" s="13">
        <v>981</v>
      </c>
      <c r="I700" s="13">
        <v>465</v>
      </c>
      <c r="J700" s="13">
        <v>96</v>
      </c>
    </row>
    <row r="701" spans="1:10" x14ac:dyDescent="0.25">
      <c r="A701" s="11">
        <v>2012</v>
      </c>
      <c r="B701" s="11" t="s">
        <v>229</v>
      </c>
      <c r="C701" s="13">
        <v>1156</v>
      </c>
      <c r="D701" s="13">
        <v>0</v>
      </c>
      <c r="E701" s="13">
        <v>64</v>
      </c>
      <c r="F701" s="13">
        <v>214</v>
      </c>
      <c r="G701" s="13">
        <v>316</v>
      </c>
      <c r="H701" s="13">
        <v>355</v>
      </c>
      <c r="I701" s="13">
        <v>157</v>
      </c>
      <c r="J701" s="13">
        <v>50</v>
      </c>
    </row>
    <row r="702" spans="1:10" x14ac:dyDescent="0.25">
      <c r="A702" s="11">
        <v>2012</v>
      </c>
      <c r="B702" s="11" t="s">
        <v>230</v>
      </c>
      <c r="C702" s="13">
        <v>765</v>
      </c>
      <c r="D702" s="13">
        <v>0</v>
      </c>
      <c r="E702" s="13">
        <v>35</v>
      </c>
      <c r="F702" s="13">
        <v>138</v>
      </c>
      <c r="G702" s="13">
        <v>203</v>
      </c>
      <c r="H702" s="13">
        <v>217</v>
      </c>
      <c r="I702" s="13">
        <v>127</v>
      </c>
      <c r="J702" s="13">
        <v>45</v>
      </c>
    </row>
    <row r="703" spans="1:10" x14ac:dyDescent="0.25">
      <c r="A703" s="11">
        <v>2012</v>
      </c>
      <c r="B703" s="11" t="s">
        <v>231</v>
      </c>
      <c r="C703" s="13">
        <v>5606</v>
      </c>
      <c r="D703" s="13">
        <v>5</v>
      </c>
      <c r="E703" s="13">
        <v>178</v>
      </c>
      <c r="F703" s="13">
        <v>684</v>
      </c>
      <c r="G703" s="13">
        <v>1318</v>
      </c>
      <c r="H703" s="13">
        <v>1919</v>
      </c>
      <c r="I703" s="13">
        <v>1222</v>
      </c>
      <c r="J703" s="13">
        <v>280</v>
      </c>
    </row>
    <row r="704" spans="1:10" x14ac:dyDescent="0.25">
      <c r="A704" s="11">
        <v>2012</v>
      </c>
      <c r="B704" s="11" t="s">
        <v>232</v>
      </c>
      <c r="C704" s="13">
        <v>627</v>
      </c>
      <c r="D704" s="13">
        <v>0</v>
      </c>
      <c r="E704" s="13">
        <v>51</v>
      </c>
      <c r="F704" s="13">
        <v>145</v>
      </c>
      <c r="G704" s="13">
        <v>172</v>
      </c>
      <c r="H704" s="13">
        <v>171</v>
      </c>
      <c r="I704" s="13">
        <v>70</v>
      </c>
      <c r="J704" s="13">
        <v>18</v>
      </c>
    </row>
    <row r="705" spans="1:10" x14ac:dyDescent="0.25">
      <c r="A705" s="11">
        <v>2012</v>
      </c>
      <c r="B705" s="11" t="s">
        <v>233</v>
      </c>
      <c r="C705" s="13">
        <v>1390</v>
      </c>
      <c r="D705" s="13">
        <v>2</v>
      </c>
      <c r="E705" s="13">
        <v>92</v>
      </c>
      <c r="F705" s="13">
        <v>314</v>
      </c>
      <c r="G705" s="13">
        <v>425</v>
      </c>
      <c r="H705" s="13">
        <v>346</v>
      </c>
      <c r="I705" s="13">
        <v>174</v>
      </c>
      <c r="J705" s="13">
        <v>37</v>
      </c>
    </row>
    <row r="706" spans="1:10" x14ac:dyDescent="0.25">
      <c r="A706" s="11">
        <v>2012</v>
      </c>
      <c r="B706" s="11" t="s">
        <v>234</v>
      </c>
      <c r="C706" s="13">
        <v>1718</v>
      </c>
      <c r="D706" s="13">
        <v>0</v>
      </c>
      <c r="E706" s="13">
        <v>116</v>
      </c>
      <c r="F706" s="13">
        <v>397</v>
      </c>
      <c r="G706" s="13">
        <v>525</v>
      </c>
      <c r="H706" s="13">
        <v>420</v>
      </c>
      <c r="I706" s="13">
        <v>210</v>
      </c>
      <c r="J706" s="13">
        <v>50</v>
      </c>
    </row>
    <row r="707" spans="1:10" x14ac:dyDescent="0.25">
      <c r="A707" s="11">
        <v>2012</v>
      </c>
      <c r="B707" s="11" t="s">
        <v>235</v>
      </c>
      <c r="C707" s="13">
        <v>1358</v>
      </c>
      <c r="D707" s="13">
        <v>0</v>
      </c>
      <c r="E707" s="13">
        <v>114</v>
      </c>
      <c r="F707" s="13">
        <v>300</v>
      </c>
      <c r="G707" s="13">
        <v>402</v>
      </c>
      <c r="H707" s="13">
        <v>325</v>
      </c>
      <c r="I707" s="13">
        <v>186</v>
      </c>
      <c r="J707" s="13">
        <v>31</v>
      </c>
    </row>
    <row r="708" spans="1:10" x14ac:dyDescent="0.25">
      <c r="A708" s="11">
        <v>2012</v>
      </c>
      <c r="B708" s="11" t="s">
        <v>236</v>
      </c>
      <c r="C708" s="13">
        <v>894</v>
      </c>
      <c r="D708" s="13">
        <v>0</v>
      </c>
      <c r="E708" s="13">
        <v>28</v>
      </c>
      <c r="F708" s="13">
        <v>96</v>
      </c>
      <c r="G708" s="13">
        <v>193</v>
      </c>
      <c r="H708" s="13">
        <v>328</v>
      </c>
      <c r="I708" s="13">
        <v>202</v>
      </c>
      <c r="J708" s="13">
        <v>47</v>
      </c>
    </row>
    <row r="709" spans="1:10" x14ac:dyDescent="0.25">
      <c r="A709" s="11">
        <v>2012</v>
      </c>
      <c r="B709" s="11" t="s">
        <v>237</v>
      </c>
      <c r="C709" s="13">
        <v>1079</v>
      </c>
      <c r="D709" s="13">
        <v>0</v>
      </c>
      <c r="E709" s="13">
        <v>65</v>
      </c>
      <c r="F709" s="13">
        <v>190</v>
      </c>
      <c r="G709" s="13">
        <v>292</v>
      </c>
      <c r="H709" s="13">
        <v>296</v>
      </c>
      <c r="I709" s="13">
        <v>189</v>
      </c>
      <c r="J709" s="13">
        <v>47</v>
      </c>
    </row>
    <row r="710" spans="1:10" x14ac:dyDescent="0.25">
      <c r="A710" s="11">
        <v>2012</v>
      </c>
      <c r="B710" s="11" t="s">
        <v>238</v>
      </c>
      <c r="C710" s="13">
        <v>881</v>
      </c>
      <c r="D710" s="13">
        <v>1</v>
      </c>
      <c r="E710" s="13">
        <v>20</v>
      </c>
      <c r="F710" s="13">
        <v>73</v>
      </c>
      <c r="G710" s="13">
        <v>174</v>
      </c>
      <c r="H710" s="13">
        <v>341</v>
      </c>
      <c r="I710" s="13">
        <v>216</v>
      </c>
      <c r="J710" s="13">
        <v>56</v>
      </c>
    </row>
    <row r="711" spans="1:10" x14ac:dyDescent="0.25">
      <c r="A711" s="11">
        <v>2012</v>
      </c>
      <c r="B711" s="11" t="s">
        <v>239</v>
      </c>
      <c r="C711" s="13">
        <v>1806</v>
      </c>
      <c r="D711" s="13">
        <v>2</v>
      </c>
      <c r="E711" s="13">
        <v>106</v>
      </c>
      <c r="F711" s="13">
        <v>315</v>
      </c>
      <c r="G711" s="13">
        <v>488</v>
      </c>
      <c r="H711" s="13">
        <v>527</v>
      </c>
      <c r="I711" s="13">
        <v>299</v>
      </c>
      <c r="J711" s="13">
        <v>69</v>
      </c>
    </row>
    <row r="712" spans="1:10" x14ac:dyDescent="0.25">
      <c r="A712" s="11">
        <v>2012</v>
      </c>
      <c r="B712" s="11" t="s">
        <v>240</v>
      </c>
      <c r="C712" s="13">
        <v>4019</v>
      </c>
      <c r="D712" s="13">
        <v>2</v>
      </c>
      <c r="E712" s="13">
        <v>270</v>
      </c>
      <c r="F712" s="13">
        <v>817</v>
      </c>
      <c r="G712" s="13">
        <v>1163</v>
      </c>
      <c r="H712" s="13">
        <v>1076</v>
      </c>
      <c r="I712" s="13">
        <v>571</v>
      </c>
      <c r="J712" s="13">
        <v>120</v>
      </c>
    </row>
    <row r="713" spans="1:10" x14ac:dyDescent="0.25">
      <c r="A713" s="11">
        <v>2012</v>
      </c>
      <c r="B713" s="11" t="s">
        <v>241</v>
      </c>
      <c r="C713" s="13">
        <v>7543</v>
      </c>
      <c r="D713" s="13">
        <v>7</v>
      </c>
      <c r="E713" s="13">
        <v>366</v>
      </c>
      <c r="F713" s="13">
        <v>1374</v>
      </c>
      <c r="G713" s="13">
        <v>2164</v>
      </c>
      <c r="H713" s="13">
        <v>2234</v>
      </c>
      <c r="I713" s="13">
        <v>1100</v>
      </c>
      <c r="J713" s="13">
        <v>298</v>
      </c>
    </row>
    <row r="714" spans="1:10" x14ac:dyDescent="0.25">
      <c r="A714" s="11">
        <v>2012</v>
      </c>
      <c r="B714" s="11" t="s">
        <v>242</v>
      </c>
      <c r="C714" s="13">
        <v>2380</v>
      </c>
      <c r="D714" s="13">
        <v>8</v>
      </c>
      <c r="E714" s="13">
        <v>142</v>
      </c>
      <c r="F714" s="13">
        <v>428</v>
      </c>
      <c r="G714" s="13">
        <v>675</v>
      </c>
      <c r="H714" s="13">
        <v>636</v>
      </c>
      <c r="I714" s="13">
        <v>385</v>
      </c>
      <c r="J714" s="13">
        <v>106</v>
      </c>
    </row>
    <row r="715" spans="1:10" x14ac:dyDescent="0.25">
      <c r="A715" s="11">
        <v>2012</v>
      </c>
      <c r="B715" s="11" t="s">
        <v>243</v>
      </c>
      <c r="C715" s="13">
        <v>766</v>
      </c>
      <c r="D715" s="13">
        <v>0</v>
      </c>
      <c r="E715" s="13">
        <v>49</v>
      </c>
      <c r="F715" s="13">
        <v>146</v>
      </c>
      <c r="G715" s="13">
        <v>232</v>
      </c>
      <c r="H715" s="13">
        <v>214</v>
      </c>
      <c r="I715" s="13">
        <v>104</v>
      </c>
      <c r="J715" s="13">
        <v>21</v>
      </c>
    </row>
    <row r="716" spans="1:10" x14ac:dyDescent="0.25">
      <c r="A716" s="11">
        <v>2012</v>
      </c>
      <c r="B716" s="11" t="s">
        <v>244</v>
      </c>
      <c r="C716" s="13">
        <v>1060</v>
      </c>
      <c r="D716" s="13">
        <v>0</v>
      </c>
      <c r="E716" s="13">
        <v>69</v>
      </c>
      <c r="F716" s="13">
        <v>208</v>
      </c>
      <c r="G716" s="13">
        <v>277</v>
      </c>
      <c r="H716" s="13">
        <v>299</v>
      </c>
      <c r="I716" s="13">
        <v>171</v>
      </c>
      <c r="J716" s="13">
        <v>36</v>
      </c>
    </row>
    <row r="717" spans="1:10" x14ac:dyDescent="0.25">
      <c r="A717" s="11">
        <v>2012</v>
      </c>
      <c r="B717" s="11" t="s">
        <v>245</v>
      </c>
      <c r="C717" s="13">
        <v>915</v>
      </c>
      <c r="D717" s="13">
        <v>0</v>
      </c>
      <c r="E717" s="13">
        <v>61</v>
      </c>
      <c r="F717" s="13">
        <v>193</v>
      </c>
      <c r="G717" s="13">
        <v>288</v>
      </c>
      <c r="H717" s="13">
        <v>233</v>
      </c>
      <c r="I717" s="13">
        <v>113</v>
      </c>
      <c r="J717" s="13">
        <v>27</v>
      </c>
    </row>
    <row r="718" spans="1:10" x14ac:dyDescent="0.25">
      <c r="A718" s="11">
        <v>2012</v>
      </c>
      <c r="B718" s="11" t="s">
        <v>246</v>
      </c>
      <c r="C718" s="13">
        <v>237</v>
      </c>
      <c r="D718" s="13">
        <v>0</v>
      </c>
      <c r="E718" s="13">
        <v>14</v>
      </c>
      <c r="F718" s="13">
        <v>33</v>
      </c>
      <c r="G718" s="13">
        <v>51</v>
      </c>
      <c r="H718" s="13">
        <v>77</v>
      </c>
      <c r="I718" s="13">
        <v>55</v>
      </c>
      <c r="J718" s="13">
        <v>7</v>
      </c>
    </row>
    <row r="719" spans="1:10" x14ac:dyDescent="0.25">
      <c r="A719" s="11">
        <v>2012</v>
      </c>
      <c r="B719" s="11" t="s">
        <v>247</v>
      </c>
      <c r="C719" s="13">
        <v>1346</v>
      </c>
      <c r="D719" s="13">
        <v>0</v>
      </c>
      <c r="E719" s="13">
        <v>88</v>
      </c>
      <c r="F719" s="13">
        <v>309</v>
      </c>
      <c r="G719" s="13">
        <v>373</v>
      </c>
      <c r="H719" s="13">
        <v>370</v>
      </c>
      <c r="I719" s="13">
        <v>168</v>
      </c>
      <c r="J719" s="13">
        <v>38</v>
      </c>
    </row>
    <row r="720" spans="1:10" x14ac:dyDescent="0.25">
      <c r="A720" s="11">
        <v>2012</v>
      </c>
      <c r="B720" s="11" t="s">
        <v>248</v>
      </c>
      <c r="C720" s="13">
        <v>3740</v>
      </c>
      <c r="D720" s="13">
        <v>1</v>
      </c>
      <c r="E720" s="13">
        <v>226</v>
      </c>
      <c r="F720" s="13">
        <v>744</v>
      </c>
      <c r="G720" s="13">
        <v>1095</v>
      </c>
      <c r="H720" s="13">
        <v>1089</v>
      </c>
      <c r="I720" s="13">
        <v>476</v>
      </c>
      <c r="J720" s="13">
        <v>109</v>
      </c>
    </row>
    <row r="721" spans="1:10" x14ac:dyDescent="0.25">
      <c r="A721" s="11">
        <v>2012</v>
      </c>
      <c r="B721" s="11" t="s">
        <v>249</v>
      </c>
      <c r="C721" s="13">
        <v>201</v>
      </c>
      <c r="D721" s="13">
        <v>0</v>
      </c>
      <c r="E721" s="13">
        <v>9</v>
      </c>
      <c r="F721" s="13">
        <v>33</v>
      </c>
      <c r="G721" s="13">
        <v>56</v>
      </c>
      <c r="H721" s="13">
        <v>54</v>
      </c>
      <c r="I721" s="13">
        <v>36</v>
      </c>
      <c r="J721" s="13">
        <v>13</v>
      </c>
    </row>
    <row r="722" spans="1:10" x14ac:dyDescent="0.25">
      <c r="A722" s="11">
        <v>2012</v>
      </c>
      <c r="B722" s="11" t="s">
        <v>250</v>
      </c>
      <c r="C722" s="13">
        <v>1277</v>
      </c>
      <c r="D722" s="13">
        <v>0</v>
      </c>
      <c r="E722" s="13">
        <v>62</v>
      </c>
      <c r="F722" s="13">
        <v>220</v>
      </c>
      <c r="G722" s="13">
        <v>359</v>
      </c>
      <c r="H722" s="13">
        <v>375</v>
      </c>
      <c r="I722" s="13">
        <v>202</v>
      </c>
      <c r="J722" s="13">
        <v>59</v>
      </c>
    </row>
    <row r="723" spans="1:10" x14ac:dyDescent="0.25">
      <c r="A723" s="11">
        <v>2012</v>
      </c>
      <c r="B723" s="11" t="s">
        <v>251</v>
      </c>
      <c r="C723" s="13">
        <v>1960</v>
      </c>
      <c r="D723" s="13">
        <v>1</v>
      </c>
      <c r="E723" s="13">
        <v>92</v>
      </c>
      <c r="F723" s="13">
        <v>320</v>
      </c>
      <c r="G723" s="13">
        <v>568</v>
      </c>
      <c r="H723" s="13">
        <v>629</v>
      </c>
      <c r="I723" s="13">
        <v>273</v>
      </c>
      <c r="J723" s="13">
        <v>77</v>
      </c>
    </row>
    <row r="724" spans="1:10" x14ac:dyDescent="0.25">
      <c r="A724" s="11">
        <v>2012</v>
      </c>
      <c r="B724" s="11" t="s">
        <v>252</v>
      </c>
      <c r="C724" s="13">
        <v>1140</v>
      </c>
      <c r="D724" s="13">
        <v>0</v>
      </c>
      <c r="E724" s="13">
        <v>67</v>
      </c>
      <c r="F724" s="13">
        <v>202</v>
      </c>
      <c r="G724" s="13">
        <v>303</v>
      </c>
      <c r="H724" s="13">
        <v>339</v>
      </c>
      <c r="I724" s="13">
        <v>174</v>
      </c>
      <c r="J724" s="13">
        <v>55</v>
      </c>
    </row>
    <row r="725" spans="1:10" x14ac:dyDescent="0.25">
      <c r="A725" s="11">
        <v>2012</v>
      </c>
      <c r="B725" s="11" t="s">
        <v>253</v>
      </c>
      <c r="C725" s="13">
        <v>276</v>
      </c>
      <c r="D725" s="13">
        <v>0</v>
      </c>
      <c r="E725" s="13">
        <v>9</v>
      </c>
      <c r="F725" s="13">
        <v>45</v>
      </c>
      <c r="G725" s="13">
        <v>78</v>
      </c>
      <c r="H725" s="13">
        <v>86</v>
      </c>
      <c r="I725" s="13">
        <v>49</v>
      </c>
      <c r="J725" s="13">
        <v>9</v>
      </c>
    </row>
    <row r="726" spans="1:10" x14ac:dyDescent="0.25">
      <c r="A726" s="11">
        <v>2012</v>
      </c>
      <c r="B726" s="11" t="s">
        <v>254</v>
      </c>
      <c r="C726" s="13">
        <v>997</v>
      </c>
      <c r="D726" s="13">
        <v>3</v>
      </c>
      <c r="E726" s="13">
        <v>56</v>
      </c>
      <c r="F726" s="13">
        <v>215</v>
      </c>
      <c r="G726" s="13">
        <v>261</v>
      </c>
      <c r="H726" s="13">
        <v>266</v>
      </c>
      <c r="I726" s="13">
        <v>161</v>
      </c>
      <c r="J726" s="13">
        <v>35</v>
      </c>
    </row>
    <row r="727" spans="1:10" x14ac:dyDescent="0.25">
      <c r="A727" s="11">
        <v>2012</v>
      </c>
      <c r="B727" s="11" t="s">
        <v>255</v>
      </c>
      <c r="C727" s="13">
        <v>3375</v>
      </c>
      <c r="D727" s="13">
        <v>13</v>
      </c>
      <c r="E727" s="13">
        <v>183</v>
      </c>
      <c r="F727" s="13">
        <v>582</v>
      </c>
      <c r="G727" s="13">
        <v>840</v>
      </c>
      <c r="H727" s="13">
        <v>1113</v>
      </c>
      <c r="I727" s="13">
        <v>510</v>
      </c>
      <c r="J727" s="13">
        <v>134</v>
      </c>
    </row>
    <row r="728" spans="1:10" x14ac:dyDescent="0.25">
      <c r="A728" s="11">
        <v>2012</v>
      </c>
      <c r="B728" s="11" t="s">
        <v>256</v>
      </c>
      <c r="C728" s="13">
        <v>821</v>
      </c>
      <c r="D728" s="13">
        <v>0</v>
      </c>
      <c r="E728" s="13">
        <v>36</v>
      </c>
      <c r="F728" s="13">
        <v>125</v>
      </c>
      <c r="G728" s="13">
        <v>202</v>
      </c>
      <c r="H728" s="13">
        <v>254</v>
      </c>
      <c r="I728" s="13">
        <v>161</v>
      </c>
      <c r="J728" s="13">
        <v>43</v>
      </c>
    </row>
    <row r="729" spans="1:10" x14ac:dyDescent="0.25">
      <c r="A729" s="11">
        <v>2012</v>
      </c>
      <c r="B729" s="11" t="s">
        <v>257</v>
      </c>
      <c r="C729" s="13">
        <v>1054</v>
      </c>
      <c r="D729" s="13">
        <v>0</v>
      </c>
      <c r="E729" s="13">
        <v>67</v>
      </c>
      <c r="F729" s="13">
        <v>205</v>
      </c>
      <c r="G729" s="13">
        <v>315</v>
      </c>
      <c r="H729" s="13">
        <v>291</v>
      </c>
      <c r="I729" s="13">
        <v>155</v>
      </c>
      <c r="J729" s="13">
        <v>21</v>
      </c>
    </row>
    <row r="730" spans="1:10" x14ac:dyDescent="0.25">
      <c r="A730" s="11">
        <v>2012</v>
      </c>
      <c r="B730" s="11" t="s">
        <v>258</v>
      </c>
      <c r="C730" s="13">
        <v>2085</v>
      </c>
      <c r="D730" s="13">
        <v>0</v>
      </c>
      <c r="E730" s="13">
        <v>113</v>
      </c>
      <c r="F730" s="13">
        <v>409</v>
      </c>
      <c r="G730" s="13">
        <v>590</v>
      </c>
      <c r="H730" s="13">
        <v>558</v>
      </c>
      <c r="I730" s="13">
        <v>345</v>
      </c>
      <c r="J730" s="13">
        <v>70</v>
      </c>
    </row>
    <row r="731" spans="1:10" x14ac:dyDescent="0.25">
      <c r="A731" s="11">
        <v>2013</v>
      </c>
      <c r="B731" s="11" t="s">
        <v>11</v>
      </c>
      <c r="C731" s="13">
        <v>56014</v>
      </c>
      <c r="D731" s="13">
        <v>17</v>
      </c>
      <c r="E731" s="13">
        <v>2763</v>
      </c>
      <c r="F731" s="13">
        <v>9767</v>
      </c>
      <c r="G731" s="13">
        <v>15228</v>
      </c>
      <c r="H731" s="13">
        <v>17032</v>
      </c>
      <c r="I731" s="13">
        <v>8973</v>
      </c>
      <c r="J731" s="13">
        <v>2234</v>
      </c>
    </row>
    <row r="732" spans="1:10" x14ac:dyDescent="0.25">
      <c r="A732" s="11">
        <v>2013</v>
      </c>
      <c r="B732" s="11" t="s">
        <v>227</v>
      </c>
      <c r="C732" s="13">
        <v>2500</v>
      </c>
      <c r="D732" s="13">
        <v>0</v>
      </c>
      <c r="E732" s="13">
        <v>104</v>
      </c>
      <c r="F732" s="13">
        <v>380</v>
      </c>
      <c r="G732" s="13">
        <v>714</v>
      </c>
      <c r="H732" s="13">
        <v>849</v>
      </c>
      <c r="I732" s="13">
        <v>375</v>
      </c>
      <c r="J732" s="13">
        <v>78</v>
      </c>
    </row>
    <row r="733" spans="1:10" x14ac:dyDescent="0.25">
      <c r="A733" s="11">
        <v>2013</v>
      </c>
      <c r="B733" s="11" t="s">
        <v>228</v>
      </c>
      <c r="C733" s="13">
        <v>2697</v>
      </c>
      <c r="D733" s="13">
        <v>1</v>
      </c>
      <c r="E733" s="13">
        <v>106</v>
      </c>
      <c r="F733" s="13">
        <v>373</v>
      </c>
      <c r="G733" s="13">
        <v>727</v>
      </c>
      <c r="H733" s="13">
        <v>914</v>
      </c>
      <c r="I733" s="13">
        <v>473</v>
      </c>
      <c r="J733" s="13">
        <v>103</v>
      </c>
    </row>
    <row r="734" spans="1:10" x14ac:dyDescent="0.25">
      <c r="A734" s="11">
        <v>2013</v>
      </c>
      <c r="B734" s="11" t="s">
        <v>229</v>
      </c>
      <c r="C734" s="13">
        <v>1111</v>
      </c>
      <c r="D734" s="13">
        <v>0</v>
      </c>
      <c r="E734" s="13">
        <v>57</v>
      </c>
      <c r="F734" s="13">
        <v>221</v>
      </c>
      <c r="G734" s="13">
        <v>301</v>
      </c>
      <c r="H734" s="13">
        <v>317</v>
      </c>
      <c r="I734" s="13">
        <v>159</v>
      </c>
      <c r="J734" s="13">
        <v>56</v>
      </c>
    </row>
    <row r="735" spans="1:10" x14ac:dyDescent="0.25">
      <c r="A735" s="11">
        <v>2013</v>
      </c>
      <c r="B735" s="11" t="s">
        <v>230</v>
      </c>
      <c r="C735" s="13">
        <v>709</v>
      </c>
      <c r="D735" s="13">
        <v>1</v>
      </c>
      <c r="E735" s="13">
        <v>48</v>
      </c>
      <c r="F735" s="13">
        <v>137</v>
      </c>
      <c r="G735" s="13">
        <v>186</v>
      </c>
      <c r="H735" s="13">
        <v>187</v>
      </c>
      <c r="I735" s="13">
        <v>111</v>
      </c>
      <c r="J735" s="13">
        <v>39</v>
      </c>
    </row>
    <row r="736" spans="1:10" x14ac:dyDescent="0.25">
      <c r="A736" s="11">
        <v>2013</v>
      </c>
      <c r="B736" s="11" t="s">
        <v>231</v>
      </c>
      <c r="C736" s="13">
        <v>5486</v>
      </c>
      <c r="D736" s="13">
        <v>1</v>
      </c>
      <c r="E736" s="13">
        <v>165</v>
      </c>
      <c r="F736" s="13">
        <v>625</v>
      </c>
      <c r="G736" s="13">
        <v>1240</v>
      </c>
      <c r="H736" s="13">
        <v>1962</v>
      </c>
      <c r="I736" s="13">
        <v>1224</v>
      </c>
      <c r="J736" s="13">
        <v>269</v>
      </c>
    </row>
    <row r="737" spans="1:10" x14ac:dyDescent="0.25">
      <c r="A737" s="11">
        <v>2013</v>
      </c>
      <c r="B737" s="11" t="s">
        <v>232</v>
      </c>
      <c r="C737" s="13">
        <v>550</v>
      </c>
      <c r="D737" s="13">
        <v>0</v>
      </c>
      <c r="E737" s="13">
        <v>47</v>
      </c>
      <c r="F737" s="13">
        <v>121</v>
      </c>
      <c r="G737" s="13">
        <v>155</v>
      </c>
      <c r="H737" s="13">
        <v>143</v>
      </c>
      <c r="I737" s="13">
        <v>65</v>
      </c>
      <c r="J737" s="13">
        <v>19</v>
      </c>
    </row>
    <row r="738" spans="1:10" x14ac:dyDescent="0.25">
      <c r="A738" s="11">
        <v>2013</v>
      </c>
      <c r="B738" s="11" t="s">
        <v>233</v>
      </c>
      <c r="C738" s="13">
        <v>1327</v>
      </c>
      <c r="D738" s="13">
        <v>0</v>
      </c>
      <c r="E738" s="13">
        <v>86</v>
      </c>
      <c r="F738" s="13">
        <v>276</v>
      </c>
      <c r="G738" s="13">
        <v>405</v>
      </c>
      <c r="H738" s="13">
        <v>339</v>
      </c>
      <c r="I738" s="13">
        <v>172</v>
      </c>
      <c r="J738" s="13">
        <v>49</v>
      </c>
    </row>
    <row r="739" spans="1:10" x14ac:dyDescent="0.25">
      <c r="A739" s="11">
        <v>2013</v>
      </c>
      <c r="B739" s="11" t="s">
        <v>234</v>
      </c>
      <c r="C739" s="13">
        <v>1590</v>
      </c>
      <c r="D739" s="13">
        <v>0</v>
      </c>
      <c r="E739" s="13">
        <v>104</v>
      </c>
      <c r="F739" s="13">
        <v>349</v>
      </c>
      <c r="G739" s="13">
        <v>490</v>
      </c>
      <c r="H739" s="13">
        <v>410</v>
      </c>
      <c r="I739" s="13">
        <v>195</v>
      </c>
      <c r="J739" s="13">
        <v>42</v>
      </c>
    </row>
    <row r="740" spans="1:10" x14ac:dyDescent="0.25">
      <c r="A740" s="11">
        <v>2013</v>
      </c>
      <c r="B740" s="11" t="s">
        <v>235</v>
      </c>
      <c r="C740" s="13">
        <v>1342</v>
      </c>
      <c r="D740" s="13">
        <v>0</v>
      </c>
      <c r="E740" s="13">
        <v>84</v>
      </c>
      <c r="F740" s="13">
        <v>296</v>
      </c>
      <c r="G740" s="13">
        <v>383</v>
      </c>
      <c r="H740" s="13">
        <v>357</v>
      </c>
      <c r="I740" s="13">
        <v>185</v>
      </c>
      <c r="J740" s="13">
        <v>37</v>
      </c>
    </row>
    <row r="741" spans="1:10" x14ac:dyDescent="0.25">
      <c r="A741" s="11">
        <v>2013</v>
      </c>
      <c r="B741" s="11" t="s">
        <v>236</v>
      </c>
      <c r="C741" s="13">
        <v>925</v>
      </c>
      <c r="D741" s="13">
        <v>0</v>
      </c>
      <c r="E741" s="13">
        <v>22</v>
      </c>
      <c r="F741" s="13">
        <v>81</v>
      </c>
      <c r="G741" s="13">
        <v>202</v>
      </c>
      <c r="H741" s="13">
        <v>329</v>
      </c>
      <c r="I741" s="13">
        <v>232</v>
      </c>
      <c r="J741" s="13">
        <v>59</v>
      </c>
    </row>
    <row r="742" spans="1:10" x14ac:dyDescent="0.25">
      <c r="A742" s="11">
        <v>2013</v>
      </c>
      <c r="B742" s="11" t="s">
        <v>237</v>
      </c>
      <c r="C742" s="13">
        <v>1057</v>
      </c>
      <c r="D742" s="13">
        <v>1</v>
      </c>
      <c r="E742" s="13">
        <v>52</v>
      </c>
      <c r="F742" s="13">
        <v>182</v>
      </c>
      <c r="G742" s="13">
        <v>255</v>
      </c>
      <c r="H742" s="13">
        <v>308</v>
      </c>
      <c r="I742" s="13">
        <v>199</v>
      </c>
      <c r="J742" s="13">
        <v>60</v>
      </c>
    </row>
    <row r="743" spans="1:10" x14ac:dyDescent="0.25">
      <c r="A743" s="11">
        <v>2013</v>
      </c>
      <c r="B743" s="11" t="s">
        <v>238</v>
      </c>
      <c r="C743" s="13">
        <v>880</v>
      </c>
      <c r="D743" s="13">
        <v>1</v>
      </c>
      <c r="E743" s="13">
        <v>21</v>
      </c>
      <c r="F743" s="13">
        <v>71</v>
      </c>
      <c r="G743" s="13">
        <v>167</v>
      </c>
      <c r="H743" s="13">
        <v>354</v>
      </c>
      <c r="I743" s="13">
        <v>211</v>
      </c>
      <c r="J743" s="13">
        <v>55</v>
      </c>
    </row>
    <row r="744" spans="1:10" x14ac:dyDescent="0.25">
      <c r="A744" s="11">
        <v>2013</v>
      </c>
      <c r="B744" s="11" t="s">
        <v>239</v>
      </c>
      <c r="C744" s="13">
        <v>1668</v>
      </c>
      <c r="D744" s="13">
        <v>3</v>
      </c>
      <c r="E744" s="13">
        <v>81</v>
      </c>
      <c r="F744" s="13">
        <v>328</v>
      </c>
      <c r="G744" s="13">
        <v>424</v>
      </c>
      <c r="H744" s="13">
        <v>500</v>
      </c>
      <c r="I744" s="13">
        <v>272</v>
      </c>
      <c r="J744" s="13">
        <v>60</v>
      </c>
    </row>
    <row r="745" spans="1:10" x14ac:dyDescent="0.25">
      <c r="A745" s="11">
        <v>2013</v>
      </c>
      <c r="B745" s="11" t="s">
        <v>240</v>
      </c>
      <c r="C745" s="13">
        <v>3872</v>
      </c>
      <c r="D745" s="13">
        <v>3</v>
      </c>
      <c r="E745" s="13">
        <v>240</v>
      </c>
      <c r="F745" s="13">
        <v>777</v>
      </c>
      <c r="G745" s="13">
        <v>1093</v>
      </c>
      <c r="H745" s="13">
        <v>1108</v>
      </c>
      <c r="I745" s="13">
        <v>530</v>
      </c>
      <c r="J745" s="13">
        <v>121</v>
      </c>
    </row>
    <row r="746" spans="1:10" x14ac:dyDescent="0.25">
      <c r="A746" s="11">
        <v>2013</v>
      </c>
      <c r="B746" s="11" t="s">
        <v>241</v>
      </c>
      <c r="C746" s="13">
        <v>7254</v>
      </c>
      <c r="D746" s="13">
        <v>1</v>
      </c>
      <c r="E746" s="13">
        <v>322</v>
      </c>
      <c r="F746" s="13">
        <v>1290</v>
      </c>
      <c r="G746" s="13">
        <v>2101</v>
      </c>
      <c r="H746" s="13">
        <v>2150</v>
      </c>
      <c r="I746" s="13">
        <v>1119</v>
      </c>
      <c r="J746" s="13">
        <v>271</v>
      </c>
    </row>
    <row r="747" spans="1:10" x14ac:dyDescent="0.25">
      <c r="A747" s="11">
        <v>2013</v>
      </c>
      <c r="B747" s="11" t="s">
        <v>242</v>
      </c>
      <c r="C747" s="13">
        <v>2233</v>
      </c>
      <c r="D747" s="13">
        <v>3</v>
      </c>
      <c r="E747" s="13">
        <v>118</v>
      </c>
      <c r="F747" s="13">
        <v>418</v>
      </c>
      <c r="G747" s="13">
        <v>581</v>
      </c>
      <c r="H747" s="13">
        <v>654</v>
      </c>
      <c r="I747" s="13">
        <v>349</v>
      </c>
      <c r="J747" s="13">
        <v>110</v>
      </c>
    </row>
    <row r="748" spans="1:10" x14ac:dyDescent="0.25">
      <c r="A748" s="11">
        <v>2013</v>
      </c>
      <c r="B748" s="11" t="s">
        <v>243</v>
      </c>
      <c r="C748" s="13">
        <v>754</v>
      </c>
      <c r="D748" s="13">
        <v>0</v>
      </c>
      <c r="E748" s="13">
        <v>48</v>
      </c>
      <c r="F748" s="13">
        <v>143</v>
      </c>
      <c r="G748" s="13">
        <v>221</v>
      </c>
      <c r="H748" s="13">
        <v>222</v>
      </c>
      <c r="I748" s="13">
        <v>94</v>
      </c>
      <c r="J748" s="13">
        <v>26</v>
      </c>
    </row>
    <row r="749" spans="1:10" x14ac:dyDescent="0.25">
      <c r="A749" s="11">
        <v>2013</v>
      </c>
      <c r="B749" s="11" t="s">
        <v>244</v>
      </c>
      <c r="C749" s="13">
        <v>1016</v>
      </c>
      <c r="D749" s="13">
        <v>0</v>
      </c>
      <c r="E749" s="13">
        <v>48</v>
      </c>
      <c r="F749" s="13">
        <v>210</v>
      </c>
      <c r="G749" s="13">
        <v>242</v>
      </c>
      <c r="H749" s="13">
        <v>307</v>
      </c>
      <c r="I749" s="13">
        <v>176</v>
      </c>
      <c r="J749" s="13">
        <v>33</v>
      </c>
    </row>
    <row r="750" spans="1:10" x14ac:dyDescent="0.25">
      <c r="A750" s="11">
        <v>2013</v>
      </c>
      <c r="B750" s="11" t="s">
        <v>245</v>
      </c>
      <c r="C750" s="13">
        <v>956</v>
      </c>
      <c r="D750" s="13">
        <v>0</v>
      </c>
      <c r="E750" s="13">
        <v>51</v>
      </c>
      <c r="F750" s="13">
        <v>194</v>
      </c>
      <c r="G750" s="13">
        <v>304</v>
      </c>
      <c r="H750" s="13">
        <v>243</v>
      </c>
      <c r="I750" s="13">
        <v>131</v>
      </c>
      <c r="J750" s="13">
        <v>33</v>
      </c>
    </row>
    <row r="751" spans="1:10" x14ac:dyDescent="0.25">
      <c r="A751" s="11">
        <v>2013</v>
      </c>
      <c r="B751" s="11" t="s">
        <v>246</v>
      </c>
      <c r="C751" s="13">
        <v>246</v>
      </c>
      <c r="D751" s="13">
        <v>0</v>
      </c>
      <c r="E751" s="13">
        <v>14</v>
      </c>
      <c r="F751" s="13">
        <v>47</v>
      </c>
      <c r="G751" s="13">
        <v>64</v>
      </c>
      <c r="H751" s="13">
        <v>68</v>
      </c>
      <c r="I751" s="13">
        <v>40</v>
      </c>
      <c r="J751" s="13">
        <v>13</v>
      </c>
    </row>
    <row r="752" spans="1:10" x14ac:dyDescent="0.25">
      <c r="A752" s="11">
        <v>2013</v>
      </c>
      <c r="B752" s="11" t="s">
        <v>247</v>
      </c>
      <c r="C752" s="13">
        <v>1307</v>
      </c>
      <c r="D752" s="13">
        <v>0</v>
      </c>
      <c r="E752" s="13">
        <v>98</v>
      </c>
      <c r="F752" s="13">
        <v>287</v>
      </c>
      <c r="G752" s="13">
        <v>380</v>
      </c>
      <c r="H752" s="13">
        <v>315</v>
      </c>
      <c r="I752" s="13">
        <v>172</v>
      </c>
      <c r="J752" s="13">
        <v>55</v>
      </c>
    </row>
    <row r="753" spans="1:10" x14ac:dyDescent="0.25">
      <c r="A753" s="11">
        <v>2013</v>
      </c>
      <c r="B753" s="11" t="s">
        <v>248</v>
      </c>
      <c r="C753" s="13">
        <v>3738</v>
      </c>
      <c r="D753" s="13">
        <v>0</v>
      </c>
      <c r="E753" s="13">
        <v>215</v>
      </c>
      <c r="F753" s="13">
        <v>728</v>
      </c>
      <c r="G753" s="13">
        <v>1087</v>
      </c>
      <c r="H753" s="13">
        <v>1102</v>
      </c>
      <c r="I753" s="13">
        <v>495</v>
      </c>
      <c r="J753" s="13">
        <v>111</v>
      </c>
    </row>
    <row r="754" spans="1:10" x14ac:dyDescent="0.25">
      <c r="A754" s="11">
        <v>2013</v>
      </c>
      <c r="B754" s="11" t="s">
        <v>249</v>
      </c>
      <c r="C754" s="13">
        <v>201</v>
      </c>
      <c r="D754" s="13">
        <v>0</v>
      </c>
      <c r="E754" s="13">
        <v>3</v>
      </c>
      <c r="F754" s="13">
        <v>32</v>
      </c>
      <c r="G754" s="13">
        <v>71</v>
      </c>
      <c r="H754" s="13">
        <v>58</v>
      </c>
      <c r="I754" s="13">
        <v>29</v>
      </c>
      <c r="J754" s="13">
        <v>8</v>
      </c>
    </row>
    <row r="755" spans="1:10" x14ac:dyDescent="0.25">
      <c r="A755" s="11">
        <v>2013</v>
      </c>
      <c r="B755" s="11" t="s">
        <v>250</v>
      </c>
      <c r="C755" s="13">
        <v>1320</v>
      </c>
      <c r="D755" s="13">
        <v>0</v>
      </c>
      <c r="E755" s="13">
        <v>74</v>
      </c>
      <c r="F755" s="13">
        <v>208</v>
      </c>
      <c r="G755" s="13">
        <v>354</v>
      </c>
      <c r="H755" s="13">
        <v>410</v>
      </c>
      <c r="I755" s="13">
        <v>227</v>
      </c>
      <c r="J755" s="13">
        <v>47</v>
      </c>
    </row>
    <row r="756" spans="1:10" x14ac:dyDescent="0.25">
      <c r="A756" s="11">
        <v>2013</v>
      </c>
      <c r="B756" s="11" t="s">
        <v>251</v>
      </c>
      <c r="C756" s="13">
        <v>1791</v>
      </c>
      <c r="D756" s="13">
        <v>0</v>
      </c>
      <c r="E756" s="13">
        <v>91</v>
      </c>
      <c r="F756" s="13">
        <v>315</v>
      </c>
      <c r="G756" s="13">
        <v>462</v>
      </c>
      <c r="H756" s="13">
        <v>565</v>
      </c>
      <c r="I756" s="13">
        <v>294</v>
      </c>
      <c r="J756" s="13">
        <v>64</v>
      </c>
    </row>
    <row r="757" spans="1:10" x14ac:dyDescent="0.25">
      <c r="A757" s="11">
        <v>2013</v>
      </c>
      <c r="B757" s="11" t="s">
        <v>252</v>
      </c>
      <c r="C757" s="13">
        <v>1138</v>
      </c>
      <c r="D757" s="13">
        <v>0</v>
      </c>
      <c r="E757" s="13">
        <v>43</v>
      </c>
      <c r="F757" s="13">
        <v>201</v>
      </c>
      <c r="G757" s="13">
        <v>302</v>
      </c>
      <c r="H757" s="13">
        <v>351</v>
      </c>
      <c r="I757" s="13">
        <v>193</v>
      </c>
      <c r="J757" s="13">
        <v>48</v>
      </c>
    </row>
    <row r="758" spans="1:10" x14ac:dyDescent="0.25">
      <c r="A758" s="11">
        <v>2013</v>
      </c>
      <c r="B758" s="11" t="s">
        <v>253</v>
      </c>
      <c r="C758" s="13">
        <v>261</v>
      </c>
      <c r="D758" s="13">
        <v>0</v>
      </c>
      <c r="E758" s="13">
        <v>9</v>
      </c>
      <c r="F758" s="13">
        <v>41</v>
      </c>
      <c r="G758" s="13">
        <v>87</v>
      </c>
      <c r="H758" s="13">
        <v>61</v>
      </c>
      <c r="I758" s="13">
        <v>50</v>
      </c>
      <c r="J758" s="13">
        <v>13</v>
      </c>
    </row>
    <row r="759" spans="1:10" x14ac:dyDescent="0.25">
      <c r="A759" s="11">
        <v>2013</v>
      </c>
      <c r="B759" s="11" t="s">
        <v>254</v>
      </c>
      <c r="C759" s="13">
        <v>998</v>
      </c>
      <c r="D759" s="13">
        <v>1</v>
      </c>
      <c r="E759" s="13">
        <v>54</v>
      </c>
      <c r="F759" s="13">
        <v>207</v>
      </c>
      <c r="G759" s="13">
        <v>261</v>
      </c>
      <c r="H759" s="13">
        <v>287</v>
      </c>
      <c r="I759" s="13">
        <v>136</v>
      </c>
      <c r="J759" s="13">
        <v>52</v>
      </c>
    </row>
    <row r="760" spans="1:10" x14ac:dyDescent="0.25">
      <c r="A760" s="11">
        <v>2013</v>
      </c>
      <c r="B760" s="11" t="s">
        <v>255</v>
      </c>
      <c r="C760" s="13">
        <v>3272</v>
      </c>
      <c r="D760" s="13">
        <v>0</v>
      </c>
      <c r="E760" s="13">
        <v>159</v>
      </c>
      <c r="F760" s="13">
        <v>546</v>
      </c>
      <c r="G760" s="13">
        <v>909</v>
      </c>
      <c r="H760" s="13">
        <v>1039</v>
      </c>
      <c r="I760" s="13">
        <v>492</v>
      </c>
      <c r="J760" s="13">
        <v>127</v>
      </c>
    </row>
    <row r="761" spans="1:10" x14ac:dyDescent="0.25">
      <c r="A761" s="11">
        <v>2013</v>
      </c>
      <c r="B761" s="11" t="s">
        <v>256</v>
      </c>
      <c r="C761" s="13">
        <v>807</v>
      </c>
      <c r="D761" s="13">
        <v>0</v>
      </c>
      <c r="E761" s="13">
        <v>41</v>
      </c>
      <c r="F761" s="13">
        <v>122</v>
      </c>
      <c r="G761" s="13">
        <v>196</v>
      </c>
      <c r="H761" s="13">
        <v>242</v>
      </c>
      <c r="I761" s="13">
        <v>153</v>
      </c>
      <c r="J761" s="13">
        <v>53</v>
      </c>
    </row>
    <row r="762" spans="1:10" x14ac:dyDescent="0.25">
      <c r="A762" s="11">
        <v>2013</v>
      </c>
      <c r="B762" s="11" t="s">
        <v>257</v>
      </c>
      <c r="C762" s="13">
        <v>979</v>
      </c>
      <c r="D762" s="13">
        <v>0</v>
      </c>
      <c r="E762" s="13">
        <v>60</v>
      </c>
      <c r="F762" s="13">
        <v>184</v>
      </c>
      <c r="G762" s="13">
        <v>297</v>
      </c>
      <c r="H762" s="13">
        <v>279</v>
      </c>
      <c r="I762" s="13">
        <v>139</v>
      </c>
      <c r="J762" s="13">
        <v>20</v>
      </c>
    </row>
    <row r="763" spans="1:10" x14ac:dyDescent="0.25">
      <c r="A763" s="11">
        <v>2013</v>
      </c>
      <c r="B763" s="11" t="s">
        <v>258</v>
      </c>
      <c r="C763" s="13">
        <v>2029</v>
      </c>
      <c r="D763" s="13">
        <v>1</v>
      </c>
      <c r="E763" s="13">
        <v>98</v>
      </c>
      <c r="F763" s="13">
        <v>377</v>
      </c>
      <c r="G763" s="13">
        <v>567</v>
      </c>
      <c r="H763" s="13">
        <v>602</v>
      </c>
      <c r="I763" s="13">
        <v>281</v>
      </c>
      <c r="J763" s="13">
        <v>103</v>
      </c>
    </row>
    <row r="764" spans="1:10" x14ac:dyDescent="0.25">
      <c r="A764" s="11">
        <v>2014</v>
      </c>
      <c r="B764" s="11" t="s">
        <v>11</v>
      </c>
      <c r="C764" s="13">
        <v>56725</v>
      </c>
      <c r="D764" s="13">
        <v>60</v>
      </c>
      <c r="E764" s="13">
        <v>2446</v>
      </c>
      <c r="F764" s="13">
        <v>9273</v>
      </c>
      <c r="G764" s="13">
        <v>15731</v>
      </c>
      <c r="H764" s="13">
        <v>17647</v>
      </c>
      <c r="I764" s="13">
        <v>9345</v>
      </c>
      <c r="J764" s="13">
        <v>2223</v>
      </c>
    </row>
    <row r="765" spans="1:10" x14ac:dyDescent="0.25">
      <c r="A765" s="11">
        <v>2014</v>
      </c>
      <c r="B765" s="11" t="s">
        <v>227</v>
      </c>
      <c r="C765" s="13">
        <v>2565</v>
      </c>
      <c r="D765" s="13">
        <v>0</v>
      </c>
      <c r="E765" s="13">
        <v>76</v>
      </c>
      <c r="F765" s="13">
        <v>363</v>
      </c>
      <c r="G765" s="13">
        <v>745</v>
      </c>
      <c r="H765" s="13">
        <v>863</v>
      </c>
      <c r="I765" s="13">
        <v>425</v>
      </c>
      <c r="J765" s="13">
        <v>93</v>
      </c>
    </row>
    <row r="766" spans="1:10" x14ac:dyDescent="0.25">
      <c r="A766" s="11">
        <v>2014</v>
      </c>
      <c r="B766" s="11" t="s">
        <v>228</v>
      </c>
      <c r="C766" s="13">
        <v>2836</v>
      </c>
      <c r="D766" s="13">
        <v>0</v>
      </c>
      <c r="E766" s="13">
        <v>68</v>
      </c>
      <c r="F766" s="13">
        <v>341</v>
      </c>
      <c r="G766" s="13">
        <v>794</v>
      </c>
      <c r="H766" s="13">
        <v>1007</v>
      </c>
      <c r="I766" s="13">
        <v>521</v>
      </c>
      <c r="J766" s="13">
        <v>105</v>
      </c>
    </row>
    <row r="767" spans="1:10" x14ac:dyDescent="0.25">
      <c r="A767" s="11">
        <v>2014</v>
      </c>
      <c r="B767" s="11" t="s">
        <v>229</v>
      </c>
      <c r="C767" s="13">
        <v>1146</v>
      </c>
      <c r="D767" s="13">
        <v>0</v>
      </c>
      <c r="E767" s="13">
        <v>45</v>
      </c>
      <c r="F767" s="13">
        <v>225</v>
      </c>
      <c r="G767" s="13">
        <v>338</v>
      </c>
      <c r="H767" s="13">
        <v>340</v>
      </c>
      <c r="I767" s="13">
        <v>164</v>
      </c>
      <c r="J767" s="13">
        <v>34</v>
      </c>
    </row>
    <row r="768" spans="1:10" x14ac:dyDescent="0.25">
      <c r="A768" s="11">
        <v>2014</v>
      </c>
      <c r="B768" s="11" t="s">
        <v>230</v>
      </c>
      <c r="C768" s="13">
        <v>727</v>
      </c>
      <c r="D768" s="13">
        <v>1</v>
      </c>
      <c r="E768" s="13">
        <v>30</v>
      </c>
      <c r="F768" s="13">
        <v>148</v>
      </c>
      <c r="G768" s="13">
        <v>214</v>
      </c>
      <c r="H768" s="13">
        <v>188</v>
      </c>
      <c r="I768" s="13">
        <v>114</v>
      </c>
      <c r="J768" s="13">
        <v>32</v>
      </c>
    </row>
    <row r="769" spans="1:10" x14ac:dyDescent="0.25">
      <c r="A769" s="11">
        <v>2014</v>
      </c>
      <c r="B769" s="11" t="s">
        <v>231</v>
      </c>
      <c r="C769" s="13">
        <v>5554</v>
      </c>
      <c r="D769" s="13">
        <v>2</v>
      </c>
      <c r="E769" s="13">
        <v>151</v>
      </c>
      <c r="F769" s="13">
        <v>574</v>
      </c>
      <c r="G769" s="13">
        <v>1243</v>
      </c>
      <c r="H769" s="13">
        <v>1978</v>
      </c>
      <c r="I769" s="13">
        <v>1287</v>
      </c>
      <c r="J769" s="13">
        <v>319</v>
      </c>
    </row>
    <row r="770" spans="1:10" x14ac:dyDescent="0.25">
      <c r="A770" s="11">
        <v>2014</v>
      </c>
      <c r="B770" s="11" t="s">
        <v>232</v>
      </c>
      <c r="C770" s="13">
        <v>557</v>
      </c>
      <c r="D770" s="13">
        <v>0</v>
      </c>
      <c r="E770" s="13">
        <v>46</v>
      </c>
      <c r="F770" s="13">
        <v>130</v>
      </c>
      <c r="G770" s="13">
        <v>141</v>
      </c>
      <c r="H770" s="13">
        <v>136</v>
      </c>
      <c r="I770" s="13">
        <v>86</v>
      </c>
      <c r="J770" s="13">
        <v>18</v>
      </c>
    </row>
    <row r="771" spans="1:10" x14ac:dyDescent="0.25">
      <c r="A771" s="11">
        <v>2014</v>
      </c>
      <c r="B771" s="11" t="s">
        <v>233</v>
      </c>
      <c r="C771" s="13">
        <v>1286</v>
      </c>
      <c r="D771" s="13">
        <v>0</v>
      </c>
      <c r="E771" s="13">
        <v>76</v>
      </c>
      <c r="F771" s="13">
        <v>275</v>
      </c>
      <c r="G771" s="13">
        <v>368</v>
      </c>
      <c r="H771" s="13">
        <v>343</v>
      </c>
      <c r="I771" s="13">
        <v>176</v>
      </c>
      <c r="J771" s="13">
        <v>48</v>
      </c>
    </row>
    <row r="772" spans="1:10" x14ac:dyDescent="0.25">
      <c r="A772" s="11">
        <v>2014</v>
      </c>
      <c r="B772" s="11" t="s">
        <v>234</v>
      </c>
      <c r="C772" s="13">
        <v>1715</v>
      </c>
      <c r="D772" s="13">
        <v>0</v>
      </c>
      <c r="E772" s="13">
        <v>99</v>
      </c>
      <c r="F772" s="13">
        <v>336</v>
      </c>
      <c r="G772" s="13">
        <v>561</v>
      </c>
      <c r="H772" s="13">
        <v>461</v>
      </c>
      <c r="I772" s="13">
        <v>213</v>
      </c>
      <c r="J772" s="13">
        <v>45</v>
      </c>
    </row>
    <row r="773" spans="1:10" x14ac:dyDescent="0.25">
      <c r="A773" s="11">
        <v>2014</v>
      </c>
      <c r="B773" s="11" t="s">
        <v>235</v>
      </c>
      <c r="C773" s="13">
        <v>1254</v>
      </c>
      <c r="D773" s="13">
        <v>0</v>
      </c>
      <c r="E773" s="13">
        <v>67</v>
      </c>
      <c r="F773" s="13">
        <v>272</v>
      </c>
      <c r="G773" s="13">
        <v>389</v>
      </c>
      <c r="H773" s="13">
        <v>322</v>
      </c>
      <c r="I773" s="13">
        <v>156</v>
      </c>
      <c r="J773" s="13">
        <v>48</v>
      </c>
    </row>
    <row r="774" spans="1:10" x14ac:dyDescent="0.25">
      <c r="A774" s="11">
        <v>2014</v>
      </c>
      <c r="B774" s="11" t="s">
        <v>236</v>
      </c>
      <c r="C774" s="13">
        <v>927</v>
      </c>
      <c r="D774" s="13">
        <v>0</v>
      </c>
      <c r="E774" s="13">
        <v>19</v>
      </c>
      <c r="F774" s="13">
        <v>73</v>
      </c>
      <c r="G774" s="13">
        <v>196</v>
      </c>
      <c r="H774" s="13">
        <v>368</v>
      </c>
      <c r="I774" s="13">
        <v>228</v>
      </c>
      <c r="J774" s="13">
        <v>43</v>
      </c>
    </row>
    <row r="775" spans="1:10" x14ac:dyDescent="0.25">
      <c r="A775" s="11">
        <v>2014</v>
      </c>
      <c r="B775" s="11" t="s">
        <v>237</v>
      </c>
      <c r="C775" s="13">
        <v>1012</v>
      </c>
      <c r="D775" s="13">
        <v>2</v>
      </c>
      <c r="E775" s="13">
        <v>47</v>
      </c>
      <c r="F775" s="13">
        <v>167</v>
      </c>
      <c r="G775" s="13">
        <v>267</v>
      </c>
      <c r="H775" s="13">
        <v>320</v>
      </c>
      <c r="I775" s="13">
        <v>169</v>
      </c>
      <c r="J775" s="13">
        <v>40</v>
      </c>
    </row>
    <row r="776" spans="1:10" x14ac:dyDescent="0.25">
      <c r="A776" s="11">
        <v>2014</v>
      </c>
      <c r="B776" s="11" t="s">
        <v>238</v>
      </c>
      <c r="C776" s="13">
        <v>853</v>
      </c>
      <c r="D776" s="13">
        <v>0</v>
      </c>
      <c r="E776" s="13">
        <v>7</v>
      </c>
      <c r="F776" s="13">
        <v>60</v>
      </c>
      <c r="G776" s="13">
        <v>184</v>
      </c>
      <c r="H776" s="13">
        <v>333</v>
      </c>
      <c r="I776" s="13">
        <v>215</v>
      </c>
      <c r="J776" s="13">
        <v>54</v>
      </c>
    </row>
    <row r="777" spans="1:10" x14ac:dyDescent="0.25">
      <c r="A777" s="11">
        <v>2014</v>
      </c>
      <c r="B777" s="11" t="s">
        <v>239</v>
      </c>
      <c r="C777" s="13">
        <v>1716</v>
      </c>
      <c r="D777" s="13">
        <v>0</v>
      </c>
      <c r="E777" s="13">
        <v>78</v>
      </c>
      <c r="F777" s="13">
        <v>328</v>
      </c>
      <c r="G777" s="13">
        <v>490</v>
      </c>
      <c r="H777" s="13">
        <v>505</v>
      </c>
      <c r="I777" s="13">
        <v>266</v>
      </c>
      <c r="J777" s="13">
        <v>49</v>
      </c>
    </row>
    <row r="778" spans="1:10" x14ac:dyDescent="0.25">
      <c r="A778" s="11">
        <v>2014</v>
      </c>
      <c r="B778" s="11" t="s">
        <v>240</v>
      </c>
      <c r="C778" s="13">
        <v>3889</v>
      </c>
      <c r="D778" s="13">
        <v>0</v>
      </c>
      <c r="E778" s="13">
        <v>239</v>
      </c>
      <c r="F778" s="13">
        <v>761</v>
      </c>
      <c r="G778" s="13">
        <v>1109</v>
      </c>
      <c r="H778" s="13">
        <v>1113</v>
      </c>
      <c r="I778" s="13">
        <v>531</v>
      </c>
      <c r="J778" s="13">
        <v>136</v>
      </c>
    </row>
    <row r="779" spans="1:10" x14ac:dyDescent="0.25">
      <c r="A779" s="11">
        <v>2014</v>
      </c>
      <c r="B779" s="11" t="s">
        <v>241</v>
      </c>
      <c r="C779" s="13">
        <v>7465</v>
      </c>
      <c r="D779" s="13">
        <v>21</v>
      </c>
      <c r="E779" s="13">
        <v>305</v>
      </c>
      <c r="F779" s="13">
        <v>1223</v>
      </c>
      <c r="G779" s="13">
        <v>2152</v>
      </c>
      <c r="H779" s="13">
        <v>2308</v>
      </c>
      <c r="I779" s="13">
        <v>1166</v>
      </c>
      <c r="J779" s="13">
        <v>290</v>
      </c>
    </row>
    <row r="780" spans="1:10" x14ac:dyDescent="0.25">
      <c r="A780" s="11">
        <v>2014</v>
      </c>
      <c r="B780" s="11" t="s">
        <v>242</v>
      </c>
      <c r="C780" s="13">
        <v>2310</v>
      </c>
      <c r="D780" s="13">
        <v>0</v>
      </c>
      <c r="E780" s="13">
        <v>118</v>
      </c>
      <c r="F780" s="13">
        <v>411</v>
      </c>
      <c r="G780" s="13">
        <v>634</v>
      </c>
      <c r="H780" s="13">
        <v>669</v>
      </c>
      <c r="I780" s="13">
        <v>390</v>
      </c>
      <c r="J780" s="13">
        <v>88</v>
      </c>
    </row>
    <row r="781" spans="1:10" x14ac:dyDescent="0.25">
      <c r="A781" s="11">
        <v>2014</v>
      </c>
      <c r="B781" s="11" t="s">
        <v>243</v>
      </c>
      <c r="C781" s="13">
        <v>744</v>
      </c>
      <c r="D781" s="13">
        <v>0</v>
      </c>
      <c r="E781" s="13">
        <v>27</v>
      </c>
      <c r="F781" s="13">
        <v>128</v>
      </c>
      <c r="G781" s="13">
        <v>221</v>
      </c>
      <c r="H781" s="13">
        <v>231</v>
      </c>
      <c r="I781" s="13">
        <v>119</v>
      </c>
      <c r="J781" s="13">
        <v>18</v>
      </c>
    </row>
    <row r="782" spans="1:10" x14ac:dyDescent="0.25">
      <c r="A782" s="11">
        <v>2014</v>
      </c>
      <c r="B782" s="11" t="s">
        <v>244</v>
      </c>
      <c r="C782" s="13">
        <v>1033</v>
      </c>
      <c r="D782" s="13">
        <v>0</v>
      </c>
      <c r="E782" s="13">
        <v>55</v>
      </c>
      <c r="F782" s="13">
        <v>192</v>
      </c>
      <c r="G782" s="13">
        <v>290</v>
      </c>
      <c r="H782" s="13">
        <v>297</v>
      </c>
      <c r="I782" s="13">
        <v>160</v>
      </c>
      <c r="J782" s="13">
        <v>39</v>
      </c>
    </row>
    <row r="783" spans="1:10" x14ac:dyDescent="0.25">
      <c r="A783" s="11">
        <v>2014</v>
      </c>
      <c r="B783" s="11" t="s">
        <v>245</v>
      </c>
      <c r="C783" s="13">
        <v>931</v>
      </c>
      <c r="D783" s="13">
        <v>0</v>
      </c>
      <c r="E783" s="13">
        <v>47</v>
      </c>
      <c r="F783" s="13">
        <v>192</v>
      </c>
      <c r="G783" s="13">
        <v>284</v>
      </c>
      <c r="H783" s="13">
        <v>254</v>
      </c>
      <c r="I783" s="13">
        <v>116</v>
      </c>
      <c r="J783" s="13">
        <v>38</v>
      </c>
    </row>
    <row r="784" spans="1:10" x14ac:dyDescent="0.25">
      <c r="A784" s="11">
        <v>2014</v>
      </c>
      <c r="B784" s="11" t="s">
        <v>246</v>
      </c>
      <c r="C784" s="13">
        <v>226</v>
      </c>
      <c r="D784" s="13">
        <v>0</v>
      </c>
      <c r="E784" s="13">
        <v>7</v>
      </c>
      <c r="F784" s="13">
        <v>26</v>
      </c>
      <c r="G784" s="13">
        <v>63</v>
      </c>
      <c r="H784" s="13">
        <v>67</v>
      </c>
      <c r="I784" s="13">
        <v>46</v>
      </c>
      <c r="J784" s="13">
        <v>17</v>
      </c>
    </row>
    <row r="785" spans="1:10" x14ac:dyDescent="0.25">
      <c r="A785" s="11">
        <v>2014</v>
      </c>
      <c r="B785" s="11" t="s">
        <v>247</v>
      </c>
      <c r="C785" s="13">
        <v>1284</v>
      </c>
      <c r="D785" s="13">
        <v>0</v>
      </c>
      <c r="E785" s="13">
        <v>71</v>
      </c>
      <c r="F785" s="13">
        <v>298</v>
      </c>
      <c r="G785" s="13">
        <v>363</v>
      </c>
      <c r="H785" s="13">
        <v>319</v>
      </c>
      <c r="I785" s="13">
        <v>186</v>
      </c>
      <c r="J785" s="13">
        <v>47</v>
      </c>
    </row>
    <row r="786" spans="1:10" x14ac:dyDescent="0.25">
      <c r="A786" s="11">
        <v>2014</v>
      </c>
      <c r="B786" s="11" t="s">
        <v>248</v>
      </c>
      <c r="C786" s="13">
        <v>3719</v>
      </c>
      <c r="D786" s="13">
        <v>0</v>
      </c>
      <c r="E786" s="13">
        <v>183</v>
      </c>
      <c r="F786" s="13">
        <v>643</v>
      </c>
      <c r="G786" s="13">
        <v>1105</v>
      </c>
      <c r="H786" s="13">
        <v>1134</v>
      </c>
      <c r="I786" s="13">
        <v>549</v>
      </c>
      <c r="J786" s="13">
        <v>105</v>
      </c>
    </row>
    <row r="787" spans="1:10" x14ac:dyDescent="0.25">
      <c r="A787" s="11">
        <v>2014</v>
      </c>
      <c r="B787" s="11" t="s">
        <v>249</v>
      </c>
      <c r="C787" s="13">
        <v>181</v>
      </c>
      <c r="D787" s="13">
        <v>0</v>
      </c>
      <c r="E787" s="13">
        <v>6</v>
      </c>
      <c r="F787" s="13">
        <v>28</v>
      </c>
      <c r="G787" s="13">
        <v>55</v>
      </c>
      <c r="H787" s="13">
        <v>57</v>
      </c>
      <c r="I787" s="13">
        <v>31</v>
      </c>
      <c r="J787" s="13">
        <v>4</v>
      </c>
    </row>
    <row r="788" spans="1:10" x14ac:dyDescent="0.25">
      <c r="A788" s="11">
        <v>2014</v>
      </c>
      <c r="B788" s="11" t="s">
        <v>250</v>
      </c>
      <c r="C788" s="13">
        <v>1357</v>
      </c>
      <c r="D788" s="13">
        <v>0</v>
      </c>
      <c r="E788" s="13">
        <v>48</v>
      </c>
      <c r="F788" s="13">
        <v>221</v>
      </c>
      <c r="G788" s="13">
        <v>389</v>
      </c>
      <c r="H788" s="13">
        <v>417</v>
      </c>
      <c r="I788" s="13">
        <v>221</v>
      </c>
      <c r="J788" s="13">
        <v>61</v>
      </c>
    </row>
    <row r="789" spans="1:10" x14ac:dyDescent="0.25">
      <c r="A789" s="11">
        <v>2014</v>
      </c>
      <c r="B789" s="11" t="s">
        <v>251</v>
      </c>
      <c r="C789" s="13">
        <v>1813</v>
      </c>
      <c r="D789" s="13">
        <v>1</v>
      </c>
      <c r="E789" s="13">
        <v>66</v>
      </c>
      <c r="F789" s="13">
        <v>264</v>
      </c>
      <c r="G789" s="13">
        <v>516</v>
      </c>
      <c r="H789" s="13">
        <v>592</v>
      </c>
      <c r="I789" s="13">
        <v>297</v>
      </c>
      <c r="J789" s="13">
        <v>77</v>
      </c>
    </row>
    <row r="790" spans="1:10" x14ac:dyDescent="0.25">
      <c r="A790" s="11">
        <v>2014</v>
      </c>
      <c r="B790" s="11" t="s">
        <v>252</v>
      </c>
      <c r="C790" s="13">
        <v>1081</v>
      </c>
      <c r="D790" s="13">
        <v>0</v>
      </c>
      <c r="E790" s="13">
        <v>52</v>
      </c>
      <c r="F790" s="13">
        <v>178</v>
      </c>
      <c r="G790" s="13">
        <v>310</v>
      </c>
      <c r="H790" s="13">
        <v>340</v>
      </c>
      <c r="I790" s="13">
        <v>146</v>
      </c>
      <c r="J790" s="13">
        <v>55</v>
      </c>
    </row>
    <row r="791" spans="1:10" x14ac:dyDescent="0.25">
      <c r="A791" s="11">
        <v>2014</v>
      </c>
      <c r="B791" s="11" t="s">
        <v>253</v>
      </c>
      <c r="C791" s="13">
        <v>253</v>
      </c>
      <c r="D791" s="13">
        <v>0</v>
      </c>
      <c r="E791" s="13">
        <v>9</v>
      </c>
      <c r="F791" s="13">
        <v>35</v>
      </c>
      <c r="G791" s="13">
        <v>68</v>
      </c>
      <c r="H791" s="13">
        <v>78</v>
      </c>
      <c r="I791" s="13">
        <v>55</v>
      </c>
      <c r="J791" s="13">
        <v>8</v>
      </c>
    </row>
    <row r="792" spans="1:10" x14ac:dyDescent="0.25">
      <c r="A792" s="11">
        <v>2014</v>
      </c>
      <c r="B792" s="11" t="s">
        <v>254</v>
      </c>
      <c r="C792" s="13">
        <v>1033</v>
      </c>
      <c r="D792" s="13">
        <v>0</v>
      </c>
      <c r="E792" s="13">
        <v>57</v>
      </c>
      <c r="F792" s="13">
        <v>184</v>
      </c>
      <c r="G792" s="13">
        <v>274</v>
      </c>
      <c r="H792" s="13">
        <v>301</v>
      </c>
      <c r="I792" s="13">
        <v>173</v>
      </c>
      <c r="J792" s="13">
        <v>44</v>
      </c>
    </row>
    <row r="793" spans="1:10" x14ac:dyDescent="0.25">
      <c r="A793" s="11">
        <v>2014</v>
      </c>
      <c r="B793" s="11" t="s">
        <v>255</v>
      </c>
      <c r="C793" s="13">
        <v>3402</v>
      </c>
      <c r="D793" s="13">
        <v>32</v>
      </c>
      <c r="E793" s="13">
        <v>143</v>
      </c>
      <c r="F793" s="13">
        <v>516</v>
      </c>
      <c r="G793" s="13">
        <v>948</v>
      </c>
      <c r="H793" s="13">
        <v>1118</v>
      </c>
      <c r="I793" s="13">
        <v>525</v>
      </c>
      <c r="J793" s="13">
        <v>120</v>
      </c>
    </row>
    <row r="794" spans="1:10" x14ac:dyDescent="0.25">
      <c r="A794" s="11">
        <v>2014</v>
      </c>
      <c r="B794" s="11" t="s">
        <v>256</v>
      </c>
      <c r="C794" s="13">
        <v>841</v>
      </c>
      <c r="D794" s="13">
        <v>0</v>
      </c>
      <c r="E794" s="13">
        <v>37</v>
      </c>
      <c r="F794" s="13">
        <v>122</v>
      </c>
      <c r="G794" s="13">
        <v>192</v>
      </c>
      <c r="H794" s="13">
        <v>259</v>
      </c>
      <c r="I794" s="13">
        <v>187</v>
      </c>
      <c r="J794" s="13">
        <v>44</v>
      </c>
    </row>
    <row r="795" spans="1:10" x14ac:dyDescent="0.25">
      <c r="A795" s="11">
        <v>2014</v>
      </c>
      <c r="B795" s="11" t="s">
        <v>257</v>
      </c>
      <c r="C795" s="13">
        <v>986</v>
      </c>
      <c r="D795" s="13">
        <v>0</v>
      </c>
      <c r="E795" s="13">
        <v>66</v>
      </c>
      <c r="F795" s="13">
        <v>196</v>
      </c>
      <c r="G795" s="13">
        <v>276</v>
      </c>
      <c r="H795" s="13">
        <v>293</v>
      </c>
      <c r="I795" s="13">
        <v>135</v>
      </c>
      <c r="J795" s="13">
        <v>20</v>
      </c>
    </row>
    <row r="796" spans="1:10" x14ac:dyDescent="0.25">
      <c r="A796" s="11">
        <v>2014</v>
      </c>
      <c r="B796" s="11" t="s">
        <v>258</v>
      </c>
      <c r="C796" s="13">
        <v>2029</v>
      </c>
      <c r="D796" s="13">
        <v>1</v>
      </c>
      <c r="E796" s="13">
        <v>101</v>
      </c>
      <c r="F796" s="13">
        <v>363</v>
      </c>
      <c r="G796" s="13">
        <v>552</v>
      </c>
      <c r="H796" s="13">
        <v>636</v>
      </c>
      <c r="I796" s="13">
        <v>292</v>
      </c>
      <c r="J796" s="13">
        <v>84</v>
      </c>
    </row>
    <row r="797" spans="1:10" x14ac:dyDescent="0.25">
      <c r="A797" s="11">
        <v>2015</v>
      </c>
      <c r="B797" s="11" t="s">
        <v>11</v>
      </c>
      <c r="C797" s="13">
        <v>55098</v>
      </c>
      <c r="D797" s="13">
        <v>8</v>
      </c>
      <c r="E797" s="13">
        <v>2126</v>
      </c>
      <c r="F797" s="13">
        <v>8643</v>
      </c>
      <c r="G797" s="13">
        <v>15315</v>
      </c>
      <c r="H797" s="13">
        <v>17453</v>
      </c>
      <c r="I797" s="13">
        <v>9454</v>
      </c>
      <c r="J797" s="13">
        <v>2099</v>
      </c>
    </row>
    <row r="798" spans="1:10" x14ac:dyDescent="0.25">
      <c r="A798" s="11">
        <v>2015</v>
      </c>
      <c r="B798" s="11" t="s">
        <v>227</v>
      </c>
      <c r="C798" s="13">
        <v>2609</v>
      </c>
      <c r="D798" s="13">
        <v>0</v>
      </c>
      <c r="E798" s="13">
        <v>77</v>
      </c>
      <c r="F798" s="13">
        <v>343</v>
      </c>
      <c r="G798" s="13">
        <v>736</v>
      </c>
      <c r="H798" s="13">
        <v>896</v>
      </c>
      <c r="I798" s="13">
        <v>467</v>
      </c>
      <c r="J798" s="13">
        <v>90</v>
      </c>
    </row>
    <row r="799" spans="1:10" x14ac:dyDescent="0.25">
      <c r="A799" s="11">
        <v>2015</v>
      </c>
      <c r="B799" s="11" t="s">
        <v>228</v>
      </c>
      <c r="C799" s="13">
        <v>2891</v>
      </c>
      <c r="D799" s="13">
        <v>0</v>
      </c>
      <c r="E799" s="13">
        <v>56</v>
      </c>
      <c r="F799" s="13">
        <v>346</v>
      </c>
      <c r="G799" s="13">
        <v>835</v>
      </c>
      <c r="H799" s="13">
        <v>1030</v>
      </c>
      <c r="I799" s="13">
        <v>514</v>
      </c>
      <c r="J799" s="13">
        <v>110</v>
      </c>
    </row>
    <row r="800" spans="1:10" x14ac:dyDescent="0.25">
      <c r="A800" s="11">
        <v>2015</v>
      </c>
      <c r="B800" s="11" t="s">
        <v>229</v>
      </c>
      <c r="C800" s="13">
        <v>1065</v>
      </c>
      <c r="D800" s="13">
        <v>0</v>
      </c>
      <c r="E800" s="13">
        <v>36</v>
      </c>
      <c r="F800" s="13">
        <v>189</v>
      </c>
      <c r="G800" s="13">
        <v>308</v>
      </c>
      <c r="H800" s="13">
        <v>342</v>
      </c>
      <c r="I800" s="13">
        <v>148</v>
      </c>
      <c r="J800" s="13">
        <v>42</v>
      </c>
    </row>
    <row r="801" spans="1:10" x14ac:dyDescent="0.25">
      <c r="A801" s="11">
        <v>2015</v>
      </c>
      <c r="B801" s="11" t="s">
        <v>230</v>
      </c>
      <c r="C801" s="13">
        <v>688</v>
      </c>
      <c r="D801" s="13">
        <v>2</v>
      </c>
      <c r="E801" s="13">
        <v>24</v>
      </c>
      <c r="F801" s="13">
        <v>114</v>
      </c>
      <c r="G801" s="13">
        <v>198</v>
      </c>
      <c r="H801" s="13">
        <v>206</v>
      </c>
      <c r="I801" s="13">
        <v>114</v>
      </c>
      <c r="J801" s="13">
        <v>30</v>
      </c>
    </row>
    <row r="802" spans="1:10" x14ac:dyDescent="0.25">
      <c r="A802" s="11">
        <v>2015</v>
      </c>
      <c r="B802" s="11" t="s">
        <v>231</v>
      </c>
      <c r="C802" s="13">
        <v>5274</v>
      </c>
      <c r="D802" s="13">
        <v>1</v>
      </c>
      <c r="E802" s="13">
        <v>120</v>
      </c>
      <c r="F802" s="13">
        <v>515</v>
      </c>
      <c r="G802" s="13">
        <v>1205</v>
      </c>
      <c r="H802" s="13">
        <v>1921</v>
      </c>
      <c r="I802" s="13">
        <v>1253</v>
      </c>
      <c r="J802" s="13">
        <v>259</v>
      </c>
    </row>
    <row r="803" spans="1:10" x14ac:dyDescent="0.25">
      <c r="A803" s="11">
        <v>2015</v>
      </c>
      <c r="B803" s="11" t="s">
        <v>232</v>
      </c>
      <c r="C803" s="13">
        <v>553</v>
      </c>
      <c r="D803" s="13">
        <v>0</v>
      </c>
      <c r="E803" s="13">
        <v>28</v>
      </c>
      <c r="F803" s="13">
        <v>110</v>
      </c>
      <c r="G803" s="13">
        <v>168</v>
      </c>
      <c r="H803" s="13">
        <v>147</v>
      </c>
      <c r="I803" s="13">
        <v>86</v>
      </c>
      <c r="J803" s="13">
        <v>14</v>
      </c>
    </row>
    <row r="804" spans="1:10" x14ac:dyDescent="0.25">
      <c r="A804" s="11">
        <v>2015</v>
      </c>
      <c r="B804" s="11" t="s">
        <v>233</v>
      </c>
      <c r="C804" s="13">
        <v>1256</v>
      </c>
      <c r="D804" s="13">
        <v>1</v>
      </c>
      <c r="E804" s="13">
        <v>46</v>
      </c>
      <c r="F804" s="13">
        <v>252</v>
      </c>
      <c r="G804" s="13">
        <v>421</v>
      </c>
      <c r="H804" s="13">
        <v>340</v>
      </c>
      <c r="I804" s="13">
        <v>162</v>
      </c>
      <c r="J804" s="13">
        <v>34</v>
      </c>
    </row>
    <row r="805" spans="1:10" x14ac:dyDescent="0.25">
      <c r="A805" s="11">
        <v>2015</v>
      </c>
      <c r="B805" s="11" t="s">
        <v>234</v>
      </c>
      <c r="C805" s="13">
        <v>1555</v>
      </c>
      <c r="D805" s="13">
        <v>0</v>
      </c>
      <c r="E805" s="13">
        <v>92</v>
      </c>
      <c r="F805" s="13">
        <v>300</v>
      </c>
      <c r="G805" s="13">
        <v>477</v>
      </c>
      <c r="H805" s="13">
        <v>445</v>
      </c>
      <c r="I805" s="13">
        <v>202</v>
      </c>
      <c r="J805" s="13">
        <v>39</v>
      </c>
    </row>
    <row r="806" spans="1:10" x14ac:dyDescent="0.25">
      <c r="A806" s="11">
        <v>2015</v>
      </c>
      <c r="B806" s="11" t="s">
        <v>235</v>
      </c>
      <c r="C806" s="13">
        <v>1327</v>
      </c>
      <c r="D806" s="13">
        <v>0</v>
      </c>
      <c r="E806" s="13">
        <v>63</v>
      </c>
      <c r="F806" s="13">
        <v>261</v>
      </c>
      <c r="G806" s="13">
        <v>415</v>
      </c>
      <c r="H806" s="13">
        <v>370</v>
      </c>
      <c r="I806" s="13">
        <v>180</v>
      </c>
      <c r="J806" s="13">
        <v>38</v>
      </c>
    </row>
    <row r="807" spans="1:10" x14ac:dyDescent="0.25">
      <c r="A807" s="11">
        <v>2015</v>
      </c>
      <c r="B807" s="11" t="s">
        <v>236</v>
      </c>
      <c r="C807" s="13">
        <v>971</v>
      </c>
      <c r="D807" s="13">
        <v>0</v>
      </c>
      <c r="E807" s="13">
        <v>19</v>
      </c>
      <c r="F807" s="13">
        <v>86</v>
      </c>
      <c r="G807" s="13">
        <v>201</v>
      </c>
      <c r="H807" s="13">
        <v>382</v>
      </c>
      <c r="I807" s="13">
        <v>232</v>
      </c>
      <c r="J807" s="13">
        <v>51</v>
      </c>
    </row>
    <row r="808" spans="1:10" x14ac:dyDescent="0.25">
      <c r="A808" s="11">
        <v>2015</v>
      </c>
      <c r="B808" s="11" t="s">
        <v>237</v>
      </c>
      <c r="C808" s="13">
        <v>1061</v>
      </c>
      <c r="D808" s="13">
        <v>1</v>
      </c>
      <c r="E808" s="13">
        <v>47</v>
      </c>
      <c r="F808" s="13">
        <v>155</v>
      </c>
      <c r="G808" s="13">
        <v>285</v>
      </c>
      <c r="H808" s="13">
        <v>333</v>
      </c>
      <c r="I808" s="13">
        <v>195</v>
      </c>
      <c r="J808" s="13">
        <v>45</v>
      </c>
    </row>
    <row r="809" spans="1:10" x14ac:dyDescent="0.25">
      <c r="A809" s="11">
        <v>2015</v>
      </c>
      <c r="B809" s="11" t="s">
        <v>238</v>
      </c>
      <c r="C809" s="13">
        <v>871</v>
      </c>
      <c r="D809" s="13">
        <v>0</v>
      </c>
      <c r="E809" s="13">
        <v>11</v>
      </c>
      <c r="F809" s="13">
        <v>54</v>
      </c>
      <c r="G809" s="13">
        <v>151</v>
      </c>
      <c r="H809" s="13">
        <v>333</v>
      </c>
      <c r="I809" s="13">
        <v>264</v>
      </c>
      <c r="J809" s="13">
        <v>58</v>
      </c>
    </row>
    <row r="810" spans="1:10" x14ac:dyDescent="0.25">
      <c r="A810" s="11">
        <v>2015</v>
      </c>
      <c r="B810" s="11" t="s">
        <v>239</v>
      </c>
      <c r="C810" s="13">
        <v>1594</v>
      </c>
      <c r="D810" s="13">
        <v>0</v>
      </c>
      <c r="E810" s="13">
        <v>68</v>
      </c>
      <c r="F810" s="13">
        <v>264</v>
      </c>
      <c r="G810" s="13">
        <v>478</v>
      </c>
      <c r="H810" s="13">
        <v>462</v>
      </c>
      <c r="I810" s="13">
        <v>263</v>
      </c>
      <c r="J810" s="13">
        <v>59</v>
      </c>
    </row>
    <row r="811" spans="1:10" x14ac:dyDescent="0.25">
      <c r="A811" s="11">
        <v>2015</v>
      </c>
      <c r="B811" s="11" t="s">
        <v>240</v>
      </c>
      <c r="C811" s="13">
        <v>3755</v>
      </c>
      <c r="D811" s="13">
        <v>1</v>
      </c>
      <c r="E811" s="13">
        <v>195</v>
      </c>
      <c r="F811" s="13">
        <v>717</v>
      </c>
      <c r="G811" s="13">
        <v>1103</v>
      </c>
      <c r="H811" s="13">
        <v>1058</v>
      </c>
      <c r="I811" s="13">
        <v>558</v>
      </c>
      <c r="J811" s="13">
        <v>123</v>
      </c>
    </row>
    <row r="812" spans="1:10" x14ac:dyDescent="0.25">
      <c r="A812" s="11">
        <v>2015</v>
      </c>
      <c r="B812" s="11" t="s">
        <v>241</v>
      </c>
      <c r="C812" s="13">
        <v>7086</v>
      </c>
      <c r="D812" s="13">
        <v>1</v>
      </c>
      <c r="E812" s="13">
        <v>265</v>
      </c>
      <c r="F812" s="13">
        <v>1070</v>
      </c>
      <c r="G812" s="13">
        <v>1981</v>
      </c>
      <c r="H812" s="13">
        <v>2244</v>
      </c>
      <c r="I812" s="13">
        <v>1212</v>
      </c>
      <c r="J812" s="13">
        <v>313</v>
      </c>
    </row>
    <row r="813" spans="1:10" x14ac:dyDescent="0.25">
      <c r="A813" s="11">
        <v>2015</v>
      </c>
      <c r="B813" s="11" t="s">
        <v>242</v>
      </c>
      <c r="C813" s="13">
        <v>2220</v>
      </c>
      <c r="D813" s="13">
        <v>0</v>
      </c>
      <c r="E813" s="13">
        <v>85</v>
      </c>
      <c r="F813" s="13">
        <v>425</v>
      </c>
      <c r="G813" s="13">
        <v>621</v>
      </c>
      <c r="H813" s="13">
        <v>636</v>
      </c>
      <c r="I813" s="13">
        <v>367</v>
      </c>
      <c r="J813" s="13">
        <v>86</v>
      </c>
    </row>
    <row r="814" spans="1:10" x14ac:dyDescent="0.25">
      <c r="A814" s="11">
        <v>2015</v>
      </c>
      <c r="B814" s="11" t="s">
        <v>243</v>
      </c>
      <c r="C814" s="13">
        <v>711</v>
      </c>
      <c r="D814" s="13">
        <v>0</v>
      </c>
      <c r="E814" s="13">
        <v>31</v>
      </c>
      <c r="F814" s="13">
        <v>144</v>
      </c>
      <c r="G814" s="13">
        <v>202</v>
      </c>
      <c r="H814" s="13">
        <v>198</v>
      </c>
      <c r="I814" s="13">
        <v>102</v>
      </c>
      <c r="J814" s="13">
        <v>34</v>
      </c>
    </row>
    <row r="815" spans="1:10" x14ac:dyDescent="0.25">
      <c r="A815" s="11">
        <v>2015</v>
      </c>
      <c r="B815" s="11" t="s">
        <v>244</v>
      </c>
      <c r="C815" s="13">
        <v>1082</v>
      </c>
      <c r="D815" s="13">
        <v>0</v>
      </c>
      <c r="E815" s="13">
        <v>58</v>
      </c>
      <c r="F815" s="13">
        <v>175</v>
      </c>
      <c r="G815" s="13">
        <v>305</v>
      </c>
      <c r="H815" s="13">
        <v>309</v>
      </c>
      <c r="I815" s="13">
        <v>200</v>
      </c>
      <c r="J815" s="13">
        <v>35</v>
      </c>
    </row>
    <row r="816" spans="1:10" x14ac:dyDescent="0.25">
      <c r="A816" s="11">
        <v>2015</v>
      </c>
      <c r="B816" s="11" t="s">
        <v>245</v>
      </c>
      <c r="C816" s="13">
        <v>905</v>
      </c>
      <c r="D816" s="13">
        <v>0</v>
      </c>
      <c r="E816" s="13">
        <v>43</v>
      </c>
      <c r="F816" s="13">
        <v>171</v>
      </c>
      <c r="G816" s="13">
        <v>304</v>
      </c>
      <c r="H816" s="13">
        <v>260</v>
      </c>
      <c r="I816" s="13">
        <v>101</v>
      </c>
      <c r="J816" s="13">
        <v>26</v>
      </c>
    </row>
    <row r="817" spans="1:10" x14ac:dyDescent="0.25">
      <c r="A817" s="11">
        <v>2015</v>
      </c>
      <c r="B817" s="11" t="s">
        <v>246</v>
      </c>
      <c r="C817" s="13">
        <v>222</v>
      </c>
      <c r="D817" s="13">
        <v>0</v>
      </c>
      <c r="E817" s="13">
        <v>12</v>
      </c>
      <c r="F817" s="13">
        <v>34</v>
      </c>
      <c r="G817" s="13">
        <v>57</v>
      </c>
      <c r="H817" s="13">
        <v>65</v>
      </c>
      <c r="I817" s="13">
        <v>42</v>
      </c>
      <c r="J817" s="13">
        <v>12</v>
      </c>
    </row>
    <row r="818" spans="1:10" x14ac:dyDescent="0.25">
      <c r="A818" s="11">
        <v>2015</v>
      </c>
      <c r="B818" s="11" t="s">
        <v>247</v>
      </c>
      <c r="C818" s="13">
        <v>1255</v>
      </c>
      <c r="D818" s="13">
        <v>0</v>
      </c>
      <c r="E818" s="13">
        <v>73</v>
      </c>
      <c r="F818" s="13">
        <v>246</v>
      </c>
      <c r="G818" s="13">
        <v>363</v>
      </c>
      <c r="H818" s="13">
        <v>352</v>
      </c>
      <c r="I818" s="13">
        <v>188</v>
      </c>
      <c r="J818" s="13">
        <v>33</v>
      </c>
    </row>
    <row r="819" spans="1:10" x14ac:dyDescent="0.25">
      <c r="A819" s="11">
        <v>2015</v>
      </c>
      <c r="B819" s="11" t="s">
        <v>248</v>
      </c>
      <c r="C819" s="13">
        <v>3716</v>
      </c>
      <c r="D819" s="13">
        <v>1</v>
      </c>
      <c r="E819" s="13">
        <v>183</v>
      </c>
      <c r="F819" s="13">
        <v>668</v>
      </c>
      <c r="G819" s="13">
        <v>1088</v>
      </c>
      <c r="H819" s="13">
        <v>1099</v>
      </c>
      <c r="I819" s="13">
        <v>552</v>
      </c>
      <c r="J819" s="13">
        <v>125</v>
      </c>
    </row>
    <row r="820" spans="1:10" x14ac:dyDescent="0.25">
      <c r="A820" s="11">
        <v>2015</v>
      </c>
      <c r="B820" s="11" t="s">
        <v>249</v>
      </c>
      <c r="C820" s="13">
        <v>191</v>
      </c>
      <c r="D820" s="13">
        <v>0</v>
      </c>
      <c r="E820" s="13">
        <v>3</v>
      </c>
      <c r="F820" s="13">
        <v>26</v>
      </c>
      <c r="G820" s="13">
        <v>54</v>
      </c>
      <c r="H820" s="13">
        <v>62</v>
      </c>
      <c r="I820" s="13">
        <v>34</v>
      </c>
      <c r="J820" s="13">
        <v>12</v>
      </c>
    </row>
    <row r="821" spans="1:10" x14ac:dyDescent="0.25">
      <c r="A821" s="11">
        <v>2015</v>
      </c>
      <c r="B821" s="11" t="s">
        <v>250</v>
      </c>
      <c r="C821" s="13">
        <v>1357</v>
      </c>
      <c r="D821" s="13">
        <v>0</v>
      </c>
      <c r="E821" s="13">
        <v>46</v>
      </c>
      <c r="F821" s="13">
        <v>207</v>
      </c>
      <c r="G821" s="13">
        <v>336</v>
      </c>
      <c r="H821" s="13">
        <v>471</v>
      </c>
      <c r="I821" s="13">
        <v>241</v>
      </c>
      <c r="J821" s="13">
        <v>56</v>
      </c>
    </row>
    <row r="822" spans="1:10" x14ac:dyDescent="0.25">
      <c r="A822" s="11">
        <v>2015</v>
      </c>
      <c r="B822" s="11" t="s">
        <v>251</v>
      </c>
      <c r="C822" s="13">
        <v>1712</v>
      </c>
      <c r="D822" s="13">
        <v>0</v>
      </c>
      <c r="E822" s="13">
        <v>71</v>
      </c>
      <c r="F822" s="13">
        <v>284</v>
      </c>
      <c r="G822" s="13">
        <v>477</v>
      </c>
      <c r="H822" s="13">
        <v>558</v>
      </c>
      <c r="I822" s="13">
        <v>260</v>
      </c>
      <c r="J822" s="13">
        <v>62</v>
      </c>
    </row>
    <row r="823" spans="1:10" x14ac:dyDescent="0.25">
      <c r="A823" s="11">
        <v>2015</v>
      </c>
      <c r="B823" s="11" t="s">
        <v>252</v>
      </c>
      <c r="C823" s="13">
        <v>1037</v>
      </c>
      <c r="D823" s="13">
        <v>0</v>
      </c>
      <c r="E823" s="13">
        <v>47</v>
      </c>
      <c r="F823" s="13">
        <v>190</v>
      </c>
      <c r="G823" s="13">
        <v>291</v>
      </c>
      <c r="H823" s="13">
        <v>317</v>
      </c>
      <c r="I823" s="13">
        <v>153</v>
      </c>
      <c r="J823" s="13">
        <v>39</v>
      </c>
    </row>
    <row r="824" spans="1:10" x14ac:dyDescent="0.25">
      <c r="A824" s="11">
        <v>2015</v>
      </c>
      <c r="B824" s="11" t="s">
        <v>253</v>
      </c>
      <c r="C824" s="13">
        <v>234</v>
      </c>
      <c r="D824" s="13">
        <v>0</v>
      </c>
      <c r="E824" s="13">
        <v>8</v>
      </c>
      <c r="F824" s="13">
        <v>34</v>
      </c>
      <c r="G824" s="13">
        <v>70</v>
      </c>
      <c r="H824" s="13">
        <v>63</v>
      </c>
      <c r="I824" s="13">
        <v>53</v>
      </c>
      <c r="J824" s="13">
        <v>6</v>
      </c>
    </row>
    <row r="825" spans="1:10" x14ac:dyDescent="0.25">
      <c r="A825" s="11">
        <v>2015</v>
      </c>
      <c r="B825" s="11" t="s">
        <v>254</v>
      </c>
      <c r="C825" s="13">
        <v>1030</v>
      </c>
      <c r="D825" s="13">
        <v>0</v>
      </c>
      <c r="E825" s="13">
        <v>35</v>
      </c>
      <c r="F825" s="13">
        <v>179</v>
      </c>
      <c r="G825" s="13">
        <v>298</v>
      </c>
      <c r="H825" s="13">
        <v>302</v>
      </c>
      <c r="I825" s="13">
        <v>177</v>
      </c>
      <c r="J825" s="13">
        <v>39</v>
      </c>
    </row>
    <row r="826" spans="1:10" x14ac:dyDescent="0.25">
      <c r="A826" s="11">
        <v>2015</v>
      </c>
      <c r="B826" s="11" t="s">
        <v>255</v>
      </c>
      <c r="C826" s="13">
        <v>3185</v>
      </c>
      <c r="D826" s="13">
        <v>0</v>
      </c>
      <c r="E826" s="13">
        <v>123</v>
      </c>
      <c r="F826" s="13">
        <v>477</v>
      </c>
      <c r="G826" s="13">
        <v>852</v>
      </c>
      <c r="H826" s="13">
        <v>1073</v>
      </c>
      <c r="I826" s="13">
        <v>546</v>
      </c>
      <c r="J826" s="13">
        <v>114</v>
      </c>
    </row>
    <row r="827" spans="1:10" x14ac:dyDescent="0.25">
      <c r="A827" s="11">
        <v>2015</v>
      </c>
      <c r="B827" s="11" t="s">
        <v>256</v>
      </c>
      <c r="C827" s="13">
        <v>792</v>
      </c>
      <c r="D827" s="13">
        <v>0</v>
      </c>
      <c r="E827" s="13">
        <v>35</v>
      </c>
      <c r="F827" s="13">
        <v>110</v>
      </c>
      <c r="G827" s="13">
        <v>184</v>
      </c>
      <c r="H827" s="13">
        <v>268</v>
      </c>
      <c r="I827" s="13">
        <v>163</v>
      </c>
      <c r="J827" s="13">
        <v>32</v>
      </c>
    </row>
    <row r="828" spans="1:10" x14ac:dyDescent="0.25">
      <c r="A828" s="11">
        <v>2015</v>
      </c>
      <c r="B828" s="11" t="s">
        <v>257</v>
      </c>
      <c r="C828" s="13">
        <v>924</v>
      </c>
      <c r="D828" s="13">
        <v>0</v>
      </c>
      <c r="E828" s="13">
        <v>48</v>
      </c>
      <c r="F828" s="13">
        <v>181</v>
      </c>
      <c r="G828" s="13">
        <v>262</v>
      </c>
      <c r="H828" s="13">
        <v>281</v>
      </c>
      <c r="I828" s="13">
        <v>121</v>
      </c>
      <c r="J828" s="13">
        <v>31</v>
      </c>
    </row>
    <row r="829" spans="1:10" x14ac:dyDescent="0.25">
      <c r="A829" s="11">
        <v>2015</v>
      </c>
      <c r="B829" s="11" t="s">
        <v>258</v>
      </c>
      <c r="C829" s="13">
        <v>1969</v>
      </c>
      <c r="D829" s="13">
        <v>0</v>
      </c>
      <c r="E829" s="13">
        <v>78</v>
      </c>
      <c r="F829" s="13">
        <v>316</v>
      </c>
      <c r="G829" s="13">
        <v>589</v>
      </c>
      <c r="H829" s="13">
        <v>630</v>
      </c>
      <c r="I829" s="13">
        <v>304</v>
      </c>
      <c r="J829" s="13">
        <v>52</v>
      </c>
    </row>
    <row r="830" spans="1:10" x14ac:dyDescent="0.25">
      <c r="A830" s="11">
        <v>2016</v>
      </c>
      <c r="B830" s="11" t="s">
        <v>11</v>
      </c>
      <c r="C830" s="13">
        <v>54488</v>
      </c>
      <c r="D830" s="13">
        <v>17</v>
      </c>
      <c r="E830" s="13">
        <v>1974</v>
      </c>
      <c r="F830" s="13">
        <v>8282</v>
      </c>
      <c r="G830" s="13">
        <v>14976</v>
      </c>
      <c r="H830" s="13">
        <v>17490</v>
      </c>
      <c r="I830" s="13">
        <v>9556</v>
      </c>
      <c r="J830" s="13">
        <v>2193</v>
      </c>
    </row>
    <row r="831" spans="1:10" x14ac:dyDescent="0.25">
      <c r="A831" s="11">
        <v>2016</v>
      </c>
      <c r="B831" s="11" t="s">
        <v>227</v>
      </c>
      <c r="C831" s="13">
        <v>2521</v>
      </c>
      <c r="D831" s="13">
        <v>0</v>
      </c>
      <c r="E831" s="13">
        <v>70</v>
      </c>
      <c r="F831" s="13">
        <v>358</v>
      </c>
      <c r="G831" s="13">
        <v>665</v>
      </c>
      <c r="H831" s="13">
        <v>905</v>
      </c>
      <c r="I831" s="13">
        <v>421</v>
      </c>
      <c r="J831" s="13">
        <v>102</v>
      </c>
    </row>
    <row r="832" spans="1:10" x14ac:dyDescent="0.25">
      <c r="A832" s="11">
        <v>2016</v>
      </c>
      <c r="B832" s="11" t="s">
        <v>228</v>
      </c>
      <c r="C832" s="13">
        <v>2811</v>
      </c>
      <c r="D832" s="13">
        <v>0</v>
      </c>
      <c r="E832" s="13">
        <v>67</v>
      </c>
      <c r="F832" s="13">
        <v>348</v>
      </c>
      <c r="G832" s="13">
        <v>788</v>
      </c>
      <c r="H832" s="13">
        <v>987</v>
      </c>
      <c r="I832" s="13">
        <v>517</v>
      </c>
      <c r="J832" s="13">
        <v>104</v>
      </c>
    </row>
    <row r="833" spans="1:10" x14ac:dyDescent="0.25">
      <c r="A833" s="11">
        <v>2016</v>
      </c>
      <c r="B833" s="11" t="s">
        <v>229</v>
      </c>
      <c r="C833" s="13">
        <v>1025</v>
      </c>
      <c r="D833" s="13">
        <v>0</v>
      </c>
      <c r="E833" s="13">
        <v>40</v>
      </c>
      <c r="F833" s="13">
        <v>168</v>
      </c>
      <c r="G833" s="13">
        <v>299</v>
      </c>
      <c r="H833" s="13">
        <v>331</v>
      </c>
      <c r="I833" s="13">
        <v>160</v>
      </c>
      <c r="J833" s="13">
        <v>27</v>
      </c>
    </row>
    <row r="834" spans="1:10" x14ac:dyDescent="0.25">
      <c r="A834" s="11">
        <v>2016</v>
      </c>
      <c r="B834" s="11" t="s">
        <v>230</v>
      </c>
      <c r="C834" s="13">
        <v>699</v>
      </c>
      <c r="D834" s="13">
        <v>4</v>
      </c>
      <c r="E834" s="13">
        <v>27</v>
      </c>
      <c r="F834" s="13">
        <v>132</v>
      </c>
      <c r="G834" s="13">
        <v>189</v>
      </c>
      <c r="H834" s="13">
        <v>202</v>
      </c>
      <c r="I834" s="13">
        <v>114</v>
      </c>
      <c r="J834" s="13">
        <v>31</v>
      </c>
    </row>
    <row r="835" spans="1:10" x14ac:dyDescent="0.25">
      <c r="A835" s="11">
        <v>2016</v>
      </c>
      <c r="B835" s="11" t="s">
        <v>231</v>
      </c>
      <c r="C835" s="13">
        <v>5300</v>
      </c>
      <c r="D835" s="13">
        <v>1</v>
      </c>
      <c r="E835" s="13">
        <v>113</v>
      </c>
      <c r="F835" s="13">
        <v>500</v>
      </c>
      <c r="G835" s="13">
        <v>1188</v>
      </c>
      <c r="H835" s="13">
        <v>1932</v>
      </c>
      <c r="I835" s="13">
        <v>1290</v>
      </c>
      <c r="J835" s="13">
        <v>276</v>
      </c>
    </row>
    <row r="836" spans="1:10" x14ac:dyDescent="0.25">
      <c r="A836" s="11">
        <v>2016</v>
      </c>
      <c r="B836" s="11" t="s">
        <v>232</v>
      </c>
      <c r="C836" s="13">
        <v>505</v>
      </c>
      <c r="D836" s="13">
        <v>0</v>
      </c>
      <c r="E836" s="13">
        <v>25</v>
      </c>
      <c r="F836" s="13">
        <v>113</v>
      </c>
      <c r="G836" s="13">
        <v>138</v>
      </c>
      <c r="H836" s="13">
        <v>143</v>
      </c>
      <c r="I836" s="13">
        <v>65</v>
      </c>
      <c r="J836" s="13">
        <v>21</v>
      </c>
    </row>
    <row r="837" spans="1:10" x14ac:dyDescent="0.25">
      <c r="A837" s="11">
        <v>2016</v>
      </c>
      <c r="B837" s="11" t="s">
        <v>233</v>
      </c>
      <c r="C837" s="13">
        <v>1318</v>
      </c>
      <c r="D837" s="13">
        <v>0</v>
      </c>
      <c r="E837" s="13">
        <v>76</v>
      </c>
      <c r="F837" s="13">
        <v>260</v>
      </c>
      <c r="G837" s="13">
        <v>408</v>
      </c>
      <c r="H837" s="13">
        <v>370</v>
      </c>
      <c r="I837" s="13">
        <v>152</v>
      </c>
      <c r="J837" s="13">
        <v>52</v>
      </c>
    </row>
    <row r="838" spans="1:10" x14ac:dyDescent="0.25">
      <c r="A838" s="11">
        <v>2016</v>
      </c>
      <c r="B838" s="11" t="s">
        <v>234</v>
      </c>
      <c r="C838" s="13">
        <v>1576</v>
      </c>
      <c r="D838" s="13">
        <v>0</v>
      </c>
      <c r="E838" s="13">
        <v>91</v>
      </c>
      <c r="F838" s="13">
        <v>308</v>
      </c>
      <c r="G838" s="13">
        <v>461</v>
      </c>
      <c r="H838" s="13">
        <v>461</v>
      </c>
      <c r="I838" s="13">
        <v>217</v>
      </c>
      <c r="J838" s="13">
        <v>38</v>
      </c>
    </row>
    <row r="839" spans="1:10" x14ac:dyDescent="0.25">
      <c r="A839" s="11">
        <v>2016</v>
      </c>
      <c r="B839" s="11" t="s">
        <v>235</v>
      </c>
      <c r="C839" s="13">
        <v>1275</v>
      </c>
      <c r="D839" s="13">
        <v>0</v>
      </c>
      <c r="E839" s="13">
        <v>75</v>
      </c>
      <c r="F839" s="13">
        <v>266</v>
      </c>
      <c r="G839" s="13">
        <v>357</v>
      </c>
      <c r="H839" s="13">
        <v>358</v>
      </c>
      <c r="I839" s="13">
        <v>183</v>
      </c>
      <c r="J839" s="13">
        <v>36</v>
      </c>
    </row>
    <row r="840" spans="1:10" x14ac:dyDescent="0.25">
      <c r="A840" s="11">
        <v>2016</v>
      </c>
      <c r="B840" s="11" t="s">
        <v>236</v>
      </c>
      <c r="C840" s="13">
        <v>951</v>
      </c>
      <c r="D840" s="13">
        <v>0</v>
      </c>
      <c r="E840" s="13">
        <v>22</v>
      </c>
      <c r="F840" s="13">
        <v>66</v>
      </c>
      <c r="G840" s="13">
        <v>199</v>
      </c>
      <c r="H840" s="13">
        <v>374</v>
      </c>
      <c r="I840" s="13">
        <v>241</v>
      </c>
      <c r="J840" s="13">
        <v>49</v>
      </c>
    </row>
    <row r="841" spans="1:10" x14ac:dyDescent="0.25">
      <c r="A841" s="11">
        <v>2016</v>
      </c>
      <c r="B841" s="11" t="s">
        <v>237</v>
      </c>
      <c r="C841" s="13">
        <v>1041</v>
      </c>
      <c r="D841" s="13">
        <v>0</v>
      </c>
      <c r="E841" s="13">
        <v>36</v>
      </c>
      <c r="F841" s="13">
        <v>139</v>
      </c>
      <c r="G841" s="13">
        <v>287</v>
      </c>
      <c r="H841" s="13">
        <v>325</v>
      </c>
      <c r="I841" s="13">
        <v>205</v>
      </c>
      <c r="J841" s="13">
        <v>49</v>
      </c>
    </row>
    <row r="842" spans="1:10" x14ac:dyDescent="0.25">
      <c r="A842" s="11">
        <v>2016</v>
      </c>
      <c r="B842" s="11" t="s">
        <v>238</v>
      </c>
      <c r="C842" s="13">
        <v>861</v>
      </c>
      <c r="D842" s="13">
        <v>1</v>
      </c>
      <c r="E842" s="13">
        <v>13</v>
      </c>
      <c r="F842" s="13">
        <v>54</v>
      </c>
      <c r="G842" s="13">
        <v>160</v>
      </c>
      <c r="H842" s="13">
        <v>355</v>
      </c>
      <c r="I842" s="13">
        <v>225</v>
      </c>
      <c r="J842" s="13">
        <v>53</v>
      </c>
    </row>
    <row r="843" spans="1:10" x14ac:dyDescent="0.25">
      <c r="A843" s="11">
        <v>2016</v>
      </c>
      <c r="B843" s="11" t="s">
        <v>239</v>
      </c>
      <c r="C843" s="13">
        <v>1565</v>
      </c>
      <c r="D843" s="13">
        <v>0</v>
      </c>
      <c r="E843" s="13">
        <v>66</v>
      </c>
      <c r="F843" s="13">
        <v>285</v>
      </c>
      <c r="G843" s="13">
        <v>435</v>
      </c>
      <c r="H843" s="13">
        <v>492</v>
      </c>
      <c r="I843" s="13">
        <v>237</v>
      </c>
      <c r="J843" s="13">
        <v>50</v>
      </c>
    </row>
    <row r="844" spans="1:10" x14ac:dyDescent="0.25">
      <c r="A844" s="11">
        <v>2016</v>
      </c>
      <c r="B844" s="11" t="s">
        <v>240</v>
      </c>
      <c r="C844" s="13">
        <v>3739</v>
      </c>
      <c r="D844" s="13">
        <v>1</v>
      </c>
      <c r="E844" s="13">
        <v>187</v>
      </c>
      <c r="F844" s="13">
        <v>690</v>
      </c>
      <c r="G844" s="13">
        <v>1110</v>
      </c>
      <c r="H844" s="13">
        <v>1045</v>
      </c>
      <c r="I844" s="13">
        <v>577</v>
      </c>
      <c r="J844" s="13">
        <v>129</v>
      </c>
    </row>
    <row r="845" spans="1:10" x14ac:dyDescent="0.25">
      <c r="A845" s="11">
        <v>2016</v>
      </c>
      <c r="B845" s="11" t="s">
        <v>241</v>
      </c>
      <c r="C845" s="13">
        <v>6833</v>
      </c>
      <c r="D845" s="13">
        <v>5</v>
      </c>
      <c r="E845" s="13">
        <v>212</v>
      </c>
      <c r="F845" s="13">
        <v>997</v>
      </c>
      <c r="G845" s="13">
        <v>1963</v>
      </c>
      <c r="H845" s="13">
        <v>2151</v>
      </c>
      <c r="I845" s="13">
        <v>1217</v>
      </c>
      <c r="J845" s="13">
        <v>288</v>
      </c>
    </row>
    <row r="846" spans="1:10" x14ac:dyDescent="0.25">
      <c r="A846" s="11">
        <v>2016</v>
      </c>
      <c r="B846" s="11" t="s">
        <v>242</v>
      </c>
      <c r="C846" s="13">
        <v>2150</v>
      </c>
      <c r="D846" s="13">
        <v>0</v>
      </c>
      <c r="E846" s="13">
        <v>82</v>
      </c>
      <c r="F846" s="13">
        <v>359</v>
      </c>
      <c r="G846" s="13">
        <v>598</v>
      </c>
      <c r="H846" s="13">
        <v>625</v>
      </c>
      <c r="I846" s="13">
        <v>381</v>
      </c>
      <c r="J846" s="13">
        <v>105</v>
      </c>
    </row>
    <row r="847" spans="1:10" x14ac:dyDescent="0.25">
      <c r="A847" s="11">
        <v>2016</v>
      </c>
      <c r="B847" s="11" t="s">
        <v>243</v>
      </c>
      <c r="C847" s="13">
        <v>706</v>
      </c>
      <c r="D847" s="13">
        <v>0</v>
      </c>
      <c r="E847" s="13">
        <v>29</v>
      </c>
      <c r="F847" s="13">
        <v>122</v>
      </c>
      <c r="G847" s="13">
        <v>192</v>
      </c>
      <c r="H847" s="13">
        <v>225</v>
      </c>
      <c r="I847" s="13">
        <v>117</v>
      </c>
      <c r="J847" s="13">
        <v>21</v>
      </c>
    </row>
    <row r="848" spans="1:10" x14ac:dyDescent="0.25">
      <c r="A848" s="11">
        <v>2016</v>
      </c>
      <c r="B848" s="11" t="s">
        <v>244</v>
      </c>
      <c r="C848" s="13">
        <v>1088</v>
      </c>
      <c r="D848" s="13">
        <v>0</v>
      </c>
      <c r="E848" s="13">
        <v>48</v>
      </c>
      <c r="F848" s="13">
        <v>156</v>
      </c>
      <c r="G848" s="13">
        <v>311</v>
      </c>
      <c r="H848" s="13">
        <v>331</v>
      </c>
      <c r="I848" s="13">
        <v>195</v>
      </c>
      <c r="J848" s="13">
        <v>47</v>
      </c>
    </row>
    <row r="849" spans="1:10" x14ac:dyDescent="0.25">
      <c r="A849" s="11">
        <v>2016</v>
      </c>
      <c r="B849" s="11" t="s">
        <v>245</v>
      </c>
      <c r="C849" s="13">
        <v>939</v>
      </c>
      <c r="D849" s="13">
        <v>1</v>
      </c>
      <c r="E849" s="13">
        <v>41</v>
      </c>
      <c r="F849" s="13">
        <v>165</v>
      </c>
      <c r="G849" s="13">
        <v>300</v>
      </c>
      <c r="H849" s="13">
        <v>263</v>
      </c>
      <c r="I849" s="13">
        <v>131</v>
      </c>
      <c r="J849" s="13">
        <v>38</v>
      </c>
    </row>
    <row r="850" spans="1:10" x14ac:dyDescent="0.25">
      <c r="A850" s="11">
        <v>2016</v>
      </c>
      <c r="B850" s="11" t="s">
        <v>246</v>
      </c>
      <c r="C850" s="13">
        <v>238</v>
      </c>
      <c r="D850" s="13">
        <v>0</v>
      </c>
      <c r="E850" s="13">
        <v>9</v>
      </c>
      <c r="F850" s="13">
        <v>32</v>
      </c>
      <c r="G850" s="13">
        <v>68</v>
      </c>
      <c r="H850" s="13">
        <v>69</v>
      </c>
      <c r="I850" s="13">
        <v>47</v>
      </c>
      <c r="J850" s="13">
        <v>13</v>
      </c>
    </row>
    <row r="851" spans="1:10" x14ac:dyDescent="0.25">
      <c r="A851" s="11">
        <v>2016</v>
      </c>
      <c r="B851" s="11" t="s">
        <v>247</v>
      </c>
      <c r="C851" s="13">
        <v>1244</v>
      </c>
      <c r="D851" s="13">
        <v>0</v>
      </c>
      <c r="E851" s="13">
        <v>60</v>
      </c>
      <c r="F851" s="13">
        <v>251</v>
      </c>
      <c r="G851" s="13">
        <v>378</v>
      </c>
      <c r="H851" s="13">
        <v>348</v>
      </c>
      <c r="I851" s="13">
        <v>173</v>
      </c>
      <c r="J851" s="13">
        <v>34</v>
      </c>
    </row>
    <row r="852" spans="1:10" x14ac:dyDescent="0.25">
      <c r="A852" s="11">
        <v>2016</v>
      </c>
      <c r="B852" s="11" t="s">
        <v>248</v>
      </c>
      <c r="C852" s="13">
        <v>3511</v>
      </c>
      <c r="D852" s="13">
        <v>0</v>
      </c>
      <c r="E852" s="13">
        <v>159</v>
      </c>
      <c r="F852" s="13">
        <v>568</v>
      </c>
      <c r="G852" s="13">
        <v>1024</v>
      </c>
      <c r="H852" s="13">
        <v>1055</v>
      </c>
      <c r="I852" s="13">
        <v>585</v>
      </c>
      <c r="J852" s="13">
        <v>120</v>
      </c>
    </row>
    <row r="853" spans="1:10" x14ac:dyDescent="0.25">
      <c r="A853" s="11">
        <v>2016</v>
      </c>
      <c r="B853" s="11" t="s">
        <v>249</v>
      </c>
      <c r="C853" s="13">
        <v>178</v>
      </c>
      <c r="D853" s="13">
        <v>0</v>
      </c>
      <c r="E853" s="13">
        <v>5</v>
      </c>
      <c r="F853" s="13">
        <v>34</v>
      </c>
      <c r="G853" s="13">
        <v>58</v>
      </c>
      <c r="H853" s="13">
        <v>48</v>
      </c>
      <c r="I853" s="13">
        <v>26</v>
      </c>
      <c r="J853" s="13">
        <v>7</v>
      </c>
    </row>
    <row r="854" spans="1:10" x14ac:dyDescent="0.25">
      <c r="A854" s="11">
        <v>2016</v>
      </c>
      <c r="B854" s="11" t="s">
        <v>250</v>
      </c>
      <c r="C854" s="13">
        <v>1325</v>
      </c>
      <c r="D854" s="13">
        <v>0</v>
      </c>
      <c r="E854" s="13">
        <v>32</v>
      </c>
      <c r="F854" s="13">
        <v>202</v>
      </c>
      <c r="G854" s="13">
        <v>363</v>
      </c>
      <c r="H854" s="13">
        <v>446</v>
      </c>
      <c r="I854" s="13">
        <v>221</v>
      </c>
      <c r="J854" s="13">
        <v>61</v>
      </c>
    </row>
    <row r="855" spans="1:10" x14ac:dyDescent="0.25">
      <c r="A855" s="11">
        <v>2016</v>
      </c>
      <c r="B855" s="11" t="s">
        <v>251</v>
      </c>
      <c r="C855" s="13">
        <v>1773</v>
      </c>
      <c r="D855" s="13">
        <v>0</v>
      </c>
      <c r="E855" s="13">
        <v>58</v>
      </c>
      <c r="F855" s="13">
        <v>250</v>
      </c>
      <c r="G855" s="13">
        <v>472</v>
      </c>
      <c r="H855" s="13">
        <v>600</v>
      </c>
      <c r="I855" s="13">
        <v>326</v>
      </c>
      <c r="J855" s="13">
        <v>67</v>
      </c>
    </row>
    <row r="856" spans="1:10" x14ac:dyDescent="0.25">
      <c r="A856" s="11">
        <v>2016</v>
      </c>
      <c r="B856" s="11" t="s">
        <v>252</v>
      </c>
      <c r="C856" s="13">
        <v>1005</v>
      </c>
      <c r="D856" s="13">
        <v>1</v>
      </c>
      <c r="E856" s="13">
        <v>40</v>
      </c>
      <c r="F856" s="13">
        <v>155</v>
      </c>
      <c r="G856" s="13">
        <v>282</v>
      </c>
      <c r="H856" s="13">
        <v>300</v>
      </c>
      <c r="I856" s="13">
        <v>177</v>
      </c>
      <c r="J856" s="13">
        <v>50</v>
      </c>
    </row>
    <row r="857" spans="1:10" x14ac:dyDescent="0.25">
      <c r="A857" s="11">
        <v>2016</v>
      </c>
      <c r="B857" s="11" t="s">
        <v>253</v>
      </c>
      <c r="C857" s="13">
        <v>266</v>
      </c>
      <c r="D857" s="13">
        <v>0</v>
      </c>
      <c r="E857" s="13">
        <v>8</v>
      </c>
      <c r="F857" s="13">
        <v>34</v>
      </c>
      <c r="G857" s="13">
        <v>79</v>
      </c>
      <c r="H857" s="13">
        <v>83</v>
      </c>
      <c r="I857" s="13">
        <v>48</v>
      </c>
      <c r="J857" s="13">
        <v>14</v>
      </c>
    </row>
    <row r="858" spans="1:10" x14ac:dyDescent="0.25">
      <c r="A858" s="11">
        <v>2016</v>
      </c>
      <c r="B858" s="11" t="s">
        <v>254</v>
      </c>
      <c r="C858" s="13">
        <v>976</v>
      </c>
      <c r="D858" s="13">
        <v>1</v>
      </c>
      <c r="E858" s="13">
        <v>44</v>
      </c>
      <c r="F858" s="13">
        <v>172</v>
      </c>
      <c r="G858" s="13">
        <v>271</v>
      </c>
      <c r="H858" s="13">
        <v>305</v>
      </c>
      <c r="I858" s="13">
        <v>140</v>
      </c>
      <c r="J858" s="13">
        <v>43</v>
      </c>
    </row>
    <row r="859" spans="1:10" x14ac:dyDescent="0.25">
      <c r="A859" s="11">
        <v>2016</v>
      </c>
      <c r="B859" s="11" t="s">
        <v>255</v>
      </c>
      <c r="C859" s="13">
        <v>3315</v>
      </c>
      <c r="D859" s="13">
        <v>1</v>
      </c>
      <c r="E859" s="13">
        <v>118</v>
      </c>
      <c r="F859" s="13">
        <v>468</v>
      </c>
      <c r="G859" s="13">
        <v>888</v>
      </c>
      <c r="H859" s="13">
        <v>1185</v>
      </c>
      <c r="I859" s="13">
        <v>530</v>
      </c>
      <c r="J859" s="13">
        <v>125</v>
      </c>
    </row>
    <row r="860" spans="1:10" x14ac:dyDescent="0.25">
      <c r="A860" s="11">
        <v>2016</v>
      </c>
      <c r="B860" s="11" t="s">
        <v>256</v>
      </c>
      <c r="C860" s="13">
        <v>807</v>
      </c>
      <c r="D860" s="13">
        <v>0</v>
      </c>
      <c r="E860" s="13">
        <v>17</v>
      </c>
      <c r="F860" s="13">
        <v>135</v>
      </c>
      <c r="G860" s="13">
        <v>183</v>
      </c>
      <c r="H860" s="13">
        <v>244</v>
      </c>
      <c r="I860" s="13">
        <v>184</v>
      </c>
      <c r="J860" s="13">
        <v>44</v>
      </c>
    </row>
    <row r="861" spans="1:10" x14ac:dyDescent="0.25">
      <c r="A861" s="11">
        <v>2016</v>
      </c>
      <c r="B861" s="11" t="s">
        <v>257</v>
      </c>
      <c r="C861" s="13">
        <v>958</v>
      </c>
      <c r="D861" s="13">
        <v>0</v>
      </c>
      <c r="E861" s="13">
        <v>39</v>
      </c>
      <c r="F861" s="13">
        <v>166</v>
      </c>
      <c r="G861" s="13">
        <v>277</v>
      </c>
      <c r="H861" s="13">
        <v>311</v>
      </c>
      <c r="I861" s="13">
        <v>132</v>
      </c>
      <c r="J861" s="13">
        <v>33</v>
      </c>
    </row>
    <row r="862" spans="1:10" x14ac:dyDescent="0.25">
      <c r="A862" s="11">
        <v>2016</v>
      </c>
      <c r="B862" s="11" t="s">
        <v>258</v>
      </c>
      <c r="C862" s="13">
        <v>1989</v>
      </c>
      <c r="D862" s="13">
        <v>1</v>
      </c>
      <c r="E862" s="13">
        <v>65</v>
      </c>
      <c r="F862" s="13">
        <v>329</v>
      </c>
      <c r="G862" s="13">
        <v>585</v>
      </c>
      <c r="H862" s="13">
        <v>621</v>
      </c>
      <c r="I862" s="13">
        <v>322</v>
      </c>
      <c r="J862" s="13">
        <v>66</v>
      </c>
    </row>
    <row r="863" spans="1:10" x14ac:dyDescent="0.25">
      <c r="A863" s="11">
        <v>2017</v>
      </c>
      <c r="B863" s="11" t="s">
        <v>11</v>
      </c>
      <c r="C863" s="13">
        <v>52861</v>
      </c>
      <c r="D863" s="13">
        <v>1</v>
      </c>
      <c r="E863" s="13">
        <v>1838</v>
      </c>
      <c r="F863" s="13">
        <v>7720</v>
      </c>
      <c r="G863" s="13">
        <v>14537</v>
      </c>
      <c r="H863" s="13">
        <v>16955</v>
      </c>
      <c r="I863" s="13">
        <v>9745</v>
      </c>
      <c r="J863" s="13">
        <v>2065</v>
      </c>
    </row>
    <row r="864" spans="1:10" x14ac:dyDescent="0.25">
      <c r="A864" s="11">
        <v>2017</v>
      </c>
      <c r="B864" s="11" t="s">
        <v>227</v>
      </c>
      <c r="C864" s="13">
        <v>2402</v>
      </c>
      <c r="D864" s="13">
        <v>0</v>
      </c>
      <c r="E864" s="13">
        <v>69</v>
      </c>
      <c r="F864" s="13">
        <v>311</v>
      </c>
      <c r="G864" s="13">
        <v>704</v>
      </c>
      <c r="H864" s="13">
        <v>821</v>
      </c>
      <c r="I864" s="13">
        <v>420</v>
      </c>
      <c r="J864" s="13">
        <v>77</v>
      </c>
    </row>
    <row r="865" spans="1:10" x14ac:dyDescent="0.25">
      <c r="A865" s="11">
        <v>2017</v>
      </c>
      <c r="B865" s="11" t="s">
        <v>228</v>
      </c>
      <c r="C865" s="13">
        <v>2659</v>
      </c>
      <c r="D865" s="13">
        <v>0</v>
      </c>
      <c r="E865" s="13">
        <v>57</v>
      </c>
      <c r="F865" s="13">
        <v>315</v>
      </c>
      <c r="G865" s="13">
        <v>784</v>
      </c>
      <c r="H865" s="13">
        <v>929</v>
      </c>
      <c r="I865" s="13">
        <v>482</v>
      </c>
      <c r="J865" s="13">
        <v>92</v>
      </c>
    </row>
    <row r="866" spans="1:10" x14ac:dyDescent="0.25">
      <c r="A866" s="11">
        <v>2017</v>
      </c>
      <c r="B866" s="11" t="s">
        <v>229</v>
      </c>
      <c r="C866" s="13">
        <v>1054</v>
      </c>
      <c r="D866" s="13">
        <v>0</v>
      </c>
      <c r="E866" s="13">
        <v>39</v>
      </c>
      <c r="F866" s="13">
        <v>176</v>
      </c>
      <c r="G866" s="13">
        <v>318</v>
      </c>
      <c r="H866" s="13">
        <v>323</v>
      </c>
      <c r="I866" s="13">
        <v>167</v>
      </c>
      <c r="J866" s="13">
        <v>31</v>
      </c>
    </row>
    <row r="867" spans="1:10" x14ac:dyDescent="0.25">
      <c r="A867" s="11">
        <v>2017</v>
      </c>
      <c r="B867" s="11" t="s">
        <v>230</v>
      </c>
      <c r="C867" s="13">
        <v>665</v>
      </c>
      <c r="D867" s="13">
        <v>0</v>
      </c>
      <c r="E867" s="13">
        <v>15</v>
      </c>
      <c r="F867" s="13">
        <v>101</v>
      </c>
      <c r="G867" s="13">
        <v>205</v>
      </c>
      <c r="H867" s="13">
        <v>187</v>
      </c>
      <c r="I867" s="13">
        <v>129</v>
      </c>
      <c r="J867" s="13">
        <v>28</v>
      </c>
    </row>
    <row r="868" spans="1:10" x14ac:dyDescent="0.25">
      <c r="A868" s="11">
        <v>2017</v>
      </c>
      <c r="B868" s="11" t="s">
        <v>231</v>
      </c>
      <c r="C868" s="13">
        <v>5033</v>
      </c>
      <c r="D868" s="13">
        <v>0</v>
      </c>
      <c r="E868" s="13">
        <v>113</v>
      </c>
      <c r="F868" s="13">
        <v>462</v>
      </c>
      <c r="G868" s="13">
        <v>1069</v>
      </c>
      <c r="H868" s="13">
        <v>1842</v>
      </c>
      <c r="I868" s="13">
        <v>1240</v>
      </c>
      <c r="J868" s="13">
        <v>307</v>
      </c>
    </row>
    <row r="869" spans="1:10" x14ac:dyDescent="0.25">
      <c r="A869" s="11">
        <v>2017</v>
      </c>
      <c r="B869" s="11" t="s">
        <v>232</v>
      </c>
      <c r="C869" s="13">
        <v>536</v>
      </c>
      <c r="D869" s="13">
        <v>0</v>
      </c>
      <c r="E869" s="13">
        <v>28</v>
      </c>
      <c r="F869" s="13">
        <v>106</v>
      </c>
      <c r="G869" s="13">
        <v>168</v>
      </c>
      <c r="H869" s="13">
        <v>139</v>
      </c>
      <c r="I869" s="13">
        <v>82</v>
      </c>
      <c r="J869" s="13">
        <v>13</v>
      </c>
    </row>
    <row r="870" spans="1:10" x14ac:dyDescent="0.25">
      <c r="A870" s="11">
        <v>2017</v>
      </c>
      <c r="B870" s="11" t="s">
        <v>233</v>
      </c>
      <c r="C870" s="13">
        <v>1248</v>
      </c>
      <c r="D870" s="13">
        <v>0</v>
      </c>
      <c r="E870" s="13">
        <v>53</v>
      </c>
      <c r="F870" s="13">
        <v>235</v>
      </c>
      <c r="G870" s="13">
        <v>382</v>
      </c>
      <c r="H870" s="13">
        <v>337</v>
      </c>
      <c r="I870" s="13">
        <v>209</v>
      </c>
      <c r="J870" s="13">
        <v>32</v>
      </c>
    </row>
    <row r="871" spans="1:10" x14ac:dyDescent="0.25">
      <c r="A871" s="11">
        <v>2017</v>
      </c>
      <c r="B871" s="11" t="s">
        <v>234</v>
      </c>
      <c r="C871" s="13">
        <v>1493</v>
      </c>
      <c r="D871" s="13">
        <v>0</v>
      </c>
      <c r="E871" s="13">
        <v>96</v>
      </c>
      <c r="F871" s="13">
        <v>271</v>
      </c>
      <c r="G871" s="13">
        <v>426</v>
      </c>
      <c r="H871" s="13">
        <v>454</v>
      </c>
      <c r="I871" s="13">
        <v>205</v>
      </c>
      <c r="J871" s="13">
        <v>41</v>
      </c>
    </row>
    <row r="872" spans="1:10" x14ac:dyDescent="0.25">
      <c r="A872" s="11">
        <v>2017</v>
      </c>
      <c r="B872" s="11" t="s">
        <v>235</v>
      </c>
      <c r="C872" s="13">
        <v>1151</v>
      </c>
      <c r="D872" s="13">
        <v>0</v>
      </c>
      <c r="E872" s="13">
        <v>50</v>
      </c>
      <c r="F872" s="13">
        <v>237</v>
      </c>
      <c r="G872" s="13">
        <v>367</v>
      </c>
      <c r="H872" s="13">
        <v>304</v>
      </c>
      <c r="I872" s="13">
        <v>157</v>
      </c>
      <c r="J872" s="13">
        <v>36</v>
      </c>
    </row>
    <row r="873" spans="1:10" x14ac:dyDescent="0.25">
      <c r="A873" s="11">
        <v>2017</v>
      </c>
      <c r="B873" s="11" t="s">
        <v>236</v>
      </c>
      <c r="C873" s="13">
        <v>1036</v>
      </c>
      <c r="D873" s="13">
        <v>0</v>
      </c>
      <c r="E873" s="13">
        <v>15</v>
      </c>
      <c r="F873" s="13">
        <v>71</v>
      </c>
      <c r="G873" s="13">
        <v>186</v>
      </c>
      <c r="H873" s="13">
        <v>394</v>
      </c>
      <c r="I873" s="13">
        <v>315</v>
      </c>
      <c r="J873" s="13">
        <v>55</v>
      </c>
    </row>
    <row r="874" spans="1:10" x14ac:dyDescent="0.25">
      <c r="A874" s="11">
        <v>2017</v>
      </c>
      <c r="B874" s="11" t="s">
        <v>237</v>
      </c>
      <c r="C874" s="13">
        <v>971</v>
      </c>
      <c r="D874" s="13">
        <v>0</v>
      </c>
      <c r="E874" s="13">
        <v>36</v>
      </c>
      <c r="F874" s="13">
        <v>142</v>
      </c>
      <c r="G874" s="13">
        <v>243</v>
      </c>
      <c r="H874" s="13">
        <v>316</v>
      </c>
      <c r="I874" s="13">
        <v>191</v>
      </c>
      <c r="J874" s="13">
        <v>43</v>
      </c>
    </row>
    <row r="875" spans="1:10" x14ac:dyDescent="0.25">
      <c r="A875" s="11">
        <v>2017</v>
      </c>
      <c r="B875" s="11" t="s">
        <v>238</v>
      </c>
      <c r="C875" s="13">
        <v>886</v>
      </c>
      <c r="D875" s="13">
        <v>0</v>
      </c>
      <c r="E875" s="13">
        <v>9</v>
      </c>
      <c r="F875" s="13">
        <v>44</v>
      </c>
      <c r="G875" s="13">
        <v>180</v>
      </c>
      <c r="H875" s="13">
        <v>354</v>
      </c>
      <c r="I875" s="13">
        <v>242</v>
      </c>
      <c r="J875" s="13">
        <v>57</v>
      </c>
    </row>
    <row r="876" spans="1:10" x14ac:dyDescent="0.25">
      <c r="A876" s="11">
        <v>2017</v>
      </c>
      <c r="B876" s="11" t="s">
        <v>239</v>
      </c>
      <c r="C876" s="13">
        <v>1567</v>
      </c>
      <c r="D876" s="13">
        <v>0</v>
      </c>
      <c r="E876" s="13">
        <v>68</v>
      </c>
      <c r="F876" s="13">
        <v>254</v>
      </c>
      <c r="G876" s="13">
        <v>460</v>
      </c>
      <c r="H876" s="13">
        <v>477</v>
      </c>
      <c r="I876" s="13">
        <v>244</v>
      </c>
      <c r="J876" s="13">
        <v>64</v>
      </c>
    </row>
    <row r="877" spans="1:10" x14ac:dyDescent="0.25">
      <c r="A877" s="11">
        <v>2017</v>
      </c>
      <c r="B877" s="11" t="s">
        <v>240</v>
      </c>
      <c r="C877" s="13">
        <v>3465</v>
      </c>
      <c r="D877" s="13">
        <v>0</v>
      </c>
      <c r="E877" s="13">
        <v>188</v>
      </c>
      <c r="F877" s="13">
        <v>625</v>
      </c>
      <c r="G877" s="13">
        <v>1006</v>
      </c>
      <c r="H877" s="13">
        <v>999</v>
      </c>
      <c r="I877" s="13">
        <v>537</v>
      </c>
      <c r="J877" s="13">
        <v>110</v>
      </c>
    </row>
    <row r="878" spans="1:10" x14ac:dyDescent="0.25">
      <c r="A878" s="11">
        <v>2017</v>
      </c>
      <c r="B878" s="11" t="s">
        <v>241</v>
      </c>
      <c r="C878" s="13">
        <v>6852</v>
      </c>
      <c r="D878" s="13">
        <v>1</v>
      </c>
      <c r="E878" s="13">
        <v>234</v>
      </c>
      <c r="F878" s="13">
        <v>987</v>
      </c>
      <c r="G878" s="13">
        <v>1898</v>
      </c>
      <c r="H878" s="13">
        <v>2183</v>
      </c>
      <c r="I878" s="13">
        <v>1276</v>
      </c>
      <c r="J878" s="13">
        <v>273</v>
      </c>
    </row>
    <row r="879" spans="1:10" x14ac:dyDescent="0.25">
      <c r="A879" s="11">
        <v>2017</v>
      </c>
      <c r="B879" s="11" t="s">
        <v>242</v>
      </c>
      <c r="C879" s="13">
        <v>2089</v>
      </c>
      <c r="D879" s="13">
        <v>0</v>
      </c>
      <c r="E879" s="13">
        <v>76</v>
      </c>
      <c r="F879" s="13">
        <v>313</v>
      </c>
      <c r="G879" s="13">
        <v>598</v>
      </c>
      <c r="H879" s="13">
        <v>652</v>
      </c>
      <c r="I879" s="13">
        <v>369</v>
      </c>
      <c r="J879" s="13">
        <v>81</v>
      </c>
    </row>
    <row r="880" spans="1:10" x14ac:dyDescent="0.25">
      <c r="A880" s="11">
        <v>2017</v>
      </c>
      <c r="B880" s="11" t="s">
        <v>243</v>
      </c>
      <c r="C880" s="13">
        <v>667</v>
      </c>
      <c r="D880" s="13">
        <v>0</v>
      </c>
      <c r="E880" s="13">
        <v>16</v>
      </c>
      <c r="F880" s="13">
        <v>106</v>
      </c>
      <c r="G880" s="13">
        <v>184</v>
      </c>
      <c r="H880" s="13">
        <v>222</v>
      </c>
      <c r="I880" s="13">
        <v>113</v>
      </c>
      <c r="J880" s="13">
        <v>26</v>
      </c>
    </row>
    <row r="881" spans="1:10" x14ac:dyDescent="0.25">
      <c r="A881" s="11">
        <v>2017</v>
      </c>
      <c r="B881" s="11" t="s">
        <v>244</v>
      </c>
      <c r="C881" s="13">
        <v>1107</v>
      </c>
      <c r="D881" s="13">
        <v>0</v>
      </c>
      <c r="E881" s="13">
        <v>35</v>
      </c>
      <c r="F881" s="13">
        <v>148</v>
      </c>
      <c r="G881" s="13">
        <v>303</v>
      </c>
      <c r="H881" s="13">
        <v>370</v>
      </c>
      <c r="I881" s="13">
        <v>209</v>
      </c>
      <c r="J881" s="13">
        <v>42</v>
      </c>
    </row>
    <row r="882" spans="1:10" x14ac:dyDescent="0.25">
      <c r="A882" s="11">
        <v>2017</v>
      </c>
      <c r="B882" s="11" t="s">
        <v>245</v>
      </c>
      <c r="C882" s="13">
        <v>856</v>
      </c>
      <c r="D882" s="13">
        <v>0</v>
      </c>
      <c r="E882" s="13">
        <v>30</v>
      </c>
      <c r="F882" s="13">
        <v>153</v>
      </c>
      <c r="G882" s="13">
        <v>268</v>
      </c>
      <c r="H882" s="13">
        <v>248</v>
      </c>
      <c r="I882" s="13">
        <v>124</v>
      </c>
      <c r="J882" s="13">
        <v>33</v>
      </c>
    </row>
    <row r="883" spans="1:10" x14ac:dyDescent="0.25">
      <c r="A883" s="11">
        <v>2017</v>
      </c>
      <c r="B883" s="11" t="s">
        <v>246</v>
      </c>
      <c r="C883" s="13">
        <v>215</v>
      </c>
      <c r="D883" s="13">
        <v>0</v>
      </c>
      <c r="E883" s="13">
        <v>6</v>
      </c>
      <c r="F883" s="13">
        <v>19</v>
      </c>
      <c r="G883" s="13">
        <v>56</v>
      </c>
      <c r="H883" s="13">
        <v>70</v>
      </c>
      <c r="I883" s="13">
        <v>52</v>
      </c>
      <c r="J883" s="13">
        <v>12</v>
      </c>
    </row>
    <row r="884" spans="1:10" x14ac:dyDescent="0.25">
      <c r="A884" s="11">
        <v>2017</v>
      </c>
      <c r="B884" s="11" t="s">
        <v>247</v>
      </c>
      <c r="C884" s="13">
        <v>1193</v>
      </c>
      <c r="D884" s="13">
        <v>0</v>
      </c>
      <c r="E884" s="13">
        <v>74</v>
      </c>
      <c r="F884" s="13">
        <v>218</v>
      </c>
      <c r="G884" s="13">
        <v>369</v>
      </c>
      <c r="H884" s="13">
        <v>317</v>
      </c>
      <c r="I884" s="13">
        <v>180</v>
      </c>
      <c r="J884" s="13">
        <v>35</v>
      </c>
    </row>
    <row r="885" spans="1:10" x14ac:dyDescent="0.25">
      <c r="A885" s="11">
        <v>2017</v>
      </c>
      <c r="B885" s="11" t="s">
        <v>248</v>
      </c>
      <c r="C885" s="13">
        <v>3558</v>
      </c>
      <c r="D885" s="13">
        <v>0</v>
      </c>
      <c r="E885" s="13">
        <v>152</v>
      </c>
      <c r="F885" s="13">
        <v>586</v>
      </c>
      <c r="G885" s="13">
        <v>1034</v>
      </c>
      <c r="H885" s="13">
        <v>1102</v>
      </c>
      <c r="I885" s="13">
        <v>557</v>
      </c>
      <c r="J885" s="13">
        <v>127</v>
      </c>
    </row>
    <row r="886" spans="1:10" x14ac:dyDescent="0.25">
      <c r="A886" s="11">
        <v>2017</v>
      </c>
      <c r="B886" s="11" t="s">
        <v>249</v>
      </c>
      <c r="C886" s="13">
        <v>184</v>
      </c>
      <c r="D886" s="13">
        <v>0</v>
      </c>
      <c r="E886" s="13">
        <v>3</v>
      </c>
      <c r="F886" s="13">
        <v>18</v>
      </c>
      <c r="G886" s="13">
        <v>50</v>
      </c>
      <c r="H886" s="13">
        <v>71</v>
      </c>
      <c r="I886" s="13">
        <v>29</v>
      </c>
      <c r="J886" s="13">
        <v>13</v>
      </c>
    </row>
    <row r="887" spans="1:10" x14ac:dyDescent="0.25">
      <c r="A887" s="11">
        <v>2017</v>
      </c>
      <c r="B887" s="11" t="s">
        <v>250</v>
      </c>
      <c r="C887" s="13">
        <v>1210</v>
      </c>
      <c r="D887" s="13">
        <v>0</v>
      </c>
      <c r="E887" s="13">
        <v>25</v>
      </c>
      <c r="F887" s="13">
        <v>191</v>
      </c>
      <c r="G887" s="13">
        <v>318</v>
      </c>
      <c r="H887" s="13">
        <v>398</v>
      </c>
      <c r="I887" s="13">
        <v>230</v>
      </c>
      <c r="J887" s="13">
        <v>48</v>
      </c>
    </row>
    <row r="888" spans="1:10" x14ac:dyDescent="0.25">
      <c r="A888" s="11">
        <v>2017</v>
      </c>
      <c r="B888" s="11" t="s">
        <v>251</v>
      </c>
      <c r="C888" s="13">
        <v>1794</v>
      </c>
      <c r="D888" s="13">
        <v>0</v>
      </c>
      <c r="E888" s="13">
        <v>55</v>
      </c>
      <c r="F888" s="13">
        <v>241</v>
      </c>
      <c r="G888" s="13">
        <v>498</v>
      </c>
      <c r="H888" s="13">
        <v>611</v>
      </c>
      <c r="I888" s="13">
        <v>328</v>
      </c>
      <c r="J888" s="13">
        <v>61</v>
      </c>
    </row>
    <row r="889" spans="1:10" x14ac:dyDescent="0.25">
      <c r="A889" s="11">
        <v>2017</v>
      </c>
      <c r="B889" s="11" t="s">
        <v>252</v>
      </c>
      <c r="C889" s="13">
        <v>989</v>
      </c>
      <c r="D889" s="13">
        <v>0</v>
      </c>
      <c r="E889" s="13">
        <v>31</v>
      </c>
      <c r="F889" s="13">
        <v>141</v>
      </c>
      <c r="G889" s="13">
        <v>289</v>
      </c>
      <c r="H889" s="13">
        <v>328</v>
      </c>
      <c r="I889" s="13">
        <v>157</v>
      </c>
      <c r="J889" s="13">
        <v>43</v>
      </c>
    </row>
    <row r="890" spans="1:10" x14ac:dyDescent="0.25">
      <c r="A890" s="11">
        <v>2017</v>
      </c>
      <c r="B890" s="11" t="s">
        <v>253</v>
      </c>
      <c r="C890" s="13">
        <v>218</v>
      </c>
      <c r="D890" s="13">
        <v>0</v>
      </c>
      <c r="E890" s="13">
        <v>0</v>
      </c>
      <c r="F890" s="13">
        <v>29</v>
      </c>
      <c r="G890" s="13">
        <v>64</v>
      </c>
      <c r="H890" s="13">
        <v>79</v>
      </c>
      <c r="I890" s="13">
        <v>35</v>
      </c>
      <c r="J890" s="13">
        <v>11</v>
      </c>
    </row>
    <row r="891" spans="1:10" x14ac:dyDescent="0.25">
      <c r="A891" s="11">
        <v>2017</v>
      </c>
      <c r="B891" s="11" t="s">
        <v>254</v>
      </c>
      <c r="C891" s="13">
        <v>937</v>
      </c>
      <c r="D891" s="13">
        <v>0</v>
      </c>
      <c r="E891" s="13">
        <v>28</v>
      </c>
      <c r="F891" s="13">
        <v>157</v>
      </c>
      <c r="G891" s="13">
        <v>278</v>
      </c>
      <c r="H891" s="13">
        <v>286</v>
      </c>
      <c r="I891" s="13">
        <v>155</v>
      </c>
      <c r="J891" s="13">
        <v>33</v>
      </c>
    </row>
    <row r="892" spans="1:10" x14ac:dyDescent="0.25">
      <c r="A892" s="11">
        <v>2017</v>
      </c>
      <c r="B892" s="11" t="s">
        <v>255</v>
      </c>
      <c r="C892" s="13">
        <v>3205</v>
      </c>
      <c r="D892" s="13">
        <v>0</v>
      </c>
      <c r="E892" s="13">
        <v>115</v>
      </c>
      <c r="F892" s="13">
        <v>430</v>
      </c>
      <c r="G892" s="13">
        <v>852</v>
      </c>
      <c r="H892" s="13">
        <v>1024</v>
      </c>
      <c r="I892" s="13">
        <v>665</v>
      </c>
      <c r="J892" s="13">
        <v>119</v>
      </c>
    </row>
    <row r="893" spans="1:10" x14ac:dyDescent="0.25">
      <c r="A893" s="11">
        <v>2017</v>
      </c>
      <c r="B893" s="11" t="s">
        <v>256</v>
      </c>
      <c r="C893" s="13">
        <v>804</v>
      </c>
      <c r="D893" s="13">
        <v>0</v>
      </c>
      <c r="E893" s="13">
        <v>26</v>
      </c>
      <c r="F893" s="13">
        <v>107</v>
      </c>
      <c r="G893" s="13">
        <v>190</v>
      </c>
      <c r="H893" s="13">
        <v>269</v>
      </c>
      <c r="I893" s="13">
        <v>169</v>
      </c>
      <c r="J893" s="13">
        <v>43</v>
      </c>
    </row>
    <row r="894" spans="1:10" x14ac:dyDescent="0.25">
      <c r="A894" s="11">
        <v>2017</v>
      </c>
      <c r="B894" s="11" t="s">
        <v>257</v>
      </c>
      <c r="C894" s="13">
        <v>891</v>
      </c>
      <c r="D894" s="13">
        <v>0</v>
      </c>
      <c r="E894" s="13">
        <v>39</v>
      </c>
      <c r="F894" s="13">
        <v>179</v>
      </c>
      <c r="G894" s="13">
        <v>255</v>
      </c>
      <c r="H894" s="13">
        <v>244</v>
      </c>
      <c r="I894" s="13">
        <v>146</v>
      </c>
      <c r="J894" s="13">
        <v>28</v>
      </c>
    </row>
    <row r="895" spans="1:10" x14ac:dyDescent="0.25">
      <c r="A895" s="11">
        <v>2017</v>
      </c>
      <c r="B895" s="11" t="s">
        <v>258</v>
      </c>
      <c r="C895" s="13">
        <v>1926</v>
      </c>
      <c r="D895" s="13">
        <v>0</v>
      </c>
      <c r="E895" s="13">
        <v>57</v>
      </c>
      <c r="F895" s="13">
        <v>347</v>
      </c>
      <c r="G895" s="13">
        <v>535</v>
      </c>
      <c r="H895" s="13">
        <v>605</v>
      </c>
      <c r="I895" s="13">
        <v>331</v>
      </c>
      <c r="J895" s="13">
        <v>51</v>
      </c>
    </row>
    <row r="896" spans="1:10" x14ac:dyDescent="0.25">
      <c r="A896" s="11">
        <v>2018</v>
      </c>
      <c r="B896" s="11" t="s">
        <v>11</v>
      </c>
      <c r="C896" s="13">
        <v>51308</v>
      </c>
      <c r="D896" s="13">
        <v>2</v>
      </c>
      <c r="E896" s="13">
        <v>1614</v>
      </c>
      <c r="F896" s="13">
        <v>7187</v>
      </c>
      <c r="G896" s="13">
        <v>14080</v>
      </c>
      <c r="H896" s="13">
        <v>16658</v>
      </c>
      <c r="I896" s="13">
        <v>9614</v>
      </c>
      <c r="J896" s="13">
        <v>2153</v>
      </c>
    </row>
    <row r="897" spans="1:10" x14ac:dyDescent="0.25">
      <c r="A897" s="11">
        <v>2018</v>
      </c>
      <c r="B897" s="11" t="s">
        <v>227</v>
      </c>
      <c r="C897" s="13">
        <v>2337</v>
      </c>
      <c r="D897" s="13">
        <v>0</v>
      </c>
      <c r="E897" s="13">
        <v>60</v>
      </c>
      <c r="F897" s="13">
        <v>321</v>
      </c>
      <c r="G897" s="13">
        <v>562</v>
      </c>
      <c r="H897" s="13">
        <v>814</v>
      </c>
      <c r="I897" s="13">
        <v>474</v>
      </c>
      <c r="J897" s="13">
        <v>106</v>
      </c>
    </row>
    <row r="898" spans="1:10" x14ac:dyDescent="0.25">
      <c r="A898" s="11">
        <v>2018</v>
      </c>
      <c r="B898" s="11" t="s">
        <v>228</v>
      </c>
      <c r="C898" s="13">
        <v>2697</v>
      </c>
      <c r="D898" s="13">
        <v>0</v>
      </c>
      <c r="E898" s="13">
        <v>47</v>
      </c>
      <c r="F898" s="13">
        <v>300</v>
      </c>
      <c r="G898" s="13">
        <v>788</v>
      </c>
      <c r="H898" s="13">
        <v>943</v>
      </c>
      <c r="I898" s="13">
        <v>508</v>
      </c>
      <c r="J898" s="13">
        <v>111</v>
      </c>
    </row>
    <row r="899" spans="1:10" x14ac:dyDescent="0.25">
      <c r="A899" s="11">
        <v>2018</v>
      </c>
      <c r="B899" s="11" t="s">
        <v>229</v>
      </c>
      <c r="C899" s="13">
        <v>964</v>
      </c>
      <c r="D899" s="13">
        <v>0</v>
      </c>
      <c r="E899" s="13">
        <v>47</v>
      </c>
      <c r="F899" s="13">
        <v>138</v>
      </c>
      <c r="G899" s="13">
        <v>275</v>
      </c>
      <c r="H899" s="13">
        <v>279</v>
      </c>
      <c r="I899" s="13">
        <v>192</v>
      </c>
      <c r="J899" s="13">
        <v>33</v>
      </c>
    </row>
    <row r="900" spans="1:10" x14ac:dyDescent="0.25">
      <c r="A900" s="11">
        <v>2018</v>
      </c>
      <c r="B900" s="11" t="s">
        <v>230</v>
      </c>
      <c r="C900" s="13">
        <v>648</v>
      </c>
      <c r="D900" s="13">
        <v>0</v>
      </c>
      <c r="E900" s="13">
        <v>22</v>
      </c>
      <c r="F900" s="13">
        <v>107</v>
      </c>
      <c r="G900" s="13">
        <v>189</v>
      </c>
      <c r="H900" s="13">
        <v>184</v>
      </c>
      <c r="I900" s="13">
        <v>123</v>
      </c>
      <c r="J900" s="13">
        <v>23</v>
      </c>
    </row>
    <row r="901" spans="1:10" x14ac:dyDescent="0.25">
      <c r="A901" s="11">
        <v>2018</v>
      </c>
      <c r="B901" s="11" t="s">
        <v>231</v>
      </c>
      <c r="C901" s="13">
        <v>4899</v>
      </c>
      <c r="D901" s="13">
        <v>0</v>
      </c>
      <c r="E901" s="13">
        <v>114</v>
      </c>
      <c r="F901" s="13">
        <v>380</v>
      </c>
      <c r="G901" s="13">
        <v>1076</v>
      </c>
      <c r="H901" s="13">
        <v>1767</v>
      </c>
      <c r="I901" s="13">
        <v>1267</v>
      </c>
      <c r="J901" s="13">
        <v>295</v>
      </c>
    </row>
    <row r="902" spans="1:10" x14ac:dyDescent="0.25">
      <c r="A902" s="11">
        <v>2018</v>
      </c>
      <c r="B902" s="11" t="s">
        <v>232</v>
      </c>
      <c r="C902" s="13">
        <v>465</v>
      </c>
      <c r="D902" s="13">
        <v>0</v>
      </c>
      <c r="E902" s="13">
        <v>18</v>
      </c>
      <c r="F902" s="13">
        <v>100</v>
      </c>
      <c r="G902" s="13">
        <v>134</v>
      </c>
      <c r="H902" s="13">
        <v>130</v>
      </c>
      <c r="I902" s="13">
        <v>69</v>
      </c>
      <c r="J902" s="13">
        <v>14</v>
      </c>
    </row>
    <row r="903" spans="1:10" x14ac:dyDescent="0.25">
      <c r="A903" s="11">
        <v>2018</v>
      </c>
      <c r="B903" s="11" t="s">
        <v>233</v>
      </c>
      <c r="C903" s="13">
        <v>1198</v>
      </c>
      <c r="D903" s="13">
        <v>0</v>
      </c>
      <c r="E903" s="13">
        <v>44</v>
      </c>
      <c r="F903" s="13">
        <v>238</v>
      </c>
      <c r="G903" s="13">
        <v>363</v>
      </c>
      <c r="H903" s="13">
        <v>356</v>
      </c>
      <c r="I903" s="13">
        <v>151</v>
      </c>
      <c r="J903" s="13">
        <v>46</v>
      </c>
    </row>
    <row r="904" spans="1:10" x14ac:dyDescent="0.25">
      <c r="A904" s="11">
        <v>2018</v>
      </c>
      <c r="B904" s="11" t="s">
        <v>234</v>
      </c>
      <c r="C904" s="13">
        <v>1488</v>
      </c>
      <c r="D904" s="13">
        <v>0</v>
      </c>
      <c r="E904" s="13">
        <v>72</v>
      </c>
      <c r="F904" s="13">
        <v>271</v>
      </c>
      <c r="G904" s="13">
        <v>434</v>
      </c>
      <c r="H904" s="13">
        <v>450</v>
      </c>
      <c r="I904" s="13">
        <v>210</v>
      </c>
      <c r="J904" s="13">
        <v>51</v>
      </c>
    </row>
    <row r="905" spans="1:10" x14ac:dyDescent="0.25">
      <c r="A905" s="11">
        <v>2018</v>
      </c>
      <c r="B905" s="11" t="s">
        <v>235</v>
      </c>
      <c r="C905" s="13">
        <v>1176</v>
      </c>
      <c r="D905" s="13">
        <v>1</v>
      </c>
      <c r="E905" s="13">
        <v>53</v>
      </c>
      <c r="F905" s="13">
        <v>211</v>
      </c>
      <c r="G905" s="13">
        <v>330</v>
      </c>
      <c r="H905" s="13">
        <v>370</v>
      </c>
      <c r="I905" s="13">
        <v>186</v>
      </c>
      <c r="J905" s="13">
        <v>25</v>
      </c>
    </row>
    <row r="906" spans="1:10" x14ac:dyDescent="0.25">
      <c r="A906" s="11">
        <v>2018</v>
      </c>
      <c r="B906" s="11" t="s">
        <v>236</v>
      </c>
      <c r="C906" s="13">
        <v>950</v>
      </c>
      <c r="D906" s="13">
        <v>0</v>
      </c>
      <c r="E906" s="13">
        <v>12</v>
      </c>
      <c r="F906" s="13">
        <v>58</v>
      </c>
      <c r="G906" s="13">
        <v>178</v>
      </c>
      <c r="H906" s="13">
        <v>400</v>
      </c>
      <c r="I906" s="13">
        <v>238</v>
      </c>
      <c r="J906" s="13">
        <v>64</v>
      </c>
    </row>
    <row r="907" spans="1:10" x14ac:dyDescent="0.25">
      <c r="A907" s="11">
        <v>2018</v>
      </c>
      <c r="B907" s="11" t="s">
        <v>237</v>
      </c>
      <c r="C907" s="13">
        <v>1020</v>
      </c>
      <c r="D907" s="13">
        <v>0</v>
      </c>
      <c r="E907" s="13">
        <v>31</v>
      </c>
      <c r="F907" s="13">
        <v>140</v>
      </c>
      <c r="G907" s="13">
        <v>257</v>
      </c>
      <c r="H907" s="13">
        <v>320</v>
      </c>
      <c r="I907" s="13">
        <v>215</v>
      </c>
      <c r="J907" s="13">
        <v>57</v>
      </c>
    </row>
    <row r="908" spans="1:10" x14ac:dyDescent="0.25">
      <c r="A908" s="11">
        <v>2018</v>
      </c>
      <c r="B908" s="11" t="s">
        <v>238</v>
      </c>
      <c r="C908" s="13">
        <v>854</v>
      </c>
      <c r="D908" s="13">
        <v>0</v>
      </c>
      <c r="E908" s="13">
        <v>9</v>
      </c>
      <c r="F908" s="13">
        <v>49</v>
      </c>
      <c r="G908" s="13">
        <v>158</v>
      </c>
      <c r="H908" s="13">
        <v>341</v>
      </c>
      <c r="I908" s="13">
        <v>241</v>
      </c>
      <c r="J908" s="13">
        <v>56</v>
      </c>
    </row>
    <row r="909" spans="1:10" x14ac:dyDescent="0.25">
      <c r="A909" s="11">
        <v>2018</v>
      </c>
      <c r="B909" s="11" t="s">
        <v>239</v>
      </c>
      <c r="C909" s="13">
        <v>1493</v>
      </c>
      <c r="D909" s="13">
        <v>0</v>
      </c>
      <c r="E909" s="13">
        <v>35</v>
      </c>
      <c r="F909" s="13">
        <v>224</v>
      </c>
      <c r="G909" s="13">
        <v>448</v>
      </c>
      <c r="H909" s="13">
        <v>459</v>
      </c>
      <c r="I909" s="13">
        <v>267</v>
      </c>
      <c r="J909" s="13">
        <v>60</v>
      </c>
    </row>
    <row r="910" spans="1:10" x14ac:dyDescent="0.25">
      <c r="A910" s="11">
        <v>2018</v>
      </c>
      <c r="B910" s="11" t="s">
        <v>240</v>
      </c>
      <c r="C910" s="13">
        <v>3479</v>
      </c>
      <c r="D910" s="13">
        <v>0</v>
      </c>
      <c r="E910" s="13">
        <v>159</v>
      </c>
      <c r="F910" s="13">
        <v>604</v>
      </c>
      <c r="G910" s="13">
        <v>1009</v>
      </c>
      <c r="H910" s="13">
        <v>1041</v>
      </c>
      <c r="I910" s="13">
        <v>552</v>
      </c>
      <c r="J910" s="13">
        <v>114</v>
      </c>
    </row>
    <row r="911" spans="1:10" x14ac:dyDescent="0.25">
      <c r="A911" s="11">
        <v>2018</v>
      </c>
      <c r="B911" s="11" t="s">
        <v>241</v>
      </c>
      <c r="C911" s="13">
        <v>6548</v>
      </c>
      <c r="D911" s="13">
        <v>0</v>
      </c>
      <c r="E911" s="13">
        <v>217</v>
      </c>
      <c r="F911" s="13">
        <v>900</v>
      </c>
      <c r="G911" s="13">
        <v>1807</v>
      </c>
      <c r="H911" s="13">
        <v>2122</v>
      </c>
      <c r="I911" s="13">
        <v>1210</v>
      </c>
      <c r="J911" s="13">
        <v>292</v>
      </c>
    </row>
    <row r="912" spans="1:10" x14ac:dyDescent="0.25">
      <c r="A912" s="11">
        <v>2018</v>
      </c>
      <c r="B912" s="11" t="s">
        <v>242</v>
      </c>
      <c r="C912" s="13">
        <v>2005</v>
      </c>
      <c r="D912" s="13">
        <v>0</v>
      </c>
      <c r="E912" s="13">
        <v>69</v>
      </c>
      <c r="F912" s="13">
        <v>307</v>
      </c>
      <c r="G912" s="13">
        <v>579</v>
      </c>
      <c r="H912" s="13">
        <v>601</v>
      </c>
      <c r="I912" s="13">
        <v>371</v>
      </c>
      <c r="J912" s="13">
        <v>78</v>
      </c>
    </row>
    <row r="913" spans="1:10" x14ac:dyDescent="0.25">
      <c r="A913" s="11">
        <v>2018</v>
      </c>
      <c r="B913" s="11" t="s">
        <v>243</v>
      </c>
      <c r="C913" s="13">
        <v>689</v>
      </c>
      <c r="D913" s="13">
        <v>0</v>
      </c>
      <c r="E913" s="13">
        <v>29</v>
      </c>
      <c r="F913" s="13">
        <v>127</v>
      </c>
      <c r="G913" s="13">
        <v>197</v>
      </c>
      <c r="H913" s="13">
        <v>200</v>
      </c>
      <c r="I913" s="13">
        <v>118</v>
      </c>
      <c r="J913" s="13">
        <v>18</v>
      </c>
    </row>
    <row r="914" spans="1:10" x14ac:dyDescent="0.25">
      <c r="A914" s="11">
        <v>2018</v>
      </c>
      <c r="B914" s="11" t="s">
        <v>244</v>
      </c>
      <c r="C914" s="13">
        <v>1075</v>
      </c>
      <c r="D914" s="13">
        <v>0</v>
      </c>
      <c r="E914" s="13">
        <v>20</v>
      </c>
      <c r="F914" s="13">
        <v>118</v>
      </c>
      <c r="G914" s="13">
        <v>311</v>
      </c>
      <c r="H914" s="13">
        <v>386</v>
      </c>
      <c r="I914" s="13">
        <v>200</v>
      </c>
      <c r="J914" s="13">
        <v>40</v>
      </c>
    </row>
    <row r="915" spans="1:10" x14ac:dyDescent="0.25">
      <c r="A915" s="11">
        <v>2018</v>
      </c>
      <c r="B915" s="11" t="s">
        <v>245</v>
      </c>
      <c r="C915" s="13">
        <v>825</v>
      </c>
      <c r="D915" s="13">
        <v>0</v>
      </c>
      <c r="E915" s="13">
        <v>20</v>
      </c>
      <c r="F915" s="13">
        <v>147</v>
      </c>
      <c r="G915" s="13">
        <v>287</v>
      </c>
      <c r="H915" s="13">
        <v>216</v>
      </c>
      <c r="I915" s="13">
        <v>129</v>
      </c>
      <c r="J915" s="13">
        <v>26</v>
      </c>
    </row>
    <row r="916" spans="1:10" x14ac:dyDescent="0.25">
      <c r="A916" s="11">
        <v>2018</v>
      </c>
      <c r="B916" s="11" t="s">
        <v>246</v>
      </c>
      <c r="C916" s="13">
        <v>206</v>
      </c>
      <c r="D916" s="13">
        <v>0</v>
      </c>
      <c r="E916" s="13">
        <v>4</v>
      </c>
      <c r="F916" s="13">
        <v>32</v>
      </c>
      <c r="G916" s="13">
        <v>41</v>
      </c>
      <c r="H916" s="13">
        <v>65</v>
      </c>
      <c r="I916" s="13">
        <v>46</v>
      </c>
      <c r="J916" s="13">
        <v>18</v>
      </c>
    </row>
    <row r="917" spans="1:10" x14ac:dyDescent="0.25">
      <c r="A917" s="11">
        <v>2018</v>
      </c>
      <c r="B917" s="11" t="s">
        <v>247</v>
      </c>
      <c r="C917" s="13">
        <v>1125</v>
      </c>
      <c r="D917" s="13">
        <v>0</v>
      </c>
      <c r="E917" s="13">
        <v>64</v>
      </c>
      <c r="F917" s="13">
        <v>214</v>
      </c>
      <c r="G917" s="13">
        <v>330</v>
      </c>
      <c r="H917" s="13">
        <v>315</v>
      </c>
      <c r="I917" s="13">
        <v>167</v>
      </c>
      <c r="J917" s="13">
        <v>35</v>
      </c>
    </row>
    <row r="918" spans="1:10" x14ac:dyDescent="0.25">
      <c r="A918" s="11">
        <v>2018</v>
      </c>
      <c r="B918" s="11" t="s">
        <v>248</v>
      </c>
      <c r="C918" s="13">
        <v>3387</v>
      </c>
      <c r="D918" s="13">
        <v>0</v>
      </c>
      <c r="E918" s="13">
        <v>154</v>
      </c>
      <c r="F918" s="13">
        <v>548</v>
      </c>
      <c r="G918" s="13">
        <v>998</v>
      </c>
      <c r="H918" s="13">
        <v>1041</v>
      </c>
      <c r="I918" s="13">
        <v>537</v>
      </c>
      <c r="J918" s="13">
        <v>109</v>
      </c>
    </row>
    <row r="919" spans="1:10" x14ac:dyDescent="0.25">
      <c r="A919" s="11">
        <v>2018</v>
      </c>
      <c r="B919" s="11" t="s">
        <v>249</v>
      </c>
      <c r="C919" s="13">
        <v>186</v>
      </c>
      <c r="D919" s="13">
        <v>0</v>
      </c>
      <c r="E919" s="13">
        <v>0</v>
      </c>
      <c r="F919" s="13">
        <v>18</v>
      </c>
      <c r="G919" s="13">
        <v>59</v>
      </c>
      <c r="H919" s="13">
        <v>71</v>
      </c>
      <c r="I919" s="13">
        <v>33</v>
      </c>
      <c r="J919" s="13">
        <v>5</v>
      </c>
    </row>
    <row r="920" spans="1:10" x14ac:dyDescent="0.25">
      <c r="A920" s="11">
        <v>2018</v>
      </c>
      <c r="B920" s="11" t="s">
        <v>250</v>
      </c>
      <c r="C920" s="13">
        <v>1217</v>
      </c>
      <c r="D920" s="13">
        <v>0</v>
      </c>
      <c r="E920" s="13">
        <v>25</v>
      </c>
      <c r="F920" s="13">
        <v>175</v>
      </c>
      <c r="G920" s="13">
        <v>336</v>
      </c>
      <c r="H920" s="13">
        <v>401</v>
      </c>
      <c r="I920" s="13">
        <v>230</v>
      </c>
      <c r="J920" s="13">
        <v>50</v>
      </c>
    </row>
    <row r="921" spans="1:10" x14ac:dyDescent="0.25">
      <c r="A921" s="11">
        <v>2018</v>
      </c>
      <c r="B921" s="11" t="s">
        <v>251</v>
      </c>
      <c r="C921" s="13">
        <v>1697</v>
      </c>
      <c r="D921" s="13">
        <v>0</v>
      </c>
      <c r="E921" s="13">
        <v>37</v>
      </c>
      <c r="F921" s="13">
        <v>244</v>
      </c>
      <c r="G921" s="13">
        <v>480</v>
      </c>
      <c r="H921" s="13">
        <v>559</v>
      </c>
      <c r="I921" s="13">
        <v>310</v>
      </c>
      <c r="J921" s="13">
        <v>67</v>
      </c>
    </row>
    <row r="922" spans="1:10" x14ac:dyDescent="0.25">
      <c r="A922" s="11">
        <v>2018</v>
      </c>
      <c r="B922" s="11" t="s">
        <v>252</v>
      </c>
      <c r="C922" s="13">
        <v>984</v>
      </c>
      <c r="D922" s="13">
        <v>0</v>
      </c>
      <c r="E922" s="13">
        <v>23</v>
      </c>
      <c r="F922" s="13">
        <v>136</v>
      </c>
      <c r="G922" s="13">
        <v>292</v>
      </c>
      <c r="H922" s="13">
        <v>304</v>
      </c>
      <c r="I922" s="13">
        <v>190</v>
      </c>
      <c r="J922" s="13">
        <v>39</v>
      </c>
    </row>
    <row r="923" spans="1:10" x14ac:dyDescent="0.25">
      <c r="A923" s="11">
        <v>2018</v>
      </c>
      <c r="B923" s="11" t="s">
        <v>253</v>
      </c>
      <c r="C923" s="13">
        <v>215</v>
      </c>
      <c r="D923" s="13">
        <v>0</v>
      </c>
      <c r="E923" s="13">
        <v>3</v>
      </c>
      <c r="F923" s="13">
        <v>32</v>
      </c>
      <c r="G923" s="13">
        <v>58</v>
      </c>
      <c r="H923" s="13">
        <v>66</v>
      </c>
      <c r="I923" s="13">
        <v>43</v>
      </c>
      <c r="J923" s="13">
        <v>13</v>
      </c>
    </row>
    <row r="924" spans="1:10" x14ac:dyDescent="0.25">
      <c r="A924" s="11">
        <v>2018</v>
      </c>
      <c r="B924" s="11" t="s">
        <v>254</v>
      </c>
      <c r="C924" s="13">
        <v>932</v>
      </c>
      <c r="D924" s="13">
        <v>1</v>
      </c>
      <c r="E924" s="13">
        <v>26</v>
      </c>
      <c r="F924" s="13">
        <v>145</v>
      </c>
      <c r="G924" s="13">
        <v>261</v>
      </c>
      <c r="H924" s="13">
        <v>315</v>
      </c>
      <c r="I924" s="13">
        <v>149</v>
      </c>
      <c r="J924" s="13">
        <v>35</v>
      </c>
    </row>
    <row r="925" spans="1:10" x14ac:dyDescent="0.25">
      <c r="A925" s="11">
        <v>2018</v>
      </c>
      <c r="B925" s="11" t="s">
        <v>255</v>
      </c>
      <c r="C925" s="13">
        <v>3153</v>
      </c>
      <c r="D925" s="13">
        <v>0</v>
      </c>
      <c r="E925" s="13">
        <v>99</v>
      </c>
      <c r="F925" s="13">
        <v>403</v>
      </c>
      <c r="G925" s="13">
        <v>878</v>
      </c>
      <c r="H925" s="13">
        <v>1047</v>
      </c>
      <c r="I925" s="13">
        <v>589</v>
      </c>
      <c r="J925" s="13">
        <v>137</v>
      </c>
    </row>
    <row r="926" spans="1:10" x14ac:dyDescent="0.25">
      <c r="A926" s="11">
        <v>2018</v>
      </c>
      <c r="B926" s="11" t="s">
        <v>256</v>
      </c>
      <c r="C926" s="13">
        <v>757</v>
      </c>
      <c r="D926" s="13">
        <v>0</v>
      </c>
      <c r="E926" s="13">
        <v>17</v>
      </c>
      <c r="F926" s="13">
        <v>98</v>
      </c>
      <c r="G926" s="13">
        <v>210</v>
      </c>
      <c r="H926" s="13">
        <v>234</v>
      </c>
      <c r="I926" s="13">
        <v>154</v>
      </c>
      <c r="J926" s="13">
        <v>44</v>
      </c>
    </row>
    <row r="927" spans="1:10" x14ac:dyDescent="0.25">
      <c r="A927" s="11">
        <v>2018</v>
      </c>
      <c r="B927" s="11" t="s">
        <v>257</v>
      </c>
      <c r="C927" s="13">
        <v>885</v>
      </c>
      <c r="D927" s="13">
        <v>0</v>
      </c>
      <c r="E927" s="13">
        <v>34</v>
      </c>
      <c r="F927" s="13">
        <v>141</v>
      </c>
      <c r="G927" s="13">
        <v>263</v>
      </c>
      <c r="H927" s="13">
        <v>276</v>
      </c>
      <c r="I927" s="13">
        <v>137</v>
      </c>
      <c r="J927" s="13">
        <v>34</v>
      </c>
    </row>
    <row r="928" spans="1:10" x14ac:dyDescent="0.25">
      <c r="A928" s="11">
        <v>2018</v>
      </c>
      <c r="B928" s="11" t="s">
        <v>258</v>
      </c>
      <c r="C928" s="13">
        <v>1754</v>
      </c>
      <c r="D928" s="13">
        <v>0</v>
      </c>
      <c r="E928" s="13">
        <v>50</v>
      </c>
      <c r="F928" s="13">
        <v>261</v>
      </c>
      <c r="G928" s="13">
        <v>492</v>
      </c>
      <c r="H928" s="13">
        <v>585</v>
      </c>
      <c r="I928" s="13">
        <v>308</v>
      </c>
      <c r="J928" s="13">
        <v>58</v>
      </c>
    </row>
    <row r="929" spans="1:10" x14ac:dyDescent="0.25">
      <c r="A929" s="11">
        <v>2019</v>
      </c>
      <c r="B929" s="11" t="s">
        <v>11</v>
      </c>
      <c r="C929" s="13">
        <v>49863</v>
      </c>
      <c r="D929" s="13">
        <v>6</v>
      </c>
      <c r="E929" s="13">
        <v>1449</v>
      </c>
      <c r="F929" s="13">
        <v>6707</v>
      </c>
      <c r="G929" s="13">
        <v>13574</v>
      </c>
      <c r="H929" s="13">
        <v>16562</v>
      </c>
      <c r="I929" s="13">
        <v>9479</v>
      </c>
      <c r="J929" s="13">
        <v>2086</v>
      </c>
    </row>
    <row r="930" spans="1:10" x14ac:dyDescent="0.25">
      <c r="A930" s="11">
        <v>2019</v>
      </c>
      <c r="B930" s="11" t="s">
        <v>227</v>
      </c>
      <c r="C930" s="13">
        <v>2260</v>
      </c>
      <c r="D930" s="13">
        <v>0</v>
      </c>
      <c r="E930" s="13">
        <v>53</v>
      </c>
      <c r="F930" s="13">
        <v>243</v>
      </c>
      <c r="G930" s="13">
        <v>628</v>
      </c>
      <c r="H930" s="13">
        <v>789</v>
      </c>
      <c r="I930" s="13">
        <v>435</v>
      </c>
      <c r="J930" s="13">
        <v>112</v>
      </c>
    </row>
    <row r="931" spans="1:10" x14ac:dyDescent="0.25">
      <c r="A931" s="11">
        <v>2019</v>
      </c>
      <c r="B931" s="11" t="s">
        <v>228</v>
      </c>
      <c r="C931" s="13">
        <v>2400</v>
      </c>
      <c r="D931" s="13">
        <v>0</v>
      </c>
      <c r="E931" s="13">
        <v>36</v>
      </c>
      <c r="F931" s="13">
        <v>222</v>
      </c>
      <c r="G931" s="13">
        <v>700</v>
      </c>
      <c r="H931" s="13">
        <v>860</v>
      </c>
      <c r="I931" s="13">
        <v>503</v>
      </c>
      <c r="J931" s="13">
        <v>79</v>
      </c>
    </row>
    <row r="932" spans="1:10" x14ac:dyDescent="0.25">
      <c r="A932" s="11">
        <v>2019</v>
      </c>
      <c r="B932" s="11" t="s">
        <v>229</v>
      </c>
      <c r="C932" s="13">
        <v>965</v>
      </c>
      <c r="D932" s="13">
        <v>0</v>
      </c>
      <c r="E932" s="13">
        <v>34</v>
      </c>
      <c r="F932" s="13">
        <v>135</v>
      </c>
      <c r="G932" s="13">
        <v>299</v>
      </c>
      <c r="H932" s="13">
        <v>309</v>
      </c>
      <c r="I932" s="13">
        <v>156</v>
      </c>
      <c r="J932" s="13">
        <v>32</v>
      </c>
    </row>
    <row r="933" spans="1:10" x14ac:dyDescent="0.25">
      <c r="A933" s="11">
        <v>2019</v>
      </c>
      <c r="B933" s="11" t="s">
        <v>230</v>
      </c>
      <c r="C933" s="13">
        <v>631</v>
      </c>
      <c r="D933" s="13">
        <v>0</v>
      </c>
      <c r="E933" s="13">
        <v>21</v>
      </c>
      <c r="F933" s="13">
        <v>97</v>
      </c>
      <c r="G933" s="13">
        <v>179</v>
      </c>
      <c r="H933" s="13">
        <v>203</v>
      </c>
      <c r="I933" s="13">
        <v>106</v>
      </c>
      <c r="J933" s="13">
        <v>25</v>
      </c>
    </row>
    <row r="934" spans="1:10" x14ac:dyDescent="0.25">
      <c r="A934" s="11">
        <v>2019</v>
      </c>
      <c r="B934" s="11" t="s">
        <v>231</v>
      </c>
      <c r="C934" s="13">
        <v>4683</v>
      </c>
      <c r="D934" s="13">
        <v>0</v>
      </c>
      <c r="E934" s="13">
        <v>88</v>
      </c>
      <c r="F934" s="13">
        <v>360</v>
      </c>
      <c r="G934" s="13">
        <v>961</v>
      </c>
      <c r="H934" s="13">
        <v>1773</v>
      </c>
      <c r="I934" s="13">
        <v>1210</v>
      </c>
      <c r="J934" s="13">
        <v>291</v>
      </c>
    </row>
    <row r="935" spans="1:10" x14ac:dyDescent="0.25">
      <c r="A935" s="11">
        <v>2019</v>
      </c>
      <c r="B935" s="11" t="s">
        <v>232</v>
      </c>
      <c r="C935" s="13">
        <v>414</v>
      </c>
      <c r="D935" s="13">
        <v>0</v>
      </c>
      <c r="E935" s="13">
        <v>21</v>
      </c>
      <c r="F935" s="13">
        <v>85</v>
      </c>
      <c r="G935" s="13">
        <v>126</v>
      </c>
      <c r="H935" s="13">
        <v>124</v>
      </c>
      <c r="I935" s="13">
        <v>50</v>
      </c>
      <c r="J935" s="13">
        <v>8</v>
      </c>
    </row>
    <row r="936" spans="1:10" x14ac:dyDescent="0.25">
      <c r="A936" s="11">
        <v>2019</v>
      </c>
      <c r="B936" s="11" t="s">
        <v>233</v>
      </c>
      <c r="C936" s="13">
        <v>1153</v>
      </c>
      <c r="D936" s="13">
        <v>0</v>
      </c>
      <c r="E936" s="13">
        <v>36</v>
      </c>
      <c r="F936" s="13">
        <v>215</v>
      </c>
      <c r="G936" s="13">
        <v>370</v>
      </c>
      <c r="H936" s="13">
        <v>341</v>
      </c>
      <c r="I936" s="13">
        <v>157</v>
      </c>
      <c r="J936" s="13">
        <v>34</v>
      </c>
    </row>
    <row r="937" spans="1:10" x14ac:dyDescent="0.25">
      <c r="A937" s="11">
        <v>2019</v>
      </c>
      <c r="B937" s="11" t="s">
        <v>234</v>
      </c>
      <c r="C937" s="13">
        <v>1417</v>
      </c>
      <c r="D937" s="13">
        <v>0</v>
      </c>
      <c r="E937" s="13">
        <v>65</v>
      </c>
      <c r="F937" s="13">
        <v>250</v>
      </c>
      <c r="G937" s="13">
        <v>397</v>
      </c>
      <c r="H937" s="13">
        <v>407</v>
      </c>
      <c r="I937" s="13">
        <v>247</v>
      </c>
      <c r="J937" s="13">
        <v>51</v>
      </c>
    </row>
    <row r="938" spans="1:10" x14ac:dyDescent="0.25">
      <c r="A938" s="11">
        <v>2019</v>
      </c>
      <c r="B938" s="11" t="s">
        <v>235</v>
      </c>
      <c r="C938" s="13">
        <v>1176</v>
      </c>
      <c r="D938" s="13">
        <v>0</v>
      </c>
      <c r="E938" s="13">
        <v>52</v>
      </c>
      <c r="F938" s="13">
        <v>205</v>
      </c>
      <c r="G938" s="13">
        <v>366</v>
      </c>
      <c r="H938" s="13">
        <v>356</v>
      </c>
      <c r="I938" s="13">
        <v>159</v>
      </c>
      <c r="J938" s="13">
        <v>38</v>
      </c>
    </row>
    <row r="939" spans="1:10" x14ac:dyDescent="0.25">
      <c r="A939" s="11">
        <v>2019</v>
      </c>
      <c r="B939" s="11" t="s">
        <v>236</v>
      </c>
      <c r="C939" s="13">
        <v>910</v>
      </c>
      <c r="D939" s="13">
        <v>0</v>
      </c>
      <c r="E939" s="13">
        <v>8</v>
      </c>
      <c r="F939" s="13">
        <v>54</v>
      </c>
      <c r="G939" s="13">
        <v>172</v>
      </c>
      <c r="H939" s="13">
        <v>376</v>
      </c>
      <c r="I939" s="13">
        <v>242</v>
      </c>
      <c r="J939" s="13">
        <v>58</v>
      </c>
    </row>
    <row r="940" spans="1:10" x14ac:dyDescent="0.25">
      <c r="A940" s="11">
        <v>2019</v>
      </c>
      <c r="B940" s="11" t="s">
        <v>237</v>
      </c>
      <c r="C940" s="13">
        <v>973</v>
      </c>
      <c r="D940" s="13">
        <v>0</v>
      </c>
      <c r="E940" s="13">
        <v>27</v>
      </c>
      <c r="F940" s="13">
        <v>129</v>
      </c>
      <c r="G940" s="13">
        <v>236</v>
      </c>
      <c r="H940" s="13">
        <v>321</v>
      </c>
      <c r="I940" s="13">
        <v>206</v>
      </c>
      <c r="J940" s="13">
        <v>54</v>
      </c>
    </row>
    <row r="941" spans="1:10" x14ac:dyDescent="0.25">
      <c r="A941" s="11">
        <v>2019</v>
      </c>
      <c r="B941" s="11" t="s">
        <v>238</v>
      </c>
      <c r="C941" s="13">
        <v>808</v>
      </c>
      <c r="D941" s="13">
        <v>1</v>
      </c>
      <c r="E941" s="13">
        <v>5</v>
      </c>
      <c r="F941" s="13">
        <v>54</v>
      </c>
      <c r="G941" s="13">
        <v>158</v>
      </c>
      <c r="H941" s="13">
        <v>311</v>
      </c>
      <c r="I941" s="13">
        <v>215</v>
      </c>
      <c r="J941" s="13">
        <v>64</v>
      </c>
    </row>
    <row r="942" spans="1:10" x14ac:dyDescent="0.25">
      <c r="A942" s="11">
        <v>2019</v>
      </c>
      <c r="B942" s="11" t="s">
        <v>239</v>
      </c>
      <c r="C942" s="13">
        <v>1460</v>
      </c>
      <c r="D942" s="13">
        <v>0</v>
      </c>
      <c r="E942" s="13">
        <v>43</v>
      </c>
      <c r="F942" s="13">
        <v>225</v>
      </c>
      <c r="G942" s="13">
        <v>422</v>
      </c>
      <c r="H942" s="13">
        <v>468</v>
      </c>
      <c r="I942" s="13">
        <v>269</v>
      </c>
      <c r="J942" s="13">
        <v>33</v>
      </c>
    </row>
    <row r="943" spans="1:10" x14ac:dyDescent="0.25">
      <c r="A943" s="11">
        <v>2019</v>
      </c>
      <c r="B943" s="11" t="s">
        <v>240</v>
      </c>
      <c r="C943" s="13">
        <v>3325</v>
      </c>
      <c r="D943" s="13">
        <v>0</v>
      </c>
      <c r="E943" s="13">
        <v>145</v>
      </c>
      <c r="F943" s="13">
        <v>558</v>
      </c>
      <c r="G943" s="13">
        <v>975</v>
      </c>
      <c r="H943" s="13">
        <v>1016</v>
      </c>
      <c r="I943" s="13">
        <v>525</v>
      </c>
      <c r="J943" s="13">
        <v>106</v>
      </c>
    </row>
    <row r="944" spans="1:10" x14ac:dyDescent="0.25">
      <c r="A944" s="11">
        <v>2019</v>
      </c>
      <c r="B944" s="11" t="s">
        <v>241</v>
      </c>
      <c r="C944" s="13">
        <v>6553</v>
      </c>
      <c r="D944" s="13">
        <v>3</v>
      </c>
      <c r="E944" s="13">
        <v>195</v>
      </c>
      <c r="F944" s="13">
        <v>907</v>
      </c>
      <c r="G944" s="13">
        <v>1710</v>
      </c>
      <c r="H944" s="13">
        <v>2186</v>
      </c>
      <c r="I944" s="13">
        <v>1270</v>
      </c>
      <c r="J944" s="13">
        <v>282</v>
      </c>
    </row>
    <row r="945" spans="1:10" x14ac:dyDescent="0.25">
      <c r="A945" s="11">
        <v>2019</v>
      </c>
      <c r="B945" s="11" t="s">
        <v>242</v>
      </c>
      <c r="C945" s="13">
        <v>1966</v>
      </c>
      <c r="D945" s="13">
        <v>1</v>
      </c>
      <c r="E945" s="13">
        <v>56</v>
      </c>
      <c r="F945" s="13">
        <v>296</v>
      </c>
      <c r="G945" s="13">
        <v>547</v>
      </c>
      <c r="H945" s="13">
        <v>597</v>
      </c>
      <c r="I945" s="13">
        <v>383</v>
      </c>
      <c r="J945" s="13">
        <v>86</v>
      </c>
    </row>
    <row r="946" spans="1:10" x14ac:dyDescent="0.25">
      <c r="A946" s="11">
        <v>2019</v>
      </c>
      <c r="B946" s="11" t="s">
        <v>243</v>
      </c>
      <c r="C946" s="13">
        <v>615</v>
      </c>
      <c r="D946" s="13">
        <v>0</v>
      </c>
      <c r="E946" s="13">
        <v>13</v>
      </c>
      <c r="F946" s="13">
        <v>99</v>
      </c>
      <c r="G946" s="13">
        <v>184</v>
      </c>
      <c r="H946" s="13">
        <v>193</v>
      </c>
      <c r="I946" s="13">
        <v>101</v>
      </c>
      <c r="J946" s="13">
        <v>25</v>
      </c>
    </row>
    <row r="947" spans="1:10" x14ac:dyDescent="0.25">
      <c r="A947" s="11">
        <v>2019</v>
      </c>
      <c r="B947" s="11" t="s">
        <v>244</v>
      </c>
      <c r="C947" s="13">
        <v>1057</v>
      </c>
      <c r="D947" s="13">
        <v>0</v>
      </c>
      <c r="E947" s="13">
        <v>25</v>
      </c>
      <c r="F947" s="13">
        <v>122</v>
      </c>
      <c r="G947" s="13">
        <v>298</v>
      </c>
      <c r="H947" s="13">
        <v>364</v>
      </c>
      <c r="I947" s="13">
        <v>203</v>
      </c>
      <c r="J947" s="13">
        <v>45</v>
      </c>
    </row>
    <row r="948" spans="1:10" x14ac:dyDescent="0.25">
      <c r="A948" s="11">
        <v>2019</v>
      </c>
      <c r="B948" s="11" t="s">
        <v>245</v>
      </c>
      <c r="C948" s="13">
        <v>816</v>
      </c>
      <c r="D948" s="13">
        <v>0</v>
      </c>
      <c r="E948" s="13">
        <v>19</v>
      </c>
      <c r="F948" s="13">
        <v>143</v>
      </c>
      <c r="G948" s="13">
        <v>240</v>
      </c>
      <c r="H948" s="13">
        <v>270</v>
      </c>
      <c r="I948" s="13">
        <v>115</v>
      </c>
      <c r="J948" s="13">
        <v>29</v>
      </c>
    </row>
    <row r="949" spans="1:10" x14ac:dyDescent="0.25">
      <c r="A949" s="11">
        <v>2019</v>
      </c>
      <c r="B949" s="11" t="s">
        <v>246</v>
      </c>
      <c r="C949" s="13">
        <v>200</v>
      </c>
      <c r="D949" s="13">
        <v>0</v>
      </c>
      <c r="E949" s="13">
        <v>6</v>
      </c>
      <c r="F949" s="13">
        <v>27</v>
      </c>
      <c r="G949" s="13">
        <v>61</v>
      </c>
      <c r="H949" s="13">
        <v>59</v>
      </c>
      <c r="I949" s="13">
        <v>36</v>
      </c>
      <c r="J949" s="13">
        <v>11</v>
      </c>
    </row>
    <row r="950" spans="1:10" x14ac:dyDescent="0.25">
      <c r="A950" s="11">
        <v>2019</v>
      </c>
      <c r="B950" s="11" t="s">
        <v>247</v>
      </c>
      <c r="C950" s="13">
        <v>1124</v>
      </c>
      <c r="D950" s="13">
        <v>0</v>
      </c>
      <c r="E950" s="13">
        <v>53</v>
      </c>
      <c r="F950" s="13">
        <v>213</v>
      </c>
      <c r="G950" s="13">
        <v>344</v>
      </c>
      <c r="H950" s="13">
        <v>327</v>
      </c>
      <c r="I950" s="13">
        <v>159</v>
      </c>
      <c r="J950" s="13">
        <v>28</v>
      </c>
    </row>
    <row r="951" spans="1:10" x14ac:dyDescent="0.25">
      <c r="A951" s="11">
        <v>2019</v>
      </c>
      <c r="B951" s="11" t="s">
        <v>248</v>
      </c>
      <c r="C951" s="13">
        <v>3438</v>
      </c>
      <c r="D951" s="13">
        <v>0</v>
      </c>
      <c r="E951" s="13">
        <v>140</v>
      </c>
      <c r="F951" s="13">
        <v>526</v>
      </c>
      <c r="G951" s="13">
        <v>953</v>
      </c>
      <c r="H951" s="13">
        <v>1122</v>
      </c>
      <c r="I951" s="13">
        <v>574</v>
      </c>
      <c r="J951" s="13">
        <v>123</v>
      </c>
    </row>
    <row r="952" spans="1:10" x14ac:dyDescent="0.25">
      <c r="A952" s="11">
        <v>2019</v>
      </c>
      <c r="B952" s="11" t="s">
        <v>249</v>
      </c>
      <c r="C952" s="13">
        <v>182</v>
      </c>
      <c r="D952" s="13">
        <v>0</v>
      </c>
      <c r="E952" s="13">
        <v>3</v>
      </c>
      <c r="F952" s="13">
        <v>18</v>
      </c>
      <c r="G952" s="13">
        <v>54</v>
      </c>
      <c r="H952" s="13">
        <v>61</v>
      </c>
      <c r="I952" s="13">
        <v>35</v>
      </c>
      <c r="J952" s="13">
        <v>11</v>
      </c>
    </row>
    <row r="953" spans="1:10" x14ac:dyDescent="0.25">
      <c r="A953" s="11">
        <v>2019</v>
      </c>
      <c r="B953" s="11" t="s">
        <v>250</v>
      </c>
      <c r="C953" s="13">
        <v>1197</v>
      </c>
      <c r="D953" s="13">
        <v>1</v>
      </c>
      <c r="E953" s="13">
        <v>27</v>
      </c>
      <c r="F953" s="13">
        <v>166</v>
      </c>
      <c r="G953" s="13">
        <v>326</v>
      </c>
      <c r="H953" s="13">
        <v>397</v>
      </c>
      <c r="I953" s="13">
        <v>223</v>
      </c>
      <c r="J953" s="13">
        <v>57</v>
      </c>
    </row>
    <row r="954" spans="1:10" x14ac:dyDescent="0.25">
      <c r="A954" s="11">
        <v>2019</v>
      </c>
      <c r="B954" s="11" t="s">
        <v>251</v>
      </c>
      <c r="C954" s="13">
        <v>1693</v>
      </c>
      <c r="D954" s="13">
        <v>0</v>
      </c>
      <c r="E954" s="13">
        <v>31</v>
      </c>
      <c r="F954" s="13">
        <v>195</v>
      </c>
      <c r="G954" s="13">
        <v>491</v>
      </c>
      <c r="H954" s="13">
        <v>597</v>
      </c>
      <c r="I954" s="13">
        <v>311</v>
      </c>
      <c r="J954" s="13">
        <v>68</v>
      </c>
    </row>
    <row r="955" spans="1:10" x14ac:dyDescent="0.25">
      <c r="A955" s="11">
        <v>2019</v>
      </c>
      <c r="B955" s="11" t="s">
        <v>252</v>
      </c>
      <c r="C955" s="13">
        <v>916</v>
      </c>
      <c r="D955" s="13">
        <v>0</v>
      </c>
      <c r="E955" s="13">
        <v>33</v>
      </c>
      <c r="F955" s="13">
        <v>119</v>
      </c>
      <c r="G955" s="13">
        <v>247</v>
      </c>
      <c r="H955" s="13">
        <v>299</v>
      </c>
      <c r="I955" s="13">
        <v>167</v>
      </c>
      <c r="J955" s="13">
        <v>51</v>
      </c>
    </row>
    <row r="956" spans="1:10" x14ac:dyDescent="0.25">
      <c r="A956" s="11">
        <v>2019</v>
      </c>
      <c r="B956" s="11" t="s">
        <v>253</v>
      </c>
      <c r="C956" s="13">
        <v>205</v>
      </c>
      <c r="D956" s="13">
        <v>0</v>
      </c>
      <c r="E956" s="13">
        <v>5</v>
      </c>
      <c r="F956" s="13">
        <v>26</v>
      </c>
      <c r="G956" s="13">
        <v>59</v>
      </c>
      <c r="H956" s="13">
        <v>64</v>
      </c>
      <c r="I956" s="13">
        <v>42</v>
      </c>
      <c r="J956" s="13">
        <v>9</v>
      </c>
    </row>
    <row r="957" spans="1:10" x14ac:dyDescent="0.25">
      <c r="A957" s="11">
        <v>2019</v>
      </c>
      <c r="B957" s="11" t="s">
        <v>254</v>
      </c>
      <c r="C957" s="13">
        <v>837</v>
      </c>
      <c r="D957" s="13">
        <v>0</v>
      </c>
      <c r="E957" s="13">
        <v>26</v>
      </c>
      <c r="F957" s="13">
        <v>127</v>
      </c>
      <c r="G957" s="13">
        <v>239</v>
      </c>
      <c r="H957" s="13">
        <v>269</v>
      </c>
      <c r="I957" s="13">
        <v>139</v>
      </c>
      <c r="J957" s="13">
        <v>37</v>
      </c>
    </row>
    <row r="958" spans="1:10" x14ac:dyDescent="0.25">
      <c r="A958" s="11">
        <v>2019</v>
      </c>
      <c r="B958" s="11" t="s">
        <v>255</v>
      </c>
      <c r="C958" s="13">
        <v>3109</v>
      </c>
      <c r="D958" s="13">
        <v>0</v>
      </c>
      <c r="E958" s="13">
        <v>72</v>
      </c>
      <c r="F958" s="13">
        <v>400</v>
      </c>
      <c r="G958" s="13">
        <v>856</v>
      </c>
      <c r="H958" s="13">
        <v>1034</v>
      </c>
      <c r="I958" s="13">
        <v>634</v>
      </c>
      <c r="J958" s="13">
        <v>113</v>
      </c>
    </row>
    <row r="959" spans="1:10" x14ac:dyDescent="0.25">
      <c r="A959" s="11">
        <v>2019</v>
      </c>
      <c r="B959" s="11" t="s">
        <v>256</v>
      </c>
      <c r="C959" s="13">
        <v>737</v>
      </c>
      <c r="D959" s="13">
        <v>0</v>
      </c>
      <c r="E959" s="13">
        <v>18</v>
      </c>
      <c r="F959" s="13">
        <v>71</v>
      </c>
      <c r="G959" s="13">
        <v>191</v>
      </c>
      <c r="H959" s="13">
        <v>236</v>
      </c>
      <c r="I959" s="13">
        <v>172</v>
      </c>
      <c r="J959" s="13">
        <v>49</v>
      </c>
    </row>
    <row r="960" spans="1:10" x14ac:dyDescent="0.25">
      <c r="A960" s="11">
        <v>2019</v>
      </c>
      <c r="B960" s="11" t="s">
        <v>257</v>
      </c>
      <c r="C960" s="13">
        <v>845</v>
      </c>
      <c r="D960" s="13">
        <v>0</v>
      </c>
      <c r="E960" s="13">
        <v>33</v>
      </c>
      <c r="F960" s="13">
        <v>124</v>
      </c>
      <c r="G960" s="13">
        <v>275</v>
      </c>
      <c r="H960" s="13">
        <v>272</v>
      </c>
      <c r="I960" s="13">
        <v>126</v>
      </c>
      <c r="J960" s="13">
        <v>15</v>
      </c>
    </row>
    <row r="961" spans="1:10" x14ac:dyDescent="0.25">
      <c r="A961" s="11">
        <v>2019</v>
      </c>
      <c r="B961" s="11" t="s">
        <v>258</v>
      </c>
      <c r="C961" s="13">
        <v>1798</v>
      </c>
      <c r="D961" s="13">
        <v>0</v>
      </c>
      <c r="E961" s="13">
        <v>60</v>
      </c>
      <c r="F961" s="13">
        <v>296</v>
      </c>
      <c r="G961" s="13">
        <v>510</v>
      </c>
      <c r="H961" s="13">
        <v>561</v>
      </c>
      <c r="I961" s="13">
        <v>309</v>
      </c>
      <c r="J961" s="13">
        <v>62</v>
      </c>
    </row>
    <row r="962" spans="1:10" x14ac:dyDescent="0.25">
      <c r="A962" s="11">
        <v>2020</v>
      </c>
      <c r="B962" s="11" t="s">
        <v>11</v>
      </c>
      <c r="C962" s="13">
        <v>46809</v>
      </c>
      <c r="D962" s="13">
        <v>7</v>
      </c>
      <c r="E962" s="13">
        <v>1281</v>
      </c>
      <c r="F962" s="13">
        <v>6201</v>
      </c>
      <c r="G962" s="13">
        <v>12558</v>
      </c>
      <c r="H962" s="13">
        <v>15715</v>
      </c>
      <c r="I962" s="13">
        <v>8979</v>
      </c>
      <c r="J962" s="13">
        <v>2068</v>
      </c>
    </row>
    <row r="963" spans="1:10" x14ac:dyDescent="0.25">
      <c r="A963" s="11">
        <v>2020</v>
      </c>
      <c r="B963" s="11" t="s">
        <v>227</v>
      </c>
      <c r="C963" s="13">
        <v>2007</v>
      </c>
      <c r="D963" s="13">
        <v>0</v>
      </c>
      <c r="E963" s="13">
        <v>39</v>
      </c>
      <c r="F963" s="13">
        <v>234</v>
      </c>
      <c r="G963" s="13">
        <v>547</v>
      </c>
      <c r="H963" s="13">
        <v>708</v>
      </c>
      <c r="I963" s="13">
        <v>382</v>
      </c>
      <c r="J963" s="13">
        <v>97</v>
      </c>
    </row>
    <row r="964" spans="1:10" x14ac:dyDescent="0.25">
      <c r="A964" s="11">
        <v>2020</v>
      </c>
      <c r="B964" s="11" t="s">
        <v>228</v>
      </c>
      <c r="C964" s="13">
        <v>2287</v>
      </c>
      <c r="D964" s="13">
        <v>0</v>
      </c>
      <c r="E964" s="13">
        <v>48</v>
      </c>
      <c r="F964" s="13">
        <v>219</v>
      </c>
      <c r="G964" s="13">
        <v>655</v>
      </c>
      <c r="H964" s="13">
        <v>834</v>
      </c>
      <c r="I964" s="13">
        <v>443</v>
      </c>
      <c r="J964" s="13">
        <v>88</v>
      </c>
    </row>
    <row r="965" spans="1:10" x14ac:dyDescent="0.25">
      <c r="A965" s="11">
        <v>2020</v>
      </c>
      <c r="B965" s="11" t="s">
        <v>229</v>
      </c>
      <c r="C965" s="13">
        <v>860</v>
      </c>
      <c r="D965" s="13">
        <v>0</v>
      </c>
      <c r="E965" s="13">
        <v>32</v>
      </c>
      <c r="F965" s="13">
        <v>123</v>
      </c>
      <c r="G965" s="13">
        <v>272</v>
      </c>
      <c r="H965" s="13">
        <v>291</v>
      </c>
      <c r="I965" s="13">
        <v>111</v>
      </c>
      <c r="J965" s="13">
        <v>31</v>
      </c>
    </row>
    <row r="966" spans="1:10" x14ac:dyDescent="0.25">
      <c r="A966" s="11">
        <v>2020</v>
      </c>
      <c r="B966" s="11" t="s">
        <v>230</v>
      </c>
      <c r="C966" s="13">
        <v>592</v>
      </c>
      <c r="D966" s="13">
        <v>0</v>
      </c>
      <c r="E966" s="13">
        <v>15</v>
      </c>
      <c r="F966" s="13">
        <v>84</v>
      </c>
      <c r="G966" s="13">
        <v>178</v>
      </c>
      <c r="H966" s="13">
        <v>187</v>
      </c>
      <c r="I966" s="13">
        <v>97</v>
      </c>
      <c r="J966" s="13">
        <v>31</v>
      </c>
    </row>
    <row r="967" spans="1:10" x14ac:dyDescent="0.25">
      <c r="A967" s="11">
        <v>2020</v>
      </c>
      <c r="B967" s="11" t="s">
        <v>231</v>
      </c>
      <c r="C967" s="13">
        <v>4548</v>
      </c>
      <c r="D967" s="13">
        <v>0</v>
      </c>
      <c r="E967" s="13">
        <v>53</v>
      </c>
      <c r="F967" s="13">
        <v>338</v>
      </c>
      <c r="G967" s="13">
        <v>840</v>
      </c>
      <c r="H967" s="13">
        <v>1783</v>
      </c>
      <c r="I967" s="13">
        <v>1207</v>
      </c>
      <c r="J967" s="13">
        <v>327</v>
      </c>
    </row>
    <row r="968" spans="1:10" x14ac:dyDescent="0.25">
      <c r="A968" s="11">
        <v>2020</v>
      </c>
      <c r="B968" s="11" t="s">
        <v>232</v>
      </c>
      <c r="C968" s="13">
        <v>444</v>
      </c>
      <c r="D968" s="13">
        <v>0</v>
      </c>
      <c r="E968" s="13">
        <v>14</v>
      </c>
      <c r="F968" s="13">
        <v>92</v>
      </c>
      <c r="G968" s="13">
        <v>126</v>
      </c>
      <c r="H968" s="13">
        <v>131</v>
      </c>
      <c r="I968" s="13">
        <v>72</v>
      </c>
      <c r="J968" s="13">
        <v>9</v>
      </c>
    </row>
    <row r="969" spans="1:10" x14ac:dyDescent="0.25">
      <c r="A969" s="11">
        <v>2020</v>
      </c>
      <c r="B969" s="11" t="s">
        <v>233</v>
      </c>
      <c r="C969" s="13">
        <v>1137</v>
      </c>
      <c r="D969" s="13">
        <v>1</v>
      </c>
      <c r="E969" s="13">
        <v>43</v>
      </c>
      <c r="F969" s="13">
        <v>186</v>
      </c>
      <c r="G969" s="13">
        <v>356</v>
      </c>
      <c r="H969" s="13">
        <v>330</v>
      </c>
      <c r="I969" s="13">
        <v>182</v>
      </c>
      <c r="J969" s="13">
        <v>39</v>
      </c>
    </row>
    <row r="970" spans="1:10" x14ac:dyDescent="0.25">
      <c r="A970" s="11">
        <v>2020</v>
      </c>
      <c r="B970" s="11" t="s">
        <v>234</v>
      </c>
      <c r="C970" s="13">
        <v>1287</v>
      </c>
      <c r="D970" s="13">
        <v>0</v>
      </c>
      <c r="E970" s="13">
        <v>53</v>
      </c>
      <c r="F970" s="13">
        <v>219</v>
      </c>
      <c r="G970" s="13">
        <v>377</v>
      </c>
      <c r="H970" s="13">
        <v>377</v>
      </c>
      <c r="I970" s="13">
        <v>221</v>
      </c>
      <c r="J970" s="13">
        <v>40</v>
      </c>
    </row>
    <row r="971" spans="1:10" x14ac:dyDescent="0.25">
      <c r="A971" s="11">
        <v>2020</v>
      </c>
      <c r="B971" s="11" t="s">
        <v>235</v>
      </c>
      <c r="C971" s="13">
        <v>1113</v>
      </c>
      <c r="D971" s="13">
        <v>0</v>
      </c>
      <c r="E971" s="13">
        <v>35</v>
      </c>
      <c r="F971" s="13">
        <v>212</v>
      </c>
      <c r="G971" s="13">
        <v>336</v>
      </c>
      <c r="H971" s="13">
        <v>339</v>
      </c>
      <c r="I971" s="13">
        <v>154</v>
      </c>
      <c r="J971" s="13">
        <v>37</v>
      </c>
    </row>
    <row r="972" spans="1:10" x14ac:dyDescent="0.25">
      <c r="A972" s="11">
        <v>2020</v>
      </c>
      <c r="B972" s="11" t="s">
        <v>236</v>
      </c>
      <c r="C972" s="13">
        <v>884</v>
      </c>
      <c r="D972" s="13">
        <v>0</v>
      </c>
      <c r="E972" s="13">
        <v>9</v>
      </c>
      <c r="F972" s="13">
        <v>62</v>
      </c>
      <c r="G972" s="13">
        <v>164</v>
      </c>
      <c r="H972" s="13">
        <v>344</v>
      </c>
      <c r="I972" s="13">
        <v>259</v>
      </c>
      <c r="J972" s="13">
        <v>46</v>
      </c>
    </row>
    <row r="973" spans="1:10" x14ac:dyDescent="0.25">
      <c r="A973" s="11">
        <v>2020</v>
      </c>
      <c r="B973" s="11" t="s">
        <v>237</v>
      </c>
      <c r="C973" s="13">
        <v>960</v>
      </c>
      <c r="D973" s="13">
        <v>0</v>
      </c>
      <c r="E973" s="13">
        <v>26</v>
      </c>
      <c r="F973" s="13">
        <v>113</v>
      </c>
      <c r="G973" s="13">
        <v>233</v>
      </c>
      <c r="H973" s="13">
        <v>321</v>
      </c>
      <c r="I973" s="13">
        <v>207</v>
      </c>
      <c r="J973" s="13">
        <v>60</v>
      </c>
    </row>
    <row r="974" spans="1:10" x14ac:dyDescent="0.25">
      <c r="A974" s="11">
        <v>2020</v>
      </c>
      <c r="B974" s="11" t="s">
        <v>238</v>
      </c>
      <c r="C974" s="13">
        <v>797</v>
      </c>
      <c r="D974" s="13">
        <v>0</v>
      </c>
      <c r="E974" s="13">
        <v>6</v>
      </c>
      <c r="F974" s="13">
        <v>38</v>
      </c>
      <c r="G974" s="13">
        <v>142</v>
      </c>
      <c r="H974" s="13">
        <v>328</v>
      </c>
      <c r="I974" s="13">
        <v>224</v>
      </c>
      <c r="J974" s="13">
        <v>59</v>
      </c>
    </row>
    <row r="975" spans="1:10" x14ac:dyDescent="0.25">
      <c r="A975" s="11">
        <v>2020</v>
      </c>
      <c r="B975" s="11" t="s">
        <v>239</v>
      </c>
      <c r="C975" s="13">
        <v>1432</v>
      </c>
      <c r="D975" s="13">
        <v>0</v>
      </c>
      <c r="E975" s="13">
        <v>46</v>
      </c>
      <c r="F975" s="13">
        <v>204</v>
      </c>
      <c r="G975" s="13">
        <v>448</v>
      </c>
      <c r="H975" s="13">
        <v>439</v>
      </c>
      <c r="I975" s="13">
        <v>243</v>
      </c>
      <c r="J975" s="13">
        <v>52</v>
      </c>
    </row>
    <row r="976" spans="1:10" x14ac:dyDescent="0.25">
      <c r="A976" s="11">
        <v>2020</v>
      </c>
      <c r="B976" s="11" t="s">
        <v>240</v>
      </c>
      <c r="C976" s="13">
        <v>3144</v>
      </c>
      <c r="D976" s="13">
        <v>1</v>
      </c>
      <c r="E976" s="13">
        <v>142</v>
      </c>
      <c r="F976" s="13">
        <v>518</v>
      </c>
      <c r="G976" s="13">
        <v>855</v>
      </c>
      <c r="H976" s="13">
        <v>1014</v>
      </c>
      <c r="I976" s="13">
        <v>493</v>
      </c>
      <c r="J976" s="13">
        <v>121</v>
      </c>
    </row>
    <row r="977" spans="1:10" x14ac:dyDescent="0.25">
      <c r="A977" s="11">
        <v>2020</v>
      </c>
      <c r="B977" s="11" t="s">
        <v>241</v>
      </c>
      <c r="C977" s="13">
        <v>5867</v>
      </c>
      <c r="D977" s="13">
        <v>2</v>
      </c>
      <c r="E977" s="13">
        <v>158</v>
      </c>
      <c r="F977" s="13">
        <v>771</v>
      </c>
      <c r="G977" s="13">
        <v>1561</v>
      </c>
      <c r="H977" s="13">
        <v>1961</v>
      </c>
      <c r="I977" s="13">
        <v>1138</v>
      </c>
      <c r="J977" s="13">
        <v>276</v>
      </c>
    </row>
    <row r="978" spans="1:10" x14ac:dyDescent="0.25">
      <c r="A978" s="11">
        <v>2020</v>
      </c>
      <c r="B978" s="11" t="s">
        <v>242</v>
      </c>
      <c r="C978" s="13">
        <v>1866</v>
      </c>
      <c r="D978" s="13">
        <v>0</v>
      </c>
      <c r="E978" s="13">
        <v>45</v>
      </c>
      <c r="F978" s="13">
        <v>252</v>
      </c>
      <c r="G978" s="13">
        <v>517</v>
      </c>
      <c r="H978" s="13">
        <v>592</v>
      </c>
      <c r="I978" s="13">
        <v>359</v>
      </c>
      <c r="J978" s="13">
        <v>101</v>
      </c>
    </row>
    <row r="979" spans="1:10" x14ac:dyDescent="0.25">
      <c r="A979" s="11">
        <v>2020</v>
      </c>
      <c r="B979" s="11" t="s">
        <v>243</v>
      </c>
      <c r="C979" s="13">
        <v>615</v>
      </c>
      <c r="D979" s="13">
        <v>0</v>
      </c>
      <c r="E979" s="13">
        <v>21</v>
      </c>
      <c r="F979" s="13">
        <v>107</v>
      </c>
      <c r="G979" s="13">
        <v>168</v>
      </c>
      <c r="H979" s="13">
        <v>197</v>
      </c>
      <c r="I979" s="13">
        <v>96</v>
      </c>
      <c r="J979" s="13">
        <v>26</v>
      </c>
    </row>
    <row r="980" spans="1:10" x14ac:dyDescent="0.25">
      <c r="A980" s="11">
        <v>2020</v>
      </c>
      <c r="B980" s="11" t="s">
        <v>244</v>
      </c>
      <c r="C980" s="13">
        <v>979</v>
      </c>
      <c r="D980" s="13">
        <v>0</v>
      </c>
      <c r="E980" s="13">
        <v>22</v>
      </c>
      <c r="F980" s="13">
        <v>106</v>
      </c>
      <c r="G980" s="13">
        <v>252</v>
      </c>
      <c r="H980" s="13">
        <v>368</v>
      </c>
      <c r="I980" s="13">
        <v>193</v>
      </c>
      <c r="J980" s="13">
        <v>38</v>
      </c>
    </row>
    <row r="981" spans="1:10" x14ac:dyDescent="0.25">
      <c r="A981" s="11">
        <v>2020</v>
      </c>
      <c r="B981" s="11" t="s">
        <v>245</v>
      </c>
      <c r="C981" s="13">
        <v>855</v>
      </c>
      <c r="D981" s="13">
        <v>0</v>
      </c>
      <c r="E981" s="13">
        <v>37</v>
      </c>
      <c r="F981" s="13">
        <v>139</v>
      </c>
      <c r="G981" s="13">
        <v>276</v>
      </c>
      <c r="H981" s="13">
        <v>242</v>
      </c>
      <c r="I981" s="13">
        <v>131</v>
      </c>
      <c r="J981" s="13">
        <v>30</v>
      </c>
    </row>
    <row r="982" spans="1:10" x14ac:dyDescent="0.25">
      <c r="A982" s="11">
        <v>2020</v>
      </c>
      <c r="B982" s="11" t="s">
        <v>246</v>
      </c>
      <c r="C982" s="13">
        <v>183</v>
      </c>
      <c r="D982" s="13">
        <v>0</v>
      </c>
      <c r="E982" s="13">
        <v>4</v>
      </c>
      <c r="F982" s="13">
        <v>29</v>
      </c>
      <c r="G982" s="13">
        <v>35</v>
      </c>
      <c r="H982" s="13">
        <v>64</v>
      </c>
      <c r="I982" s="13">
        <v>34</v>
      </c>
      <c r="J982" s="13">
        <v>17</v>
      </c>
    </row>
    <row r="983" spans="1:10" x14ac:dyDescent="0.25">
      <c r="A983" s="11">
        <v>2020</v>
      </c>
      <c r="B983" s="11" t="s">
        <v>247</v>
      </c>
      <c r="C983" s="13">
        <v>1107</v>
      </c>
      <c r="D983" s="13">
        <v>0</v>
      </c>
      <c r="E983" s="13">
        <v>45</v>
      </c>
      <c r="F983" s="13">
        <v>209</v>
      </c>
      <c r="G983" s="13">
        <v>337</v>
      </c>
      <c r="H983" s="13">
        <v>303</v>
      </c>
      <c r="I983" s="13">
        <v>176</v>
      </c>
      <c r="J983" s="13">
        <v>37</v>
      </c>
    </row>
    <row r="984" spans="1:10" x14ac:dyDescent="0.25">
      <c r="A984" s="11">
        <v>2020</v>
      </c>
      <c r="B984" s="11" t="s">
        <v>248</v>
      </c>
      <c r="C984" s="13">
        <v>3051</v>
      </c>
      <c r="D984" s="13">
        <v>0</v>
      </c>
      <c r="E984" s="13">
        <v>103</v>
      </c>
      <c r="F984" s="13">
        <v>468</v>
      </c>
      <c r="G984" s="13">
        <v>912</v>
      </c>
      <c r="H984" s="13">
        <v>967</v>
      </c>
      <c r="I984" s="13">
        <v>498</v>
      </c>
      <c r="J984" s="13">
        <v>103</v>
      </c>
    </row>
    <row r="985" spans="1:10" x14ac:dyDescent="0.25">
      <c r="A985" s="11">
        <v>2020</v>
      </c>
      <c r="B985" s="11" t="s">
        <v>249</v>
      </c>
      <c r="C985" s="13">
        <v>183</v>
      </c>
      <c r="D985" s="13">
        <v>0</v>
      </c>
      <c r="E985" s="13">
        <v>1</v>
      </c>
      <c r="F985" s="13">
        <v>17</v>
      </c>
      <c r="G985" s="13">
        <v>51</v>
      </c>
      <c r="H985" s="13">
        <v>68</v>
      </c>
      <c r="I985" s="13">
        <v>39</v>
      </c>
      <c r="J985" s="13">
        <v>7</v>
      </c>
    </row>
    <row r="986" spans="1:10" x14ac:dyDescent="0.25">
      <c r="A986" s="11">
        <v>2020</v>
      </c>
      <c r="B986" s="11" t="s">
        <v>250</v>
      </c>
      <c r="C986" s="13">
        <v>1186</v>
      </c>
      <c r="D986" s="13">
        <v>0</v>
      </c>
      <c r="E986" s="13">
        <v>26</v>
      </c>
      <c r="F986" s="13">
        <v>187</v>
      </c>
      <c r="G986" s="13">
        <v>300</v>
      </c>
      <c r="H986" s="13">
        <v>387</v>
      </c>
      <c r="I986" s="13">
        <v>234</v>
      </c>
      <c r="J986" s="13">
        <v>52</v>
      </c>
    </row>
    <row r="987" spans="1:10" x14ac:dyDescent="0.25">
      <c r="A987" s="11">
        <v>2020</v>
      </c>
      <c r="B987" s="11" t="s">
        <v>251</v>
      </c>
      <c r="C987" s="13">
        <v>1539</v>
      </c>
      <c r="D987" s="13">
        <v>0</v>
      </c>
      <c r="E987" s="13">
        <v>28</v>
      </c>
      <c r="F987" s="13">
        <v>172</v>
      </c>
      <c r="G987" s="13">
        <v>440</v>
      </c>
      <c r="H987" s="13">
        <v>538</v>
      </c>
      <c r="I987" s="13">
        <v>296</v>
      </c>
      <c r="J987" s="13">
        <v>65</v>
      </c>
    </row>
    <row r="988" spans="1:10" x14ac:dyDescent="0.25">
      <c r="A988" s="11">
        <v>2020</v>
      </c>
      <c r="B988" s="11" t="s">
        <v>252</v>
      </c>
      <c r="C988" s="13">
        <v>845</v>
      </c>
      <c r="D988" s="13">
        <v>0</v>
      </c>
      <c r="E988" s="13">
        <v>21</v>
      </c>
      <c r="F988" s="13">
        <v>111</v>
      </c>
      <c r="G988" s="13">
        <v>246</v>
      </c>
      <c r="H988" s="13">
        <v>290</v>
      </c>
      <c r="I988" s="13">
        <v>149</v>
      </c>
      <c r="J988" s="13">
        <v>28</v>
      </c>
    </row>
    <row r="989" spans="1:10" x14ac:dyDescent="0.25">
      <c r="A989" s="11">
        <v>2020</v>
      </c>
      <c r="B989" s="11" t="s">
        <v>253</v>
      </c>
      <c r="C989" s="13">
        <v>176</v>
      </c>
      <c r="D989" s="13">
        <v>0</v>
      </c>
      <c r="E989" s="13">
        <v>3</v>
      </c>
      <c r="F989" s="13">
        <v>16</v>
      </c>
      <c r="G989" s="13">
        <v>60</v>
      </c>
      <c r="H989" s="13">
        <v>67</v>
      </c>
      <c r="I989" s="13">
        <v>22</v>
      </c>
      <c r="J989" s="13">
        <v>8</v>
      </c>
    </row>
    <row r="990" spans="1:10" x14ac:dyDescent="0.25">
      <c r="A990" s="11">
        <v>2020</v>
      </c>
      <c r="B990" s="11" t="s">
        <v>254</v>
      </c>
      <c r="C990" s="13">
        <v>817</v>
      </c>
      <c r="D990" s="13">
        <v>0</v>
      </c>
      <c r="E990" s="13">
        <v>25</v>
      </c>
      <c r="F990" s="13">
        <v>131</v>
      </c>
      <c r="G990" s="13">
        <v>194</v>
      </c>
      <c r="H990" s="13">
        <v>285</v>
      </c>
      <c r="I990" s="13">
        <v>143</v>
      </c>
      <c r="J990" s="13">
        <v>39</v>
      </c>
    </row>
    <row r="991" spans="1:10" x14ac:dyDescent="0.25">
      <c r="A991" s="11">
        <v>2020</v>
      </c>
      <c r="B991" s="11" t="s">
        <v>255</v>
      </c>
      <c r="C991" s="13">
        <v>2918</v>
      </c>
      <c r="D991" s="13">
        <v>2</v>
      </c>
      <c r="E991" s="13">
        <v>77</v>
      </c>
      <c r="F991" s="13">
        <v>403</v>
      </c>
      <c r="G991" s="13">
        <v>785</v>
      </c>
      <c r="H991" s="13">
        <v>959</v>
      </c>
      <c r="I991" s="13">
        <v>598</v>
      </c>
      <c r="J991" s="13">
        <v>94</v>
      </c>
    </row>
    <row r="992" spans="1:10" x14ac:dyDescent="0.25">
      <c r="A992" s="11">
        <v>2020</v>
      </c>
      <c r="B992" s="11" t="s">
        <v>256</v>
      </c>
      <c r="C992" s="13">
        <v>696</v>
      </c>
      <c r="D992" s="13">
        <v>0</v>
      </c>
      <c r="E992" s="13">
        <v>19</v>
      </c>
      <c r="F992" s="13">
        <v>72</v>
      </c>
      <c r="G992" s="13">
        <v>174</v>
      </c>
      <c r="H992" s="13">
        <v>232</v>
      </c>
      <c r="I992" s="13">
        <v>165</v>
      </c>
      <c r="J992" s="13">
        <v>34</v>
      </c>
    </row>
    <row r="993" spans="1:10" x14ac:dyDescent="0.25">
      <c r="A993" s="11">
        <v>2020</v>
      </c>
      <c r="B993" s="11" t="s">
        <v>257</v>
      </c>
      <c r="C993" s="13">
        <v>771</v>
      </c>
      <c r="D993" s="13">
        <v>0</v>
      </c>
      <c r="E993" s="13">
        <v>35</v>
      </c>
      <c r="F993" s="13">
        <v>124</v>
      </c>
      <c r="G993" s="13">
        <v>238</v>
      </c>
      <c r="H993" s="13">
        <v>237</v>
      </c>
      <c r="I993" s="13">
        <v>114</v>
      </c>
      <c r="J993" s="13">
        <v>23</v>
      </c>
    </row>
    <row r="994" spans="1:10" x14ac:dyDescent="0.25">
      <c r="A994" s="11">
        <v>2020</v>
      </c>
      <c r="B994" s="11" t="s">
        <v>258</v>
      </c>
      <c r="C994" s="13">
        <v>1663</v>
      </c>
      <c r="D994" s="13">
        <v>1</v>
      </c>
      <c r="E994" s="13">
        <v>50</v>
      </c>
      <c r="F994" s="13">
        <v>245</v>
      </c>
      <c r="G994" s="13">
        <v>483</v>
      </c>
      <c r="H994" s="13">
        <v>532</v>
      </c>
      <c r="I994" s="13">
        <v>299</v>
      </c>
      <c r="J994" s="13">
        <v>53</v>
      </c>
    </row>
    <row r="995" spans="1:10" x14ac:dyDescent="0.25">
      <c r="A995" s="11">
        <v>2021</v>
      </c>
      <c r="B995" s="11" t="s">
        <v>11</v>
      </c>
      <c r="C995" s="13">
        <v>47786</v>
      </c>
      <c r="D995" s="13">
        <v>4</v>
      </c>
      <c r="E995" s="13">
        <v>1043</v>
      </c>
      <c r="F995" s="13">
        <v>5605</v>
      </c>
      <c r="G995" s="13">
        <v>12835</v>
      </c>
      <c r="H995" s="13">
        <v>16563</v>
      </c>
      <c r="I995" s="13">
        <v>9671</v>
      </c>
      <c r="J995" s="13">
        <v>2065</v>
      </c>
    </row>
    <row r="996" spans="1:10" x14ac:dyDescent="0.25">
      <c r="A996" s="11">
        <v>2021</v>
      </c>
      <c r="B996" s="11" t="s">
        <v>227</v>
      </c>
      <c r="C996" s="13">
        <v>2041</v>
      </c>
      <c r="D996" s="13">
        <v>0</v>
      </c>
      <c r="E996" s="13">
        <v>44</v>
      </c>
      <c r="F996" s="13">
        <v>232</v>
      </c>
      <c r="G996" s="13">
        <v>508</v>
      </c>
      <c r="H996" s="13">
        <v>710</v>
      </c>
      <c r="I996" s="13">
        <v>451</v>
      </c>
      <c r="J996" s="13">
        <v>96</v>
      </c>
    </row>
    <row r="997" spans="1:10" x14ac:dyDescent="0.25">
      <c r="A997" s="11">
        <v>2021</v>
      </c>
      <c r="B997" s="11" t="s">
        <v>228</v>
      </c>
      <c r="C997" s="13">
        <v>2339</v>
      </c>
      <c r="D997" s="13">
        <v>0</v>
      </c>
      <c r="E997" s="13">
        <v>35</v>
      </c>
      <c r="F997" s="13">
        <v>217</v>
      </c>
      <c r="G997" s="13">
        <v>676</v>
      </c>
      <c r="H997" s="13">
        <v>840</v>
      </c>
      <c r="I997" s="13">
        <v>459</v>
      </c>
      <c r="J997" s="13">
        <v>112</v>
      </c>
    </row>
    <row r="998" spans="1:10" x14ac:dyDescent="0.25">
      <c r="A998" s="11">
        <v>2021</v>
      </c>
      <c r="B998" s="11" t="s">
        <v>229</v>
      </c>
      <c r="C998" s="13">
        <v>915</v>
      </c>
      <c r="D998" s="13">
        <v>0</v>
      </c>
      <c r="E998" s="13">
        <v>28</v>
      </c>
      <c r="F998" s="13">
        <v>127</v>
      </c>
      <c r="G998" s="13">
        <v>275</v>
      </c>
      <c r="H998" s="13">
        <v>281</v>
      </c>
      <c r="I998" s="13">
        <v>167</v>
      </c>
      <c r="J998" s="13">
        <v>37</v>
      </c>
    </row>
    <row r="999" spans="1:10" x14ac:dyDescent="0.25">
      <c r="A999" s="11">
        <v>2021</v>
      </c>
      <c r="B999" s="11" t="s">
        <v>230</v>
      </c>
      <c r="C999" s="13">
        <v>599</v>
      </c>
      <c r="D999" s="13">
        <v>0</v>
      </c>
      <c r="E999" s="13">
        <v>1</v>
      </c>
      <c r="F999" s="13">
        <v>69</v>
      </c>
      <c r="G999" s="13">
        <v>169</v>
      </c>
      <c r="H999" s="13">
        <v>193</v>
      </c>
      <c r="I999" s="13">
        <v>125</v>
      </c>
      <c r="J999" s="13">
        <v>42</v>
      </c>
    </row>
    <row r="1000" spans="1:10" x14ac:dyDescent="0.25">
      <c r="A1000" s="11">
        <v>2021</v>
      </c>
      <c r="B1000" s="11" t="s">
        <v>231</v>
      </c>
      <c r="C1000" s="13">
        <v>4653</v>
      </c>
      <c r="D1000" s="13">
        <v>0</v>
      </c>
      <c r="E1000" s="13">
        <v>63</v>
      </c>
      <c r="F1000" s="13">
        <v>304</v>
      </c>
      <c r="G1000" s="13">
        <v>844</v>
      </c>
      <c r="H1000" s="13">
        <v>1855</v>
      </c>
      <c r="I1000" s="13">
        <v>1317</v>
      </c>
      <c r="J1000" s="13">
        <v>270</v>
      </c>
    </row>
    <row r="1001" spans="1:10" x14ac:dyDescent="0.25">
      <c r="A1001" s="11">
        <v>2021</v>
      </c>
      <c r="B1001" s="11" t="s">
        <v>232</v>
      </c>
      <c r="C1001" s="13">
        <v>498</v>
      </c>
      <c r="D1001" s="13">
        <v>0</v>
      </c>
      <c r="E1001" s="13">
        <v>17</v>
      </c>
      <c r="F1001" s="13">
        <v>89</v>
      </c>
      <c r="G1001" s="13">
        <v>156</v>
      </c>
      <c r="H1001" s="13">
        <v>152</v>
      </c>
      <c r="I1001" s="13">
        <v>74</v>
      </c>
      <c r="J1001" s="13">
        <v>10</v>
      </c>
    </row>
    <row r="1002" spans="1:10" x14ac:dyDescent="0.25">
      <c r="A1002" s="11">
        <v>2021</v>
      </c>
      <c r="B1002" s="11" t="s">
        <v>233</v>
      </c>
      <c r="C1002" s="13">
        <v>1083</v>
      </c>
      <c r="D1002" s="13">
        <v>0</v>
      </c>
      <c r="E1002" s="13">
        <v>28</v>
      </c>
      <c r="F1002" s="13">
        <v>140</v>
      </c>
      <c r="G1002" s="13">
        <v>367</v>
      </c>
      <c r="H1002" s="13">
        <v>353</v>
      </c>
      <c r="I1002" s="13">
        <v>159</v>
      </c>
      <c r="J1002" s="13">
        <v>36</v>
      </c>
    </row>
    <row r="1003" spans="1:10" x14ac:dyDescent="0.25">
      <c r="A1003" s="11">
        <v>2021</v>
      </c>
      <c r="B1003" s="11" t="s">
        <v>234</v>
      </c>
      <c r="C1003" s="13">
        <v>1255</v>
      </c>
      <c r="D1003" s="13">
        <v>0</v>
      </c>
      <c r="E1003" s="13">
        <v>43</v>
      </c>
      <c r="F1003" s="13">
        <v>216</v>
      </c>
      <c r="G1003" s="13">
        <v>371</v>
      </c>
      <c r="H1003" s="13">
        <v>399</v>
      </c>
      <c r="I1003" s="13">
        <v>194</v>
      </c>
      <c r="J1003" s="13">
        <v>32</v>
      </c>
    </row>
    <row r="1004" spans="1:10" x14ac:dyDescent="0.25">
      <c r="A1004" s="11">
        <v>2021</v>
      </c>
      <c r="B1004" s="11" t="s">
        <v>235</v>
      </c>
      <c r="C1004" s="13">
        <v>1122</v>
      </c>
      <c r="D1004" s="13">
        <v>0</v>
      </c>
      <c r="E1004" s="13">
        <v>33</v>
      </c>
      <c r="F1004" s="13">
        <v>177</v>
      </c>
      <c r="G1004" s="13">
        <v>348</v>
      </c>
      <c r="H1004" s="13">
        <v>362</v>
      </c>
      <c r="I1004" s="13">
        <v>169</v>
      </c>
      <c r="J1004" s="13">
        <v>33</v>
      </c>
    </row>
    <row r="1005" spans="1:10" x14ac:dyDescent="0.25">
      <c r="A1005" s="11">
        <v>2021</v>
      </c>
      <c r="B1005" s="11" t="s">
        <v>236</v>
      </c>
      <c r="C1005" s="13">
        <v>898</v>
      </c>
      <c r="D1005" s="13">
        <v>0</v>
      </c>
      <c r="E1005" s="13">
        <v>16</v>
      </c>
      <c r="F1005" s="13">
        <v>47</v>
      </c>
      <c r="G1005" s="13">
        <v>142</v>
      </c>
      <c r="H1005" s="13">
        <v>336</v>
      </c>
      <c r="I1005" s="13">
        <v>292</v>
      </c>
      <c r="J1005" s="13">
        <v>65</v>
      </c>
    </row>
    <row r="1006" spans="1:10" x14ac:dyDescent="0.25">
      <c r="A1006" s="11">
        <v>2021</v>
      </c>
      <c r="B1006" s="11" t="s">
        <v>237</v>
      </c>
      <c r="C1006" s="13">
        <v>975</v>
      </c>
      <c r="D1006" s="13">
        <v>1</v>
      </c>
      <c r="E1006" s="13">
        <v>15</v>
      </c>
      <c r="F1006" s="13">
        <v>97</v>
      </c>
      <c r="G1006" s="13">
        <v>246</v>
      </c>
      <c r="H1006" s="13">
        <v>365</v>
      </c>
      <c r="I1006" s="13">
        <v>210</v>
      </c>
      <c r="J1006" s="13">
        <v>41</v>
      </c>
    </row>
    <row r="1007" spans="1:10" x14ac:dyDescent="0.25">
      <c r="A1007" s="11">
        <v>2021</v>
      </c>
      <c r="B1007" s="11" t="s">
        <v>238</v>
      </c>
      <c r="C1007" s="13">
        <v>790</v>
      </c>
      <c r="D1007" s="13">
        <v>0</v>
      </c>
      <c r="E1007" s="13">
        <v>7</v>
      </c>
      <c r="F1007" s="13">
        <v>31</v>
      </c>
      <c r="G1007" s="13">
        <v>155</v>
      </c>
      <c r="H1007" s="13">
        <v>319</v>
      </c>
      <c r="I1007" s="13">
        <v>234</v>
      </c>
      <c r="J1007" s="13">
        <v>44</v>
      </c>
    </row>
    <row r="1008" spans="1:10" x14ac:dyDescent="0.25">
      <c r="A1008" s="11">
        <v>2021</v>
      </c>
      <c r="B1008" s="11" t="s">
        <v>239</v>
      </c>
      <c r="C1008" s="13">
        <v>1466</v>
      </c>
      <c r="D1008" s="13">
        <v>0</v>
      </c>
      <c r="E1008" s="13">
        <v>26</v>
      </c>
      <c r="F1008" s="13">
        <v>182</v>
      </c>
      <c r="G1008" s="13">
        <v>449</v>
      </c>
      <c r="H1008" s="13">
        <v>517</v>
      </c>
      <c r="I1008" s="13">
        <v>250</v>
      </c>
      <c r="J1008" s="13">
        <v>42</v>
      </c>
    </row>
    <row r="1009" spans="1:10" x14ac:dyDescent="0.25">
      <c r="A1009" s="11">
        <v>2021</v>
      </c>
      <c r="B1009" s="11" t="s">
        <v>240</v>
      </c>
      <c r="C1009" s="13">
        <v>3157</v>
      </c>
      <c r="D1009" s="13">
        <v>0</v>
      </c>
      <c r="E1009" s="13">
        <v>105</v>
      </c>
      <c r="F1009" s="13">
        <v>474</v>
      </c>
      <c r="G1009" s="13">
        <v>967</v>
      </c>
      <c r="H1009" s="13">
        <v>969</v>
      </c>
      <c r="I1009" s="13">
        <v>514</v>
      </c>
      <c r="J1009" s="13">
        <v>128</v>
      </c>
    </row>
    <row r="1010" spans="1:10" x14ac:dyDescent="0.25">
      <c r="A1010" s="11">
        <v>2021</v>
      </c>
      <c r="B1010" s="11" t="s">
        <v>241</v>
      </c>
      <c r="C1010" s="13">
        <v>5929</v>
      </c>
      <c r="D1010" s="13">
        <v>1</v>
      </c>
      <c r="E1010" s="13">
        <v>150</v>
      </c>
      <c r="F1010" s="13">
        <v>679</v>
      </c>
      <c r="G1010" s="13">
        <v>1520</v>
      </c>
      <c r="H1010" s="13">
        <v>2085</v>
      </c>
      <c r="I1010" s="13">
        <v>1198</v>
      </c>
      <c r="J1010" s="13">
        <v>296</v>
      </c>
    </row>
    <row r="1011" spans="1:10" x14ac:dyDescent="0.25">
      <c r="A1011" s="11">
        <v>2021</v>
      </c>
      <c r="B1011" s="11" t="s">
        <v>242</v>
      </c>
      <c r="C1011" s="13">
        <v>1885</v>
      </c>
      <c r="D1011" s="13">
        <v>0</v>
      </c>
      <c r="E1011" s="13">
        <v>53</v>
      </c>
      <c r="F1011" s="13">
        <v>252</v>
      </c>
      <c r="G1011" s="13">
        <v>550</v>
      </c>
      <c r="H1011" s="13">
        <v>573</v>
      </c>
      <c r="I1011" s="13">
        <v>358</v>
      </c>
      <c r="J1011" s="13">
        <v>99</v>
      </c>
    </row>
    <row r="1012" spans="1:10" x14ac:dyDescent="0.25">
      <c r="A1012" s="11">
        <v>2021</v>
      </c>
      <c r="B1012" s="11" t="s">
        <v>243</v>
      </c>
      <c r="C1012" s="13">
        <v>605</v>
      </c>
      <c r="D1012" s="13">
        <v>0</v>
      </c>
      <c r="E1012" s="13">
        <v>12</v>
      </c>
      <c r="F1012" s="13">
        <v>75</v>
      </c>
      <c r="G1012" s="13">
        <v>193</v>
      </c>
      <c r="H1012" s="13">
        <v>186</v>
      </c>
      <c r="I1012" s="13">
        <v>118</v>
      </c>
      <c r="J1012" s="13">
        <v>21</v>
      </c>
    </row>
    <row r="1013" spans="1:10" x14ac:dyDescent="0.25">
      <c r="A1013" s="11">
        <v>2021</v>
      </c>
      <c r="B1013" s="11" t="s">
        <v>244</v>
      </c>
      <c r="C1013" s="13">
        <v>1071</v>
      </c>
      <c r="D1013" s="13">
        <v>0</v>
      </c>
      <c r="E1013" s="13">
        <v>21</v>
      </c>
      <c r="F1013" s="13">
        <v>110</v>
      </c>
      <c r="G1013" s="13">
        <v>284</v>
      </c>
      <c r="H1013" s="13">
        <v>389</v>
      </c>
      <c r="I1013" s="13">
        <v>222</v>
      </c>
      <c r="J1013" s="13">
        <v>45</v>
      </c>
    </row>
    <row r="1014" spans="1:10" x14ac:dyDescent="0.25">
      <c r="A1014" s="11">
        <v>2021</v>
      </c>
      <c r="B1014" s="11" t="s">
        <v>245</v>
      </c>
      <c r="C1014" s="13">
        <v>846</v>
      </c>
      <c r="D1014" s="13">
        <v>0</v>
      </c>
      <c r="E1014" s="13">
        <v>19</v>
      </c>
      <c r="F1014" s="13">
        <v>119</v>
      </c>
      <c r="G1014" s="13">
        <v>282</v>
      </c>
      <c r="H1014" s="13">
        <v>271</v>
      </c>
      <c r="I1014" s="13">
        <v>128</v>
      </c>
      <c r="J1014" s="13">
        <v>27</v>
      </c>
    </row>
    <row r="1015" spans="1:10" x14ac:dyDescent="0.25">
      <c r="A1015" s="11">
        <v>2021</v>
      </c>
      <c r="B1015" s="11" t="s">
        <v>246</v>
      </c>
      <c r="C1015" s="13">
        <v>181</v>
      </c>
      <c r="D1015" s="13">
        <v>0</v>
      </c>
      <c r="E1015" s="13">
        <v>5</v>
      </c>
      <c r="F1015" s="13">
        <v>20</v>
      </c>
      <c r="G1015" s="13">
        <v>43</v>
      </c>
      <c r="H1015" s="13">
        <v>66</v>
      </c>
      <c r="I1015" s="13">
        <v>36</v>
      </c>
      <c r="J1015" s="13">
        <v>11</v>
      </c>
    </row>
    <row r="1016" spans="1:10" x14ac:dyDescent="0.25">
      <c r="A1016" s="11">
        <v>2021</v>
      </c>
      <c r="B1016" s="11" t="s">
        <v>247</v>
      </c>
      <c r="C1016" s="13">
        <v>1069</v>
      </c>
      <c r="D1016" s="13">
        <v>0</v>
      </c>
      <c r="E1016" s="13">
        <v>33</v>
      </c>
      <c r="F1016" s="13">
        <v>175</v>
      </c>
      <c r="G1016" s="13">
        <v>306</v>
      </c>
      <c r="H1016" s="13">
        <v>343</v>
      </c>
      <c r="I1016" s="13">
        <v>181</v>
      </c>
      <c r="J1016" s="13">
        <v>31</v>
      </c>
    </row>
    <row r="1017" spans="1:10" x14ac:dyDescent="0.25">
      <c r="A1017" s="11">
        <v>2021</v>
      </c>
      <c r="B1017" s="11" t="s">
        <v>248</v>
      </c>
      <c r="C1017" s="13">
        <v>3296</v>
      </c>
      <c r="D1017" s="13">
        <v>1</v>
      </c>
      <c r="E1017" s="13">
        <v>72</v>
      </c>
      <c r="F1017" s="13">
        <v>520</v>
      </c>
      <c r="G1017" s="13">
        <v>970</v>
      </c>
      <c r="H1017" s="13">
        <v>1058</v>
      </c>
      <c r="I1017" s="13">
        <v>562</v>
      </c>
      <c r="J1017" s="13">
        <v>113</v>
      </c>
    </row>
    <row r="1018" spans="1:10" x14ac:dyDescent="0.25">
      <c r="A1018" s="11">
        <v>2021</v>
      </c>
      <c r="B1018" s="11" t="s">
        <v>249</v>
      </c>
      <c r="C1018" s="13">
        <v>171</v>
      </c>
      <c r="D1018" s="13">
        <v>0</v>
      </c>
      <c r="E1018" s="13">
        <v>2</v>
      </c>
      <c r="F1018" s="13">
        <v>10</v>
      </c>
      <c r="G1018" s="13">
        <v>58</v>
      </c>
      <c r="H1018" s="13">
        <v>54</v>
      </c>
      <c r="I1018" s="13">
        <v>35</v>
      </c>
      <c r="J1018" s="13">
        <v>12</v>
      </c>
    </row>
    <row r="1019" spans="1:10" x14ac:dyDescent="0.25">
      <c r="A1019" s="11">
        <v>2021</v>
      </c>
      <c r="B1019" s="11" t="s">
        <v>250</v>
      </c>
      <c r="C1019" s="13">
        <v>1194</v>
      </c>
      <c r="D1019" s="13">
        <v>0</v>
      </c>
      <c r="E1019" s="13">
        <v>8</v>
      </c>
      <c r="F1019" s="13">
        <v>142</v>
      </c>
      <c r="G1019" s="13">
        <v>353</v>
      </c>
      <c r="H1019" s="13">
        <v>402</v>
      </c>
      <c r="I1019" s="13">
        <v>238</v>
      </c>
      <c r="J1019" s="13">
        <v>51</v>
      </c>
    </row>
    <row r="1020" spans="1:10" x14ac:dyDescent="0.25">
      <c r="A1020" s="11">
        <v>2021</v>
      </c>
      <c r="B1020" s="11" t="s">
        <v>251</v>
      </c>
      <c r="C1020" s="13">
        <v>1647</v>
      </c>
      <c r="D1020" s="13">
        <v>0</v>
      </c>
      <c r="E1020" s="13">
        <v>27</v>
      </c>
      <c r="F1020" s="13">
        <v>174</v>
      </c>
      <c r="G1020" s="13">
        <v>453</v>
      </c>
      <c r="H1020" s="13">
        <v>609</v>
      </c>
      <c r="I1020" s="13">
        <v>335</v>
      </c>
      <c r="J1020" s="13">
        <v>49</v>
      </c>
    </row>
    <row r="1021" spans="1:10" x14ac:dyDescent="0.25">
      <c r="A1021" s="11">
        <v>2021</v>
      </c>
      <c r="B1021" s="11" t="s">
        <v>252</v>
      </c>
      <c r="C1021" s="13">
        <v>852</v>
      </c>
      <c r="D1021" s="13">
        <v>1</v>
      </c>
      <c r="E1021" s="13">
        <v>22</v>
      </c>
      <c r="F1021" s="13">
        <v>102</v>
      </c>
      <c r="G1021" s="13">
        <v>234</v>
      </c>
      <c r="H1021" s="13">
        <v>306</v>
      </c>
      <c r="I1021" s="13">
        <v>157</v>
      </c>
      <c r="J1021" s="13">
        <v>30</v>
      </c>
    </row>
    <row r="1022" spans="1:10" x14ac:dyDescent="0.25">
      <c r="A1022" s="11">
        <v>2021</v>
      </c>
      <c r="B1022" s="11" t="s">
        <v>253</v>
      </c>
      <c r="C1022" s="13">
        <v>200</v>
      </c>
      <c r="D1022" s="13">
        <v>0</v>
      </c>
      <c r="E1022" s="13">
        <v>4</v>
      </c>
      <c r="F1022" s="13">
        <v>21</v>
      </c>
      <c r="G1022" s="13">
        <v>62</v>
      </c>
      <c r="H1022" s="13">
        <v>63</v>
      </c>
      <c r="I1022" s="13">
        <v>38</v>
      </c>
      <c r="J1022" s="13">
        <v>12</v>
      </c>
    </row>
    <row r="1023" spans="1:10" x14ac:dyDescent="0.25">
      <c r="A1023" s="11">
        <v>2021</v>
      </c>
      <c r="B1023" s="11" t="s">
        <v>254</v>
      </c>
      <c r="C1023" s="13">
        <v>774</v>
      </c>
      <c r="D1023" s="13">
        <v>0</v>
      </c>
      <c r="E1023" s="13">
        <v>21</v>
      </c>
      <c r="F1023" s="13">
        <v>117</v>
      </c>
      <c r="G1023" s="13">
        <v>204</v>
      </c>
      <c r="H1023" s="13">
        <v>262</v>
      </c>
      <c r="I1023" s="13">
        <v>149</v>
      </c>
      <c r="J1023" s="13">
        <v>21</v>
      </c>
    </row>
    <row r="1024" spans="1:10" x14ac:dyDescent="0.25">
      <c r="A1024" s="11">
        <v>2021</v>
      </c>
      <c r="B1024" s="11" t="s">
        <v>255</v>
      </c>
      <c r="C1024" s="13">
        <v>3109</v>
      </c>
      <c r="D1024" s="13">
        <v>0</v>
      </c>
      <c r="E1024" s="13">
        <v>55</v>
      </c>
      <c r="F1024" s="13">
        <v>333</v>
      </c>
      <c r="G1024" s="13">
        <v>804</v>
      </c>
      <c r="H1024" s="13">
        <v>1122</v>
      </c>
      <c r="I1024" s="13">
        <v>658</v>
      </c>
      <c r="J1024" s="13">
        <v>137</v>
      </c>
    </row>
    <row r="1025" spans="1:10" x14ac:dyDescent="0.25">
      <c r="A1025" s="11">
        <v>2021</v>
      </c>
      <c r="B1025" s="11" t="s">
        <v>256</v>
      </c>
      <c r="C1025" s="13">
        <v>670</v>
      </c>
      <c r="D1025" s="13">
        <v>0</v>
      </c>
      <c r="E1025" s="13">
        <v>22</v>
      </c>
      <c r="F1025" s="13">
        <v>55</v>
      </c>
      <c r="G1025" s="13">
        <v>159</v>
      </c>
      <c r="H1025" s="13">
        <v>239</v>
      </c>
      <c r="I1025" s="13">
        <v>160</v>
      </c>
      <c r="J1025" s="13">
        <v>35</v>
      </c>
    </row>
    <row r="1026" spans="1:10" x14ac:dyDescent="0.25">
      <c r="A1026" s="11">
        <v>2021</v>
      </c>
      <c r="B1026" s="11" t="s">
        <v>257</v>
      </c>
      <c r="C1026" s="13">
        <v>769</v>
      </c>
      <c r="D1026" s="13">
        <v>0</v>
      </c>
      <c r="E1026" s="13">
        <v>20</v>
      </c>
      <c r="F1026" s="13">
        <v>102</v>
      </c>
      <c r="G1026" s="13">
        <v>225</v>
      </c>
      <c r="H1026" s="13">
        <v>276</v>
      </c>
      <c r="I1026" s="13">
        <v>125</v>
      </c>
      <c r="J1026" s="13">
        <v>21</v>
      </c>
    </row>
    <row r="1027" spans="1:10" x14ac:dyDescent="0.25">
      <c r="A1027" s="11">
        <v>2021</v>
      </c>
      <c r="B1027" s="11" t="s">
        <v>258</v>
      </c>
      <c r="C1027" s="13">
        <v>1727</v>
      </c>
      <c r="D1027" s="13">
        <v>0</v>
      </c>
      <c r="E1027" s="13">
        <v>36</v>
      </c>
      <c r="F1027" s="13">
        <v>197</v>
      </c>
      <c r="G1027" s="13">
        <v>462</v>
      </c>
      <c r="H1027" s="13">
        <v>608</v>
      </c>
      <c r="I1027" s="13">
        <v>358</v>
      </c>
      <c r="J1027" s="13">
        <v>66</v>
      </c>
    </row>
    <row r="1028" spans="1:10" x14ac:dyDescent="0.25">
      <c r="A1028" s="11">
        <v>2022</v>
      </c>
      <c r="B1028" s="11" t="s">
        <v>11</v>
      </c>
      <c r="C1028" s="13">
        <v>46959</v>
      </c>
      <c r="D1028" s="13">
        <v>3</v>
      </c>
      <c r="E1028" s="13">
        <v>1090</v>
      </c>
      <c r="F1028" s="13">
        <v>5534</v>
      </c>
      <c r="G1028" s="13">
        <v>12303</v>
      </c>
      <c r="H1028" s="13">
        <v>16273</v>
      </c>
      <c r="I1028" s="13">
        <v>9537</v>
      </c>
      <c r="J1028" s="13">
        <v>2219</v>
      </c>
    </row>
    <row r="1029" spans="1:10" x14ac:dyDescent="0.25">
      <c r="A1029" s="11">
        <v>2022</v>
      </c>
      <c r="B1029" s="11" t="s">
        <v>227</v>
      </c>
      <c r="C1029" s="13">
        <v>1939</v>
      </c>
      <c r="D1029" s="13">
        <v>1</v>
      </c>
      <c r="E1029" s="13">
        <v>25</v>
      </c>
      <c r="F1029" s="13">
        <v>205</v>
      </c>
      <c r="G1029" s="13">
        <v>498</v>
      </c>
      <c r="H1029" s="13">
        <v>698</v>
      </c>
      <c r="I1029" s="13">
        <v>426</v>
      </c>
      <c r="J1029" s="13">
        <v>86</v>
      </c>
    </row>
    <row r="1030" spans="1:10" x14ac:dyDescent="0.25">
      <c r="A1030" s="11">
        <v>2022</v>
      </c>
      <c r="B1030" s="11" t="s">
        <v>228</v>
      </c>
      <c r="C1030" s="13">
        <v>2159</v>
      </c>
      <c r="D1030" s="13">
        <v>0</v>
      </c>
      <c r="E1030" s="13">
        <v>29</v>
      </c>
      <c r="F1030" s="13">
        <v>202</v>
      </c>
      <c r="G1030" s="13">
        <v>565</v>
      </c>
      <c r="H1030" s="13">
        <v>853</v>
      </c>
      <c r="I1030" s="13">
        <v>417</v>
      </c>
      <c r="J1030" s="13">
        <v>93</v>
      </c>
    </row>
    <row r="1031" spans="1:10" x14ac:dyDescent="0.25">
      <c r="A1031" s="11">
        <v>2022</v>
      </c>
      <c r="B1031" s="11" t="s">
        <v>229</v>
      </c>
      <c r="C1031" s="13">
        <v>918</v>
      </c>
      <c r="D1031" s="13">
        <v>0</v>
      </c>
      <c r="E1031" s="13">
        <v>29</v>
      </c>
      <c r="F1031" s="13">
        <v>116</v>
      </c>
      <c r="G1031" s="13">
        <v>291</v>
      </c>
      <c r="H1031" s="13">
        <v>309</v>
      </c>
      <c r="I1031" s="13">
        <v>144</v>
      </c>
      <c r="J1031" s="13">
        <v>29</v>
      </c>
    </row>
    <row r="1032" spans="1:10" x14ac:dyDescent="0.25">
      <c r="A1032" s="11">
        <v>2022</v>
      </c>
      <c r="B1032" s="11" t="s">
        <v>230</v>
      </c>
      <c r="C1032" s="13">
        <v>579</v>
      </c>
      <c r="D1032" s="13">
        <v>0</v>
      </c>
      <c r="E1032" s="13">
        <v>6</v>
      </c>
      <c r="F1032" s="13">
        <v>58</v>
      </c>
      <c r="G1032" s="13">
        <v>153</v>
      </c>
      <c r="H1032" s="13">
        <v>201</v>
      </c>
      <c r="I1032" s="13">
        <v>132</v>
      </c>
      <c r="J1032" s="13">
        <v>29</v>
      </c>
    </row>
    <row r="1033" spans="1:10" x14ac:dyDescent="0.25">
      <c r="A1033" s="11">
        <v>2022</v>
      </c>
      <c r="B1033" s="11" t="s">
        <v>231</v>
      </c>
      <c r="C1033" s="13">
        <v>4405</v>
      </c>
      <c r="D1033" s="13">
        <v>0</v>
      </c>
      <c r="E1033" s="13">
        <v>73</v>
      </c>
      <c r="F1033" s="13">
        <v>289</v>
      </c>
      <c r="G1033" s="13">
        <v>800</v>
      </c>
      <c r="H1033" s="13">
        <v>1666</v>
      </c>
      <c r="I1033" s="13">
        <v>1261</v>
      </c>
      <c r="J1033" s="13">
        <v>316</v>
      </c>
    </row>
    <row r="1034" spans="1:10" x14ac:dyDescent="0.25">
      <c r="A1034" s="11">
        <v>2022</v>
      </c>
      <c r="B1034" s="11" t="s">
        <v>232</v>
      </c>
      <c r="C1034" s="13">
        <v>444</v>
      </c>
      <c r="D1034" s="13">
        <v>0</v>
      </c>
      <c r="E1034" s="13">
        <v>12</v>
      </c>
      <c r="F1034" s="13">
        <v>70</v>
      </c>
      <c r="G1034" s="13">
        <v>149</v>
      </c>
      <c r="H1034" s="13">
        <v>118</v>
      </c>
      <c r="I1034" s="13">
        <v>83</v>
      </c>
      <c r="J1034" s="13">
        <v>12</v>
      </c>
    </row>
    <row r="1035" spans="1:10" x14ac:dyDescent="0.25">
      <c r="A1035" s="11">
        <v>2022</v>
      </c>
      <c r="B1035" s="11" t="s">
        <v>233</v>
      </c>
      <c r="C1035" s="13">
        <v>1093</v>
      </c>
      <c r="D1035" s="13">
        <v>0</v>
      </c>
      <c r="E1035" s="13">
        <v>29</v>
      </c>
      <c r="F1035" s="13">
        <v>152</v>
      </c>
      <c r="G1035" s="13">
        <v>341</v>
      </c>
      <c r="H1035" s="13">
        <v>379</v>
      </c>
      <c r="I1035" s="13">
        <v>159</v>
      </c>
      <c r="J1035" s="13">
        <v>33</v>
      </c>
    </row>
    <row r="1036" spans="1:10" x14ac:dyDescent="0.25">
      <c r="A1036" s="11">
        <v>2022</v>
      </c>
      <c r="B1036" s="11" t="s">
        <v>234</v>
      </c>
      <c r="C1036" s="13">
        <v>1340</v>
      </c>
      <c r="D1036" s="13">
        <v>0</v>
      </c>
      <c r="E1036" s="13">
        <v>56</v>
      </c>
      <c r="F1036" s="13">
        <v>190</v>
      </c>
      <c r="G1036" s="13">
        <v>338</v>
      </c>
      <c r="H1036" s="13">
        <v>461</v>
      </c>
      <c r="I1036" s="13">
        <v>233</v>
      </c>
      <c r="J1036" s="13">
        <v>62</v>
      </c>
    </row>
    <row r="1037" spans="1:10" x14ac:dyDescent="0.25">
      <c r="A1037" s="11">
        <v>2022</v>
      </c>
      <c r="B1037" s="11" t="s">
        <v>235</v>
      </c>
      <c r="C1037" s="13">
        <v>1019</v>
      </c>
      <c r="D1037" s="13">
        <v>0</v>
      </c>
      <c r="E1037" s="13">
        <v>34</v>
      </c>
      <c r="F1037" s="13">
        <v>163</v>
      </c>
      <c r="G1037" s="13">
        <v>333</v>
      </c>
      <c r="H1037" s="13">
        <v>311</v>
      </c>
      <c r="I1037" s="13">
        <v>147</v>
      </c>
      <c r="J1037" s="13">
        <v>31</v>
      </c>
    </row>
    <row r="1038" spans="1:10" x14ac:dyDescent="0.25">
      <c r="A1038" s="11">
        <v>2022</v>
      </c>
      <c r="B1038" s="11" t="s">
        <v>236</v>
      </c>
      <c r="C1038" s="13">
        <v>849</v>
      </c>
      <c r="D1038" s="13">
        <v>0</v>
      </c>
      <c r="E1038" s="13">
        <v>8</v>
      </c>
      <c r="F1038" s="13">
        <v>43</v>
      </c>
      <c r="G1038" s="13">
        <v>152</v>
      </c>
      <c r="H1038" s="13">
        <v>315</v>
      </c>
      <c r="I1038" s="13">
        <v>273</v>
      </c>
      <c r="J1038" s="13">
        <v>58</v>
      </c>
    </row>
    <row r="1039" spans="1:10" x14ac:dyDescent="0.25">
      <c r="A1039" s="11">
        <v>2022</v>
      </c>
      <c r="B1039" s="11" t="s">
        <v>237</v>
      </c>
      <c r="C1039" s="13">
        <v>1022</v>
      </c>
      <c r="D1039" s="13">
        <v>0</v>
      </c>
      <c r="E1039" s="13">
        <v>14</v>
      </c>
      <c r="F1039" s="13">
        <v>103</v>
      </c>
      <c r="G1039" s="13">
        <v>244</v>
      </c>
      <c r="H1039" s="13">
        <v>369</v>
      </c>
      <c r="I1039" s="13">
        <v>227</v>
      </c>
      <c r="J1039" s="13">
        <v>65</v>
      </c>
    </row>
    <row r="1040" spans="1:10" x14ac:dyDescent="0.25">
      <c r="A1040" s="11">
        <v>2022</v>
      </c>
      <c r="B1040" s="11" t="s">
        <v>238</v>
      </c>
      <c r="C1040" s="13">
        <v>745</v>
      </c>
      <c r="D1040" s="13">
        <v>0</v>
      </c>
      <c r="E1040" s="13">
        <v>7</v>
      </c>
      <c r="F1040" s="13">
        <v>39</v>
      </c>
      <c r="G1040" s="13">
        <v>135</v>
      </c>
      <c r="H1040" s="13">
        <v>302</v>
      </c>
      <c r="I1040" s="13">
        <v>210</v>
      </c>
      <c r="J1040" s="13">
        <v>52</v>
      </c>
    </row>
    <row r="1041" spans="1:10" x14ac:dyDescent="0.25">
      <c r="A1041" s="11">
        <v>2022</v>
      </c>
      <c r="B1041" s="11" t="s">
        <v>239</v>
      </c>
      <c r="C1041" s="13">
        <v>1413</v>
      </c>
      <c r="D1041" s="13">
        <v>0</v>
      </c>
      <c r="E1041" s="13">
        <v>41</v>
      </c>
      <c r="F1041" s="13">
        <v>194</v>
      </c>
      <c r="G1041" s="13">
        <v>406</v>
      </c>
      <c r="H1041" s="13">
        <v>471</v>
      </c>
      <c r="I1041" s="13">
        <v>239</v>
      </c>
      <c r="J1041" s="13">
        <v>62</v>
      </c>
    </row>
    <row r="1042" spans="1:10" x14ac:dyDescent="0.25">
      <c r="A1042" s="11">
        <v>2022</v>
      </c>
      <c r="B1042" s="11" t="s">
        <v>240</v>
      </c>
      <c r="C1042" s="13">
        <v>2990</v>
      </c>
      <c r="D1042" s="13">
        <v>0</v>
      </c>
      <c r="E1042" s="13">
        <v>96</v>
      </c>
      <c r="F1042" s="13">
        <v>445</v>
      </c>
      <c r="G1042" s="13">
        <v>861</v>
      </c>
      <c r="H1042" s="13">
        <v>942</v>
      </c>
      <c r="I1042" s="13">
        <v>530</v>
      </c>
      <c r="J1042" s="13">
        <v>116</v>
      </c>
    </row>
    <row r="1043" spans="1:10" x14ac:dyDescent="0.25">
      <c r="A1043" s="11">
        <v>2022</v>
      </c>
      <c r="B1043" s="11" t="s">
        <v>241</v>
      </c>
      <c r="C1043" s="13">
        <v>6112</v>
      </c>
      <c r="D1043" s="13">
        <v>2</v>
      </c>
      <c r="E1043" s="13">
        <v>161</v>
      </c>
      <c r="F1043" s="13">
        <v>762</v>
      </c>
      <c r="G1043" s="13">
        <v>1641</v>
      </c>
      <c r="H1043" s="13">
        <v>2000</v>
      </c>
      <c r="I1043" s="13">
        <v>1219</v>
      </c>
      <c r="J1043" s="13">
        <v>327</v>
      </c>
    </row>
    <row r="1044" spans="1:10" x14ac:dyDescent="0.25">
      <c r="A1044" s="11">
        <v>2022</v>
      </c>
      <c r="B1044" s="11" t="s">
        <v>242</v>
      </c>
      <c r="C1044" s="13">
        <v>1909</v>
      </c>
      <c r="D1044" s="13">
        <v>0</v>
      </c>
      <c r="E1044" s="13">
        <v>49</v>
      </c>
      <c r="F1044" s="13">
        <v>235</v>
      </c>
      <c r="G1044" s="13">
        <v>527</v>
      </c>
      <c r="H1044" s="13">
        <v>611</v>
      </c>
      <c r="I1044" s="13">
        <v>395</v>
      </c>
      <c r="J1044" s="13">
        <v>92</v>
      </c>
    </row>
    <row r="1045" spans="1:10" x14ac:dyDescent="0.25">
      <c r="A1045" s="11">
        <v>2022</v>
      </c>
      <c r="B1045" s="11" t="s">
        <v>243</v>
      </c>
      <c r="C1045" s="13">
        <v>654</v>
      </c>
      <c r="D1045" s="13">
        <v>0</v>
      </c>
      <c r="E1045" s="13">
        <v>15</v>
      </c>
      <c r="F1045" s="13">
        <v>82</v>
      </c>
      <c r="G1045" s="13">
        <v>194</v>
      </c>
      <c r="H1045" s="13">
        <v>217</v>
      </c>
      <c r="I1045" s="13">
        <v>126</v>
      </c>
      <c r="J1045" s="13">
        <v>20</v>
      </c>
    </row>
    <row r="1046" spans="1:10" x14ac:dyDescent="0.25">
      <c r="A1046" s="11">
        <v>2022</v>
      </c>
      <c r="B1046" s="11" t="s">
        <v>244</v>
      </c>
      <c r="C1046" s="13">
        <v>1040</v>
      </c>
      <c r="D1046" s="13">
        <v>0</v>
      </c>
      <c r="E1046" s="13">
        <v>20</v>
      </c>
      <c r="F1046" s="13">
        <v>128</v>
      </c>
      <c r="G1046" s="13">
        <v>248</v>
      </c>
      <c r="H1046" s="13">
        <v>385</v>
      </c>
      <c r="I1046" s="13">
        <v>218</v>
      </c>
      <c r="J1046" s="13">
        <v>41</v>
      </c>
    </row>
    <row r="1047" spans="1:10" x14ac:dyDescent="0.25">
      <c r="A1047" s="11">
        <v>2022</v>
      </c>
      <c r="B1047" s="11" t="s">
        <v>245</v>
      </c>
      <c r="C1047" s="13">
        <v>736</v>
      </c>
      <c r="D1047" s="13">
        <v>0</v>
      </c>
      <c r="E1047" s="13">
        <v>16</v>
      </c>
      <c r="F1047" s="13">
        <v>92</v>
      </c>
      <c r="G1047" s="13">
        <v>219</v>
      </c>
      <c r="H1047" s="13">
        <v>238</v>
      </c>
      <c r="I1047" s="13">
        <v>136</v>
      </c>
      <c r="J1047" s="13">
        <v>35</v>
      </c>
    </row>
    <row r="1048" spans="1:10" x14ac:dyDescent="0.25">
      <c r="A1048" s="11">
        <v>2022</v>
      </c>
      <c r="B1048" s="11" t="s">
        <v>246</v>
      </c>
      <c r="C1048" s="13">
        <v>182</v>
      </c>
      <c r="D1048" s="13">
        <v>0</v>
      </c>
      <c r="E1048" s="13">
        <v>7</v>
      </c>
      <c r="F1048" s="13">
        <v>13</v>
      </c>
      <c r="G1048" s="13">
        <v>45</v>
      </c>
      <c r="H1048" s="13">
        <v>81</v>
      </c>
      <c r="I1048" s="13">
        <v>31</v>
      </c>
      <c r="J1048" s="13">
        <v>5</v>
      </c>
    </row>
    <row r="1049" spans="1:10" x14ac:dyDescent="0.25">
      <c r="A1049" s="11">
        <v>2022</v>
      </c>
      <c r="B1049" s="11" t="s">
        <v>247</v>
      </c>
      <c r="C1049" s="13">
        <v>1054</v>
      </c>
      <c r="D1049" s="13">
        <v>0</v>
      </c>
      <c r="E1049" s="13">
        <v>38</v>
      </c>
      <c r="F1049" s="13">
        <v>160</v>
      </c>
      <c r="G1049" s="13">
        <v>289</v>
      </c>
      <c r="H1049" s="13">
        <v>358</v>
      </c>
      <c r="I1049" s="13">
        <v>173</v>
      </c>
      <c r="J1049" s="13">
        <v>36</v>
      </c>
    </row>
    <row r="1050" spans="1:10" x14ac:dyDescent="0.25">
      <c r="A1050" s="11">
        <v>2022</v>
      </c>
      <c r="B1050" s="11" t="s">
        <v>248</v>
      </c>
      <c r="C1050" s="13">
        <v>3146</v>
      </c>
      <c r="D1050" s="13">
        <v>0</v>
      </c>
      <c r="E1050" s="13">
        <v>87</v>
      </c>
      <c r="F1050" s="13">
        <v>450</v>
      </c>
      <c r="G1050" s="13">
        <v>928</v>
      </c>
      <c r="H1050" s="13">
        <v>1040</v>
      </c>
      <c r="I1050" s="13">
        <v>524</v>
      </c>
      <c r="J1050" s="13">
        <v>117</v>
      </c>
    </row>
    <row r="1051" spans="1:10" x14ac:dyDescent="0.25">
      <c r="A1051" s="11">
        <v>2022</v>
      </c>
      <c r="B1051" s="11" t="s">
        <v>249</v>
      </c>
      <c r="C1051" s="13">
        <v>163</v>
      </c>
      <c r="D1051" s="13">
        <v>0</v>
      </c>
      <c r="E1051" s="13">
        <v>2</v>
      </c>
      <c r="F1051" s="13">
        <v>19</v>
      </c>
      <c r="G1051" s="13">
        <v>36</v>
      </c>
      <c r="H1051" s="13">
        <v>62</v>
      </c>
      <c r="I1051" s="13">
        <v>33</v>
      </c>
      <c r="J1051" s="13">
        <v>11</v>
      </c>
    </row>
    <row r="1052" spans="1:10" x14ac:dyDescent="0.25">
      <c r="A1052" s="11">
        <v>2022</v>
      </c>
      <c r="B1052" s="11" t="s">
        <v>250</v>
      </c>
      <c r="C1052" s="13">
        <v>1153</v>
      </c>
      <c r="D1052" s="13">
        <v>0</v>
      </c>
      <c r="E1052" s="13">
        <v>24</v>
      </c>
      <c r="F1052" s="13">
        <v>147</v>
      </c>
      <c r="G1052" s="13">
        <v>304</v>
      </c>
      <c r="H1052" s="13">
        <v>400</v>
      </c>
      <c r="I1052" s="13">
        <v>235</v>
      </c>
      <c r="J1052" s="13">
        <v>43</v>
      </c>
    </row>
    <row r="1053" spans="1:10" x14ac:dyDescent="0.25">
      <c r="A1053" s="11">
        <v>2022</v>
      </c>
      <c r="B1053" s="11" t="s">
        <v>251</v>
      </c>
      <c r="C1053" s="13">
        <v>1754</v>
      </c>
      <c r="D1053" s="13">
        <v>0</v>
      </c>
      <c r="E1053" s="13">
        <v>27</v>
      </c>
      <c r="F1053" s="13">
        <v>167</v>
      </c>
      <c r="G1053" s="13">
        <v>497</v>
      </c>
      <c r="H1053" s="13">
        <v>633</v>
      </c>
      <c r="I1053" s="13">
        <v>360</v>
      </c>
      <c r="J1053" s="13">
        <v>70</v>
      </c>
    </row>
    <row r="1054" spans="1:10" x14ac:dyDescent="0.25">
      <c r="A1054" s="11">
        <v>2022</v>
      </c>
      <c r="B1054" s="11" t="s">
        <v>252</v>
      </c>
      <c r="C1054" s="13">
        <v>847</v>
      </c>
      <c r="D1054" s="13">
        <v>0</v>
      </c>
      <c r="E1054" s="13">
        <v>20</v>
      </c>
      <c r="F1054" s="13">
        <v>112</v>
      </c>
      <c r="G1054" s="13">
        <v>212</v>
      </c>
      <c r="H1054" s="13">
        <v>294</v>
      </c>
      <c r="I1054" s="13">
        <v>166</v>
      </c>
      <c r="J1054" s="13">
        <v>43</v>
      </c>
    </row>
    <row r="1055" spans="1:10" x14ac:dyDescent="0.25">
      <c r="A1055" s="11">
        <v>2022</v>
      </c>
      <c r="B1055" s="11" t="s">
        <v>253</v>
      </c>
      <c r="C1055" s="13">
        <v>207</v>
      </c>
      <c r="D1055" s="13">
        <v>0</v>
      </c>
      <c r="E1055" s="13">
        <v>4</v>
      </c>
      <c r="F1055" s="13">
        <v>23</v>
      </c>
      <c r="G1055" s="13">
        <v>64</v>
      </c>
      <c r="H1055" s="13">
        <v>73</v>
      </c>
      <c r="I1055" s="13">
        <v>37</v>
      </c>
      <c r="J1055" s="13">
        <v>6</v>
      </c>
    </row>
    <row r="1056" spans="1:10" x14ac:dyDescent="0.25">
      <c r="A1056" s="11">
        <v>2022</v>
      </c>
      <c r="B1056" s="11" t="s">
        <v>254</v>
      </c>
      <c r="C1056" s="13">
        <v>739</v>
      </c>
      <c r="D1056" s="13">
        <v>0</v>
      </c>
      <c r="E1056" s="13">
        <v>20</v>
      </c>
      <c r="F1056" s="13">
        <v>89</v>
      </c>
      <c r="G1056" s="13">
        <v>197</v>
      </c>
      <c r="H1056" s="13">
        <v>255</v>
      </c>
      <c r="I1056" s="13">
        <v>145</v>
      </c>
      <c r="J1056" s="13">
        <v>33</v>
      </c>
    </row>
    <row r="1057" spans="1:10" x14ac:dyDescent="0.25">
      <c r="A1057" s="11">
        <v>2022</v>
      </c>
      <c r="B1057" s="11" t="s">
        <v>255</v>
      </c>
      <c r="C1057" s="13">
        <v>3163</v>
      </c>
      <c r="D1057" s="13">
        <v>0</v>
      </c>
      <c r="E1057" s="13">
        <v>61</v>
      </c>
      <c r="F1057" s="13">
        <v>369</v>
      </c>
      <c r="G1057" s="13">
        <v>824</v>
      </c>
      <c r="H1057" s="13">
        <v>1111</v>
      </c>
      <c r="I1057" s="13">
        <v>662</v>
      </c>
      <c r="J1057" s="13">
        <v>136</v>
      </c>
    </row>
    <row r="1058" spans="1:10" x14ac:dyDescent="0.25">
      <c r="A1058" s="11">
        <v>2022</v>
      </c>
      <c r="B1058" s="11" t="s">
        <v>256</v>
      </c>
      <c r="C1058" s="13">
        <v>673</v>
      </c>
      <c r="D1058" s="13">
        <v>0</v>
      </c>
      <c r="E1058" s="13">
        <v>14</v>
      </c>
      <c r="F1058" s="13">
        <v>66</v>
      </c>
      <c r="G1058" s="13">
        <v>135</v>
      </c>
      <c r="H1058" s="13">
        <v>256</v>
      </c>
      <c r="I1058" s="13">
        <v>159</v>
      </c>
      <c r="J1058" s="13">
        <v>43</v>
      </c>
    </row>
    <row r="1059" spans="1:10" x14ac:dyDescent="0.25">
      <c r="A1059" s="11">
        <v>2022</v>
      </c>
      <c r="B1059" s="11" t="s">
        <v>257</v>
      </c>
      <c r="C1059" s="13">
        <v>852</v>
      </c>
      <c r="D1059" s="13">
        <v>0</v>
      </c>
      <c r="E1059" s="13">
        <v>30</v>
      </c>
      <c r="F1059" s="13">
        <v>133</v>
      </c>
      <c r="G1059" s="13">
        <v>241</v>
      </c>
      <c r="H1059" s="13">
        <v>279</v>
      </c>
      <c r="I1059" s="13">
        <v>132</v>
      </c>
      <c r="J1059" s="13">
        <v>37</v>
      </c>
    </row>
    <row r="1060" spans="1:10" x14ac:dyDescent="0.25">
      <c r="A1060" s="11">
        <v>2022</v>
      </c>
      <c r="B1060" s="11" t="s">
        <v>258</v>
      </c>
      <c r="C1060" s="13">
        <v>1660</v>
      </c>
      <c r="D1060" s="13">
        <v>0</v>
      </c>
      <c r="E1060" s="13">
        <v>36</v>
      </c>
      <c r="F1060" s="13">
        <v>218</v>
      </c>
      <c r="G1060" s="13">
        <v>436</v>
      </c>
      <c r="H1060" s="13">
        <v>585</v>
      </c>
      <c r="I1060" s="13">
        <v>305</v>
      </c>
      <c r="J1060" s="13">
        <v>80</v>
      </c>
    </row>
    <row r="1061" spans="1:10" x14ac:dyDescent="0.25">
      <c r="A1061" s="11">
        <v>2023</v>
      </c>
      <c r="B1061" s="11" t="s">
        <v>11</v>
      </c>
      <c r="C1061" s="13">
        <v>45935</v>
      </c>
      <c r="D1061" s="13">
        <v>7</v>
      </c>
      <c r="E1061" s="13">
        <v>1139</v>
      </c>
      <c r="F1061" s="13">
        <v>5283</v>
      </c>
      <c r="G1061" s="13">
        <v>11765</v>
      </c>
      <c r="H1061" s="13">
        <v>16238</v>
      </c>
      <c r="I1061" s="13">
        <v>9330</v>
      </c>
      <c r="J1061" s="13">
        <v>2173</v>
      </c>
    </row>
    <row r="1062" spans="1:10" x14ac:dyDescent="0.25">
      <c r="A1062" s="11">
        <v>2023</v>
      </c>
      <c r="B1062" s="11" t="s">
        <v>227</v>
      </c>
      <c r="C1062" s="13">
        <v>2092</v>
      </c>
      <c r="D1062" s="13">
        <v>0</v>
      </c>
      <c r="E1062" s="13">
        <v>40</v>
      </c>
      <c r="F1062" s="13">
        <v>214</v>
      </c>
      <c r="G1062" s="13">
        <v>522</v>
      </c>
      <c r="H1062" s="13">
        <v>773</v>
      </c>
      <c r="I1062" s="13">
        <v>427</v>
      </c>
      <c r="J1062" s="13">
        <v>116</v>
      </c>
    </row>
    <row r="1063" spans="1:10" x14ac:dyDescent="0.25">
      <c r="A1063" s="11">
        <v>2023</v>
      </c>
      <c r="B1063" s="11" t="s">
        <v>228</v>
      </c>
      <c r="C1063" s="13">
        <v>2072</v>
      </c>
      <c r="D1063" s="13">
        <v>0</v>
      </c>
      <c r="E1063" s="13">
        <v>30</v>
      </c>
      <c r="F1063" s="13">
        <v>192</v>
      </c>
      <c r="G1063" s="13">
        <v>540</v>
      </c>
      <c r="H1063" s="13">
        <v>800</v>
      </c>
      <c r="I1063" s="13">
        <v>414</v>
      </c>
      <c r="J1063" s="13">
        <v>96</v>
      </c>
    </row>
    <row r="1064" spans="1:10" x14ac:dyDescent="0.25">
      <c r="A1064" s="11">
        <v>2023</v>
      </c>
      <c r="B1064" s="11" t="s">
        <v>229</v>
      </c>
      <c r="C1064" s="13">
        <v>821</v>
      </c>
      <c r="D1064" s="13">
        <v>0</v>
      </c>
      <c r="E1064" s="13">
        <v>30</v>
      </c>
      <c r="F1064" s="13">
        <v>112</v>
      </c>
      <c r="G1064" s="13">
        <v>266</v>
      </c>
      <c r="H1064" s="13">
        <v>249</v>
      </c>
      <c r="I1064" s="13">
        <v>136</v>
      </c>
      <c r="J1064" s="13">
        <v>28</v>
      </c>
    </row>
    <row r="1065" spans="1:10" x14ac:dyDescent="0.25">
      <c r="A1065" s="11">
        <v>2023</v>
      </c>
      <c r="B1065" s="11" t="s">
        <v>230</v>
      </c>
      <c r="C1065" s="13">
        <v>579</v>
      </c>
      <c r="D1065" s="13">
        <v>0</v>
      </c>
      <c r="E1065" s="13">
        <v>19</v>
      </c>
      <c r="F1065" s="13">
        <v>66</v>
      </c>
      <c r="G1065" s="13">
        <v>133</v>
      </c>
      <c r="H1065" s="13">
        <v>218</v>
      </c>
      <c r="I1065" s="13">
        <v>115</v>
      </c>
      <c r="J1065" s="13">
        <v>28</v>
      </c>
    </row>
    <row r="1066" spans="1:10" x14ac:dyDescent="0.25">
      <c r="A1066" s="11">
        <v>2023</v>
      </c>
      <c r="B1066" s="11" t="s">
        <v>231</v>
      </c>
      <c r="C1066" s="13">
        <v>4194</v>
      </c>
      <c r="D1066" s="13">
        <v>1</v>
      </c>
      <c r="E1066" s="13">
        <v>66</v>
      </c>
      <c r="F1066" s="13">
        <v>303</v>
      </c>
      <c r="G1066" s="13">
        <v>738</v>
      </c>
      <c r="H1066" s="13">
        <v>1660</v>
      </c>
      <c r="I1066" s="13">
        <v>1168</v>
      </c>
      <c r="J1066" s="13">
        <v>258</v>
      </c>
    </row>
    <row r="1067" spans="1:10" x14ac:dyDescent="0.25">
      <c r="A1067" s="11">
        <v>2023</v>
      </c>
      <c r="B1067" s="11" t="s">
        <v>232</v>
      </c>
      <c r="C1067" s="13">
        <v>436</v>
      </c>
      <c r="D1067" s="13">
        <v>0</v>
      </c>
      <c r="E1067" s="13">
        <v>15</v>
      </c>
      <c r="F1067" s="13">
        <v>74</v>
      </c>
      <c r="G1067" s="13">
        <v>123</v>
      </c>
      <c r="H1067" s="13">
        <v>132</v>
      </c>
      <c r="I1067" s="13">
        <v>75</v>
      </c>
      <c r="J1067" s="13">
        <v>17</v>
      </c>
    </row>
    <row r="1068" spans="1:10" x14ac:dyDescent="0.25">
      <c r="A1068" s="11">
        <v>2023</v>
      </c>
      <c r="B1068" s="11" t="s">
        <v>233</v>
      </c>
      <c r="C1068" s="13">
        <v>1123</v>
      </c>
      <c r="D1068" s="13">
        <v>0</v>
      </c>
      <c r="E1068" s="13">
        <v>38</v>
      </c>
      <c r="F1068" s="13">
        <v>155</v>
      </c>
      <c r="G1068" s="13">
        <v>345</v>
      </c>
      <c r="H1068" s="13">
        <v>378</v>
      </c>
      <c r="I1068" s="13">
        <v>160</v>
      </c>
      <c r="J1068" s="13">
        <v>47</v>
      </c>
    </row>
    <row r="1069" spans="1:10" x14ac:dyDescent="0.25">
      <c r="A1069" s="11">
        <v>2023</v>
      </c>
      <c r="B1069" s="11" t="s">
        <v>234</v>
      </c>
      <c r="C1069" s="13">
        <v>1315</v>
      </c>
      <c r="D1069" s="13">
        <v>0</v>
      </c>
      <c r="E1069" s="13">
        <v>57</v>
      </c>
      <c r="F1069" s="13">
        <v>193</v>
      </c>
      <c r="G1069" s="13">
        <v>355</v>
      </c>
      <c r="H1069" s="13">
        <v>448</v>
      </c>
      <c r="I1069" s="13">
        <v>224</v>
      </c>
      <c r="J1069" s="13">
        <v>38</v>
      </c>
    </row>
    <row r="1070" spans="1:10" x14ac:dyDescent="0.25">
      <c r="A1070" s="11">
        <v>2023</v>
      </c>
      <c r="B1070" s="11" t="s">
        <v>235</v>
      </c>
      <c r="C1070" s="13">
        <v>1042</v>
      </c>
      <c r="D1070" s="13">
        <v>0</v>
      </c>
      <c r="E1070" s="13">
        <v>43</v>
      </c>
      <c r="F1070" s="13">
        <v>168</v>
      </c>
      <c r="G1070" s="13">
        <v>295</v>
      </c>
      <c r="H1070" s="13">
        <v>344</v>
      </c>
      <c r="I1070" s="13">
        <v>168</v>
      </c>
      <c r="J1070" s="13">
        <v>24</v>
      </c>
    </row>
    <row r="1071" spans="1:10" x14ac:dyDescent="0.25">
      <c r="A1071" s="11">
        <v>2023</v>
      </c>
      <c r="B1071" s="11" t="s">
        <v>236</v>
      </c>
      <c r="C1071" s="13">
        <v>826</v>
      </c>
      <c r="D1071" s="13">
        <v>0</v>
      </c>
      <c r="E1071" s="13">
        <v>4</v>
      </c>
      <c r="F1071" s="13">
        <v>46</v>
      </c>
      <c r="G1071" s="13">
        <v>129</v>
      </c>
      <c r="H1071" s="13">
        <v>319</v>
      </c>
      <c r="I1071" s="13">
        <v>265</v>
      </c>
      <c r="J1071" s="13">
        <v>63</v>
      </c>
    </row>
    <row r="1072" spans="1:10" x14ac:dyDescent="0.25">
      <c r="A1072" s="11">
        <v>2023</v>
      </c>
      <c r="B1072" s="11" t="s">
        <v>237</v>
      </c>
      <c r="C1072" s="13">
        <v>939</v>
      </c>
      <c r="D1072" s="13">
        <v>0</v>
      </c>
      <c r="E1072" s="13">
        <v>7</v>
      </c>
      <c r="F1072" s="13">
        <v>94</v>
      </c>
      <c r="G1072" s="13">
        <v>218</v>
      </c>
      <c r="H1072" s="13">
        <v>346</v>
      </c>
      <c r="I1072" s="13">
        <v>224</v>
      </c>
      <c r="J1072" s="13">
        <v>50</v>
      </c>
    </row>
    <row r="1073" spans="1:10" x14ac:dyDescent="0.25">
      <c r="A1073" s="11">
        <v>2023</v>
      </c>
      <c r="B1073" s="11" t="s">
        <v>238</v>
      </c>
      <c r="C1073" s="13">
        <v>799</v>
      </c>
      <c r="D1073" s="13">
        <v>0</v>
      </c>
      <c r="E1073" s="13">
        <v>10</v>
      </c>
      <c r="F1073" s="13">
        <v>37</v>
      </c>
      <c r="G1073" s="13">
        <v>138</v>
      </c>
      <c r="H1073" s="13">
        <v>332</v>
      </c>
      <c r="I1073" s="13">
        <v>234</v>
      </c>
      <c r="J1073" s="13">
        <v>48</v>
      </c>
    </row>
    <row r="1074" spans="1:10" x14ac:dyDescent="0.25">
      <c r="A1074" s="11">
        <v>2023</v>
      </c>
      <c r="B1074" s="11" t="s">
        <v>239</v>
      </c>
      <c r="C1074" s="13">
        <v>1316</v>
      </c>
      <c r="D1074" s="13">
        <v>1</v>
      </c>
      <c r="E1074" s="13">
        <v>34</v>
      </c>
      <c r="F1074" s="13">
        <v>166</v>
      </c>
      <c r="G1074" s="13">
        <v>360</v>
      </c>
      <c r="H1074" s="13">
        <v>475</v>
      </c>
      <c r="I1074" s="13">
        <v>228</v>
      </c>
      <c r="J1074" s="13">
        <v>52</v>
      </c>
    </row>
    <row r="1075" spans="1:10" x14ac:dyDescent="0.25">
      <c r="A1075" s="11">
        <v>2023</v>
      </c>
      <c r="B1075" s="11" t="s">
        <v>240</v>
      </c>
      <c r="C1075" s="13">
        <v>2939</v>
      </c>
      <c r="D1075" s="13">
        <v>1</v>
      </c>
      <c r="E1075" s="13">
        <v>101</v>
      </c>
      <c r="F1075" s="13">
        <v>418</v>
      </c>
      <c r="G1075" s="13">
        <v>840</v>
      </c>
      <c r="H1075" s="13">
        <v>952</v>
      </c>
      <c r="I1075" s="13">
        <v>519</v>
      </c>
      <c r="J1075" s="13">
        <v>108</v>
      </c>
    </row>
    <row r="1076" spans="1:10" x14ac:dyDescent="0.25">
      <c r="A1076" s="11">
        <v>2023</v>
      </c>
      <c r="B1076" s="11" t="s">
        <v>241</v>
      </c>
      <c r="C1076" s="13">
        <v>5977</v>
      </c>
      <c r="D1076" s="13">
        <v>1</v>
      </c>
      <c r="E1076" s="13">
        <v>142</v>
      </c>
      <c r="F1076" s="13">
        <v>680</v>
      </c>
      <c r="G1076" s="13">
        <v>1548</v>
      </c>
      <c r="H1076" s="13">
        <v>2076</v>
      </c>
      <c r="I1076" s="13">
        <v>1196</v>
      </c>
      <c r="J1076" s="13">
        <v>334</v>
      </c>
    </row>
    <row r="1077" spans="1:10" x14ac:dyDescent="0.25">
      <c r="A1077" s="11">
        <v>2023</v>
      </c>
      <c r="B1077" s="11" t="s">
        <v>242</v>
      </c>
      <c r="C1077" s="13">
        <v>1788</v>
      </c>
      <c r="D1077" s="13">
        <v>0</v>
      </c>
      <c r="E1077" s="13">
        <v>41</v>
      </c>
      <c r="F1077" s="13">
        <v>229</v>
      </c>
      <c r="G1077" s="13">
        <v>488</v>
      </c>
      <c r="H1077" s="13">
        <v>582</v>
      </c>
      <c r="I1077" s="13">
        <v>351</v>
      </c>
      <c r="J1077" s="13">
        <v>97</v>
      </c>
    </row>
    <row r="1078" spans="1:10" x14ac:dyDescent="0.25">
      <c r="A1078" s="11">
        <v>2023</v>
      </c>
      <c r="B1078" s="11" t="s">
        <v>243</v>
      </c>
      <c r="C1078" s="13">
        <v>618</v>
      </c>
      <c r="D1078" s="13">
        <v>0</v>
      </c>
      <c r="E1078" s="13">
        <v>16</v>
      </c>
      <c r="F1078" s="13">
        <v>90</v>
      </c>
      <c r="G1078" s="13">
        <v>161</v>
      </c>
      <c r="H1078" s="13">
        <v>228</v>
      </c>
      <c r="I1078" s="13">
        <v>97</v>
      </c>
      <c r="J1078" s="13">
        <v>26</v>
      </c>
    </row>
    <row r="1079" spans="1:10" x14ac:dyDescent="0.25">
      <c r="A1079" s="11">
        <v>2023</v>
      </c>
      <c r="B1079" s="11" t="s">
        <v>244</v>
      </c>
      <c r="C1079" s="13">
        <v>970</v>
      </c>
      <c r="D1079" s="13">
        <v>0</v>
      </c>
      <c r="E1079" s="13">
        <v>30</v>
      </c>
      <c r="F1079" s="13">
        <v>102</v>
      </c>
      <c r="G1079" s="13">
        <v>231</v>
      </c>
      <c r="H1079" s="13">
        <v>361</v>
      </c>
      <c r="I1079" s="13">
        <v>201</v>
      </c>
      <c r="J1079" s="13">
        <v>45</v>
      </c>
    </row>
    <row r="1080" spans="1:10" x14ac:dyDescent="0.25">
      <c r="A1080" s="11">
        <v>2023</v>
      </c>
      <c r="B1080" s="11" t="s">
        <v>245</v>
      </c>
      <c r="C1080" s="13">
        <v>760</v>
      </c>
      <c r="D1080" s="13">
        <v>1</v>
      </c>
      <c r="E1080" s="13">
        <v>25</v>
      </c>
      <c r="F1080" s="13">
        <v>94</v>
      </c>
      <c r="G1080" s="13">
        <v>236</v>
      </c>
      <c r="H1080" s="13">
        <v>251</v>
      </c>
      <c r="I1080" s="13">
        <v>127</v>
      </c>
      <c r="J1080" s="13">
        <v>26</v>
      </c>
    </row>
    <row r="1081" spans="1:10" x14ac:dyDescent="0.25">
      <c r="A1081" s="11">
        <v>2023</v>
      </c>
      <c r="B1081" s="11" t="s">
        <v>246</v>
      </c>
      <c r="C1081" s="13">
        <v>174</v>
      </c>
      <c r="D1081" s="13">
        <v>0</v>
      </c>
      <c r="E1081" s="13">
        <v>2</v>
      </c>
      <c r="F1081" s="13">
        <v>16</v>
      </c>
      <c r="G1081" s="13">
        <v>44</v>
      </c>
      <c r="H1081" s="13">
        <v>63</v>
      </c>
      <c r="I1081" s="13">
        <v>35</v>
      </c>
      <c r="J1081" s="13">
        <v>14</v>
      </c>
    </row>
    <row r="1082" spans="1:10" x14ac:dyDescent="0.25">
      <c r="A1082" s="11">
        <v>2023</v>
      </c>
      <c r="B1082" s="11" t="s">
        <v>247</v>
      </c>
      <c r="C1082" s="13">
        <v>986</v>
      </c>
      <c r="D1082" s="13">
        <v>0</v>
      </c>
      <c r="E1082" s="13">
        <v>31</v>
      </c>
      <c r="F1082" s="13">
        <v>141</v>
      </c>
      <c r="G1082" s="13">
        <v>307</v>
      </c>
      <c r="H1082" s="13">
        <v>312</v>
      </c>
      <c r="I1082" s="13">
        <v>156</v>
      </c>
      <c r="J1082" s="13">
        <v>39</v>
      </c>
    </row>
    <row r="1083" spans="1:10" x14ac:dyDescent="0.25">
      <c r="A1083" s="11">
        <v>2023</v>
      </c>
      <c r="B1083" s="11" t="s">
        <v>248</v>
      </c>
      <c r="C1083" s="13">
        <v>3073</v>
      </c>
      <c r="D1083" s="13">
        <v>0</v>
      </c>
      <c r="E1083" s="13">
        <v>87</v>
      </c>
      <c r="F1083" s="13">
        <v>426</v>
      </c>
      <c r="G1083" s="13">
        <v>906</v>
      </c>
      <c r="H1083" s="13">
        <v>993</v>
      </c>
      <c r="I1083" s="13">
        <v>544</v>
      </c>
      <c r="J1083" s="13">
        <v>117</v>
      </c>
    </row>
    <row r="1084" spans="1:10" x14ac:dyDescent="0.25">
      <c r="A1084" s="11">
        <v>2023</v>
      </c>
      <c r="B1084" s="11" t="s">
        <v>249</v>
      </c>
      <c r="C1084" s="13">
        <v>162</v>
      </c>
      <c r="D1084" s="13">
        <v>0</v>
      </c>
      <c r="E1084" s="13">
        <v>4</v>
      </c>
      <c r="F1084" s="13">
        <v>19</v>
      </c>
      <c r="G1084" s="13">
        <v>36</v>
      </c>
      <c r="H1084" s="13">
        <v>67</v>
      </c>
      <c r="I1084" s="13">
        <v>30</v>
      </c>
      <c r="J1084" s="13">
        <v>6</v>
      </c>
    </row>
    <row r="1085" spans="1:10" x14ac:dyDescent="0.25">
      <c r="A1085" s="11">
        <v>2023</v>
      </c>
      <c r="B1085" s="11" t="s">
        <v>250</v>
      </c>
      <c r="C1085" s="13">
        <v>1133</v>
      </c>
      <c r="D1085" s="13">
        <v>0</v>
      </c>
      <c r="E1085" s="13">
        <v>26</v>
      </c>
      <c r="F1085" s="13">
        <v>135</v>
      </c>
      <c r="G1085" s="13">
        <v>300</v>
      </c>
      <c r="H1085" s="13">
        <v>403</v>
      </c>
      <c r="I1085" s="13">
        <v>207</v>
      </c>
      <c r="J1085" s="13">
        <v>62</v>
      </c>
    </row>
    <row r="1086" spans="1:10" x14ac:dyDescent="0.25">
      <c r="A1086" s="11">
        <v>2023</v>
      </c>
      <c r="B1086" s="11" t="s">
        <v>251</v>
      </c>
      <c r="C1086" s="13">
        <v>1663</v>
      </c>
      <c r="D1086" s="13">
        <v>0</v>
      </c>
      <c r="E1086" s="13">
        <v>35</v>
      </c>
      <c r="F1086" s="13">
        <v>158</v>
      </c>
      <c r="G1086" s="13">
        <v>422</v>
      </c>
      <c r="H1086" s="13">
        <v>628</v>
      </c>
      <c r="I1086" s="13">
        <v>356</v>
      </c>
      <c r="J1086" s="13">
        <v>64</v>
      </c>
    </row>
    <row r="1087" spans="1:10" x14ac:dyDescent="0.25">
      <c r="A1087" s="11">
        <v>2023</v>
      </c>
      <c r="B1087" s="11" t="s">
        <v>252</v>
      </c>
      <c r="C1087" s="13">
        <v>825</v>
      </c>
      <c r="D1087" s="13">
        <v>0</v>
      </c>
      <c r="E1087" s="13">
        <v>18</v>
      </c>
      <c r="F1087" s="13">
        <v>104</v>
      </c>
      <c r="G1087" s="13">
        <v>210</v>
      </c>
      <c r="H1087" s="13">
        <v>278</v>
      </c>
      <c r="I1087" s="13">
        <v>180</v>
      </c>
      <c r="J1087" s="13">
        <v>35</v>
      </c>
    </row>
    <row r="1088" spans="1:10" x14ac:dyDescent="0.25">
      <c r="A1088" s="11">
        <v>2023</v>
      </c>
      <c r="B1088" s="11" t="s">
        <v>253</v>
      </c>
      <c r="C1088" s="13">
        <v>177</v>
      </c>
      <c r="D1088" s="13">
        <v>0</v>
      </c>
      <c r="E1088" s="13">
        <v>1</v>
      </c>
      <c r="F1088" s="13">
        <v>25</v>
      </c>
      <c r="G1088" s="13">
        <v>50</v>
      </c>
      <c r="H1088" s="13">
        <v>59</v>
      </c>
      <c r="I1088" s="13">
        <v>32</v>
      </c>
      <c r="J1088" s="13">
        <v>10</v>
      </c>
    </row>
    <row r="1089" spans="1:10" x14ac:dyDescent="0.25">
      <c r="A1089" s="11">
        <v>2023</v>
      </c>
      <c r="B1089" s="11" t="s">
        <v>254</v>
      </c>
      <c r="C1089" s="13">
        <v>815</v>
      </c>
      <c r="D1089" s="13">
        <v>2</v>
      </c>
      <c r="E1089" s="13">
        <v>27</v>
      </c>
      <c r="F1089" s="13">
        <v>111</v>
      </c>
      <c r="G1089" s="13">
        <v>182</v>
      </c>
      <c r="H1089" s="13">
        <v>288</v>
      </c>
      <c r="I1089" s="13">
        <v>173</v>
      </c>
      <c r="J1089" s="13">
        <v>32</v>
      </c>
    </row>
    <row r="1090" spans="1:10" x14ac:dyDescent="0.25">
      <c r="A1090" s="11">
        <v>2023</v>
      </c>
      <c r="B1090" s="11" t="s">
        <v>255</v>
      </c>
      <c r="C1090" s="13">
        <v>3048</v>
      </c>
      <c r="D1090" s="13">
        <v>0</v>
      </c>
      <c r="E1090" s="13">
        <v>50</v>
      </c>
      <c r="F1090" s="13">
        <v>319</v>
      </c>
      <c r="G1090" s="13">
        <v>802</v>
      </c>
      <c r="H1090" s="13">
        <v>1085</v>
      </c>
      <c r="I1090" s="13">
        <v>656</v>
      </c>
      <c r="J1090" s="13">
        <v>136</v>
      </c>
    </row>
    <row r="1091" spans="1:10" x14ac:dyDescent="0.25">
      <c r="A1091" s="11">
        <v>2023</v>
      </c>
      <c r="B1091" s="11" t="s">
        <v>256</v>
      </c>
      <c r="C1091" s="13">
        <v>662</v>
      </c>
      <c r="D1091" s="13">
        <v>0</v>
      </c>
      <c r="E1091" s="13">
        <v>19</v>
      </c>
      <c r="F1091" s="13">
        <v>61</v>
      </c>
      <c r="G1091" s="13">
        <v>164</v>
      </c>
      <c r="H1091" s="13">
        <v>231</v>
      </c>
      <c r="I1091" s="13">
        <v>152</v>
      </c>
      <c r="J1091" s="13">
        <v>35</v>
      </c>
    </row>
    <row r="1092" spans="1:10" x14ac:dyDescent="0.25">
      <c r="A1092" s="11">
        <v>2023</v>
      </c>
      <c r="B1092" s="11" t="s">
        <v>257</v>
      </c>
      <c r="C1092" s="13">
        <v>783</v>
      </c>
      <c r="D1092" s="13">
        <v>0</v>
      </c>
      <c r="E1092" s="13">
        <v>30</v>
      </c>
      <c r="F1092" s="13">
        <v>116</v>
      </c>
      <c r="G1092" s="13">
        <v>217</v>
      </c>
      <c r="H1092" s="13">
        <v>259</v>
      </c>
      <c r="I1092" s="13">
        <v>125</v>
      </c>
      <c r="J1092" s="13">
        <v>36</v>
      </c>
    </row>
    <row r="1093" spans="1:10" x14ac:dyDescent="0.25">
      <c r="A1093" s="11">
        <v>2023</v>
      </c>
      <c r="B1093" s="11" t="s">
        <v>258</v>
      </c>
      <c r="C1093" s="13">
        <v>1828</v>
      </c>
      <c r="D1093" s="13">
        <v>0</v>
      </c>
      <c r="E1093" s="13">
        <v>61</v>
      </c>
      <c r="F1093" s="13">
        <v>219</v>
      </c>
      <c r="G1093" s="13">
        <v>459</v>
      </c>
      <c r="H1093" s="13">
        <v>648</v>
      </c>
      <c r="I1093" s="13">
        <v>355</v>
      </c>
      <c r="J1093" s="13">
        <v>86</v>
      </c>
    </row>
    <row r="1094" spans="1:10" x14ac:dyDescent="0.25">
      <c r="A1094" s="11">
        <v>2024</v>
      </c>
      <c r="B1094" s="11" t="s">
        <v>11</v>
      </c>
      <c r="C1094" s="13">
        <v>45763</v>
      </c>
      <c r="D1094" s="13">
        <v>3</v>
      </c>
      <c r="E1094" s="13">
        <v>1094</v>
      </c>
      <c r="F1094" s="13">
        <v>5131</v>
      </c>
      <c r="G1094" s="13">
        <v>11568</v>
      </c>
      <c r="H1094" s="13">
        <v>16324</v>
      </c>
      <c r="I1094" s="13">
        <v>9379</v>
      </c>
      <c r="J1094" s="13">
        <v>2264</v>
      </c>
    </row>
    <row r="1095" spans="1:10" x14ac:dyDescent="0.25">
      <c r="A1095" s="11">
        <v>2024</v>
      </c>
      <c r="B1095" s="11" t="s">
        <v>227</v>
      </c>
      <c r="C1095" s="13">
        <v>1923</v>
      </c>
      <c r="D1095" s="13">
        <v>0</v>
      </c>
      <c r="E1095" s="13">
        <v>42</v>
      </c>
      <c r="F1095" s="13">
        <v>191</v>
      </c>
      <c r="G1095" s="13">
        <v>465</v>
      </c>
      <c r="H1095" s="13">
        <v>698</v>
      </c>
      <c r="I1095" s="13">
        <v>415</v>
      </c>
      <c r="J1095" s="13">
        <v>112</v>
      </c>
    </row>
    <row r="1096" spans="1:10" x14ac:dyDescent="0.25">
      <c r="A1096" s="11">
        <v>2024</v>
      </c>
      <c r="B1096" s="11" t="s">
        <v>228</v>
      </c>
      <c r="C1096" s="13">
        <v>1865</v>
      </c>
      <c r="D1096" s="13">
        <v>0</v>
      </c>
      <c r="E1096" s="13">
        <v>22</v>
      </c>
      <c r="F1096" s="13">
        <v>153</v>
      </c>
      <c r="G1096" s="13">
        <v>497</v>
      </c>
      <c r="H1096" s="13">
        <v>733</v>
      </c>
      <c r="I1096" s="13">
        <v>376</v>
      </c>
      <c r="J1096" s="13">
        <v>84</v>
      </c>
    </row>
    <row r="1097" spans="1:10" x14ac:dyDescent="0.25">
      <c r="A1097" s="11">
        <v>2024</v>
      </c>
      <c r="B1097" s="11" t="s">
        <v>229</v>
      </c>
      <c r="C1097" s="13">
        <v>874</v>
      </c>
      <c r="D1097" s="13">
        <v>0</v>
      </c>
      <c r="E1097" s="13">
        <v>24</v>
      </c>
      <c r="F1097" s="13">
        <v>128</v>
      </c>
      <c r="G1097" s="13">
        <v>239</v>
      </c>
      <c r="H1097" s="13">
        <v>279</v>
      </c>
      <c r="I1097" s="13">
        <v>165</v>
      </c>
      <c r="J1097" s="13">
        <v>39</v>
      </c>
    </row>
    <row r="1098" spans="1:10" x14ac:dyDescent="0.25">
      <c r="A1098" s="11">
        <v>2024</v>
      </c>
      <c r="B1098" s="11" t="s">
        <v>230</v>
      </c>
      <c r="C1098" s="13">
        <v>549</v>
      </c>
      <c r="D1098" s="13">
        <v>0</v>
      </c>
      <c r="E1098" s="13">
        <v>7</v>
      </c>
      <c r="F1098" s="13">
        <v>58</v>
      </c>
      <c r="G1098" s="13">
        <v>134</v>
      </c>
      <c r="H1098" s="13">
        <v>201</v>
      </c>
      <c r="I1098" s="13">
        <v>103</v>
      </c>
      <c r="J1098" s="13">
        <v>46</v>
      </c>
    </row>
    <row r="1099" spans="1:10" x14ac:dyDescent="0.25">
      <c r="A1099" s="11">
        <v>2024</v>
      </c>
      <c r="B1099" s="11" t="s">
        <v>231</v>
      </c>
      <c r="C1099" s="13">
        <v>4463</v>
      </c>
      <c r="D1099" s="13">
        <v>0</v>
      </c>
      <c r="E1099" s="13">
        <v>68</v>
      </c>
      <c r="F1099" s="13">
        <v>312</v>
      </c>
      <c r="G1099" s="13">
        <v>793</v>
      </c>
      <c r="H1099" s="13">
        <v>1715</v>
      </c>
      <c r="I1099" s="13">
        <v>1240</v>
      </c>
      <c r="J1099" s="13">
        <v>335</v>
      </c>
    </row>
    <row r="1100" spans="1:10" x14ac:dyDescent="0.25">
      <c r="A1100" s="11">
        <v>2024</v>
      </c>
      <c r="B1100" s="11" t="s">
        <v>232</v>
      </c>
      <c r="C1100" s="13">
        <v>391</v>
      </c>
      <c r="D1100" s="13">
        <v>0</v>
      </c>
      <c r="E1100" s="13">
        <v>11</v>
      </c>
      <c r="F1100" s="13">
        <v>63</v>
      </c>
      <c r="G1100" s="13">
        <v>121</v>
      </c>
      <c r="H1100" s="13">
        <v>128</v>
      </c>
      <c r="I1100" s="13">
        <v>49</v>
      </c>
      <c r="J1100" s="13">
        <v>19</v>
      </c>
    </row>
    <row r="1101" spans="1:10" x14ac:dyDescent="0.25">
      <c r="A1101" s="11">
        <v>2024</v>
      </c>
      <c r="B1101" s="11" t="s">
        <v>233</v>
      </c>
      <c r="C1101" s="13">
        <v>1054</v>
      </c>
      <c r="D1101" s="13">
        <v>1</v>
      </c>
      <c r="E1101" s="13">
        <v>41</v>
      </c>
      <c r="F1101" s="13">
        <v>142</v>
      </c>
      <c r="G1101" s="13">
        <v>304</v>
      </c>
      <c r="H1101" s="13">
        <v>353</v>
      </c>
      <c r="I1101" s="13">
        <v>171</v>
      </c>
      <c r="J1101" s="13">
        <v>42</v>
      </c>
    </row>
    <row r="1102" spans="1:10" x14ac:dyDescent="0.25">
      <c r="A1102" s="11">
        <v>2024</v>
      </c>
      <c r="B1102" s="11" t="s">
        <v>234</v>
      </c>
      <c r="C1102" s="13">
        <v>1312</v>
      </c>
      <c r="D1102" s="13">
        <v>0</v>
      </c>
      <c r="E1102" s="13">
        <v>47</v>
      </c>
      <c r="F1102" s="13">
        <v>169</v>
      </c>
      <c r="G1102" s="13">
        <v>386</v>
      </c>
      <c r="H1102" s="13">
        <v>435</v>
      </c>
      <c r="I1102" s="13">
        <v>215</v>
      </c>
      <c r="J1102" s="13">
        <v>60</v>
      </c>
    </row>
    <row r="1103" spans="1:10" x14ac:dyDescent="0.25">
      <c r="A1103" s="11">
        <v>2024</v>
      </c>
      <c r="B1103" s="11" t="s">
        <v>235</v>
      </c>
      <c r="C1103" s="13">
        <v>1043</v>
      </c>
      <c r="D1103" s="13">
        <v>0</v>
      </c>
      <c r="E1103" s="13">
        <v>31</v>
      </c>
      <c r="F1103" s="13">
        <v>187</v>
      </c>
      <c r="G1103" s="13">
        <v>268</v>
      </c>
      <c r="H1103" s="13">
        <v>340</v>
      </c>
      <c r="I1103" s="13">
        <v>188</v>
      </c>
      <c r="J1103" s="13">
        <v>29</v>
      </c>
    </row>
    <row r="1104" spans="1:10" x14ac:dyDescent="0.25">
      <c r="A1104" s="11">
        <v>2024</v>
      </c>
      <c r="B1104" s="11" t="s">
        <v>236</v>
      </c>
      <c r="C1104" s="13">
        <v>806</v>
      </c>
      <c r="D1104" s="13">
        <v>0</v>
      </c>
      <c r="E1104" s="13">
        <v>11</v>
      </c>
      <c r="F1104" s="13">
        <v>42</v>
      </c>
      <c r="G1104" s="13">
        <v>112</v>
      </c>
      <c r="H1104" s="13">
        <v>340</v>
      </c>
      <c r="I1104" s="13">
        <v>242</v>
      </c>
      <c r="J1104" s="13">
        <v>59</v>
      </c>
    </row>
    <row r="1105" spans="1:10" x14ac:dyDescent="0.25">
      <c r="A1105" s="11">
        <v>2024</v>
      </c>
      <c r="B1105" s="11" t="s">
        <v>237</v>
      </c>
      <c r="C1105" s="13">
        <v>984</v>
      </c>
      <c r="D1105" s="13">
        <v>0</v>
      </c>
      <c r="E1105" s="13">
        <v>20</v>
      </c>
      <c r="F1105" s="13">
        <v>88</v>
      </c>
      <c r="G1105" s="13">
        <v>209</v>
      </c>
      <c r="H1105" s="13">
        <v>373</v>
      </c>
      <c r="I1105" s="13">
        <v>241</v>
      </c>
      <c r="J1105" s="13">
        <v>53</v>
      </c>
    </row>
    <row r="1106" spans="1:10" x14ac:dyDescent="0.25">
      <c r="A1106" s="11">
        <v>2024</v>
      </c>
      <c r="B1106" s="11" t="s">
        <v>238</v>
      </c>
      <c r="C1106" s="13">
        <v>784</v>
      </c>
      <c r="D1106" s="13">
        <v>0</v>
      </c>
      <c r="E1106" s="13">
        <v>7</v>
      </c>
      <c r="F1106" s="13">
        <v>48</v>
      </c>
      <c r="G1106" s="13">
        <v>130</v>
      </c>
      <c r="H1106" s="13">
        <v>316</v>
      </c>
      <c r="I1106" s="13">
        <v>228</v>
      </c>
      <c r="J1106" s="13">
        <v>55</v>
      </c>
    </row>
    <row r="1107" spans="1:10" x14ac:dyDescent="0.25">
      <c r="A1107" s="11">
        <v>2024</v>
      </c>
      <c r="B1107" s="11" t="s">
        <v>239</v>
      </c>
      <c r="C1107" s="13">
        <v>1332</v>
      </c>
      <c r="D1107" s="13">
        <v>0</v>
      </c>
      <c r="E1107" s="13">
        <v>38</v>
      </c>
      <c r="F1107" s="13">
        <v>171</v>
      </c>
      <c r="G1107" s="13">
        <v>372</v>
      </c>
      <c r="H1107" s="13">
        <v>453</v>
      </c>
      <c r="I1107" s="13">
        <v>247</v>
      </c>
      <c r="J1107" s="13">
        <v>51</v>
      </c>
    </row>
    <row r="1108" spans="1:10" x14ac:dyDescent="0.25">
      <c r="A1108" s="11">
        <v>2024</v>
      </c>
      <c r="B1108" s="11" t="s">
        <v>240</v>
      </c>
      <c r="C1108" s="13">
        <v>2815</v>
      </c>
      <c r="D1108" s="13">
        <v>1</v>
      </c>
      <c r="E1108" s="13">
        <v>87</v>
      </c>
      <c r="F1108" s="13">
        <v>394</v>
      </c>
      <c r="G1108" s="13">
        <v>740</v>
      </c>
      <c r="H1108" s="13">
        <v>927</v>
      </c>
      <c r="I1108" s="13">
        <v>553</v>
      </c>
      <c r="J1108" s="13">
        <v>113</v>
      </c>
    </row>
    <row r="1109" spans="1:10" x14ac:dyDescent="0.25">
      <c r="A1109" s="11">
        <v>2024</v>
      </c>
      <c r="B1109" s="11" t="s">
        <v>241</v>
      </c>
      <c r="C1109" s="13">
        <v>6150</v>
      </c>
      <c r="D1109" s="13">
        <v>0</v>
      </c>
      <c r="E1109" s="13">
        <v>124</v>
      </c>
      <c r="F1109" s="13">
        <v>688</v>
      </c>
      <c r="G1109" s="13">
        <v>1638</v>
      </c>
      <c r="H1109" s="13">
        <v>2115</v>
      </c>
      <c r="I1109" s="13">
        <v>1263</v>
      </c>
      <c r="J1109" s="13">
        <v>322</v>
      </c>
    </row>
    <row r="1110" spans="1:10" x14ac:dyDescent="0.25">
      <c r="A1110" s="11">
        <v>2024</v>
      </c>
      <c r="B1110" s="11" t="s">
        <v>242</v>
      </c>
      <c r="C1110" s="13">
        <v>1748</v>
      </c>
      <c r="D1110" s="13">
        <v>0</v>
      </c>
      <c r="E1110" s="13">
        <v>59</v>
      </c>
      <c r="F1110" s="13">
        <v>204</v>
      </c>
      <c r="G1110" s="13">
        <v>462</v>
      </c>
      <c r="H1110" s="13">
        <v>591</v>
      </c>
      <c r="I1110" s="13">
        <v>337</v>
      </c>
      <c r="J1110" s="13">
        <v>95</v>
      </c>
    </row>
    <row r="1111" spans="1:10" x14ac:dyDescent="0.25">
      <c r="A1111" s="11">
        <v>2024</v>
      </c>
      <c r="B1111" s="11" t="s">
        <v>243</v>
      </c>
      <c r="C1111" s="13">
        <v>594</v>
      </c>
      <c r="D1111" s="13">
        <v>0</v>
      </c>
      <c r="E1111" s="13">
        <v>20</v>
      </c>
      <c r="F1111" s="13">
        <v>72</v>
      </c>
      <c r="G1111" s="13">
        <v>166</v>
      </c>
      <c r="H1111" s="13">
        <v>199</v>
      </c>
      <c r="I1111" s="13">
        <v>118</v>
      </c>
      <c r="J1111" s="13">
        <v>19</v>
      </c>
    </row>
    <row r="1112" spans="1:10" x14ac:dyDescent="0.25">
      <c r="A1112" s="11">
        <v>2024</v>
      </c>
      <c r="B1112" s="11" t="s">
        <v>244</v>
      </c>
      <c r="C1112" s="13">
        <v>1071</v>
      </c>
      <c r="D1112" s="13">
        <v>0</v>
      </c>
      <c r="E1112" s="13">
        <v>21</v>
      </c>
      <c r="F1112" s="13">
        <v>112</v>
      </c>
      <c r="G1112" s="13">
        <v>247</v>
      </c>
      <c r="H1112" s="13">
        <v>428</v>
      </c>
      <c r="I1112" s="13">
        <v>213</v>
      </c>
      <c r="J1112" s="13">
        <v>50</v>
      </c>
    </row>
    <row r="1113" spans="1:10" x14ac:dyDescent="0.25">
      <c r="A1113" s="11">
        <v>2024</v>
      </c>
      <c r="B1113" s="11" t="s">
        <v>245</v>
      </c>
      <c r="C1113" s="13">
        <v>690</v>
      </c>
      <c r="D1113" s="13">
        <v>0</v>
      </c>
      <c r="E1113" s="13">
        <v>16</v>
      </c>
      <c r="F1113" s="13">
        <v>104</v>
      </c>
      <c r="G1113" s="13">
        <v>209</v>
      </c>
      <c r="H1113" s="13">
        <v>230</v>
      </c>
      <c r="I1113" s="13">
        <v>108</v>
      </c>
      <c r="J1113" s="13">
        <v>23</v>
      </c>
    </row>
    <row r="1114" spans="1:10" x14ac:dyDescent="0.25">
      <c r="A1114" s="11">
        <v>2024</v>
      </c>
      <c r="B1114" s="11" t="s">
        <v>246</v>
      </c>
      <c r="C1114" s="13">
        <v>176</v>
      </c>
      <c r="D1114" s="13">
        <v>0</v>
      </c>
      <c r="E1114" s="13">
        <v>3</v>
      </c>
      <c r="F1114" s="13">
        <v>19</v>
      </c>
      <c r="G1114" s="13">
        <v>49</v>
      </c>
      <c r="H1114" s="13">
        <v>61</v>
      </c>
      <c r="I1114" s="13">
        <v>38</v>
      </c>
      <c r="J1114" s="13">
        <v>6</v>
      </c>
    </row>
    <row r="1115" spans="1:10" x14ac:dyDescent="0.25">
      <c r="A1115" s="11">
        <v>2024</v>
      </c>
      <c r="B1115" s="11" t="s">
        <v>247</v>
      </c>
      <c r="C1115" s="13">
        <v>1012</v>
      </c>
      <c r="D1115" s="13">
        <v>0</v>
      </c>
      <c r="E1115" s="13">
        <v>41</v>
      </c>
      <c r="F1115" s="13">
        <v>152</v>
      </c>
      <c r="G1115" s="13">
        <v>294</v>
      </c>
      <c r="H1115" s="13">
        <v>338</v>
      </c>
      <c r="I1115" s="13">
        <v>151</v>
      </c>
      <c r="J1115" s="13">
        <v>36</v>
      </c>
    </row>
    <row r="1116" spans="1:10" x14ac:dyDescent="0.25">
      <c r="A1116" s="11">
        <v>2024</v>
      </c>
      <c r="B1116" s="11" t="s">
        <v>248</v>
      </c>
      <c r="C1116" s="13">
        <v>3176</v>
      </c>
      <c r="D1116" s="13">
        <v>0</v>
      </c>
      <c r="E1116" s="13">
        <v>93</v>
      </c>
      <c r="F1116" s="13">
        <v>430</v>
      </c>
      <c r="G1116" s="13">
        <v>932</v>
      </c>
      <c r="H1116" s="13">
        <v>1061</v>
      </c>
      <c r="I1116" s="13">
        <v>544</v>
      </c>
      <c r="J1116" s="13">
        <v>116</v>
      </c>
    </row>
    <row r="1117" spans="1:10" x14ac:dyDescent="0.25">
      <c r="A1117" s="11">
        <v>2024</v>
      </c>
      <c r="B1117" s="11" t="s">
        <v>249</v>
      </c>
      <c r="C1117" s="13">
        <v>146</v>
      </c>
      <c r="D1117" s="13">
        <v>0</v>
      </c>
      <c r="E1117" s="13">
        <v>2</v>
      </c>
      <c r="F1117" s="13">
        <v>17</v>
      </c>
      <c r="G1117" s="13">
        <v>41</v>
      </c>
      <c r="H1117" s="13">
        <v>58</v>
      </c>
      <c r="I1117" s="13">
        <v>20</v>
      </c>
      <c r="J1117" s="13">
        <v>8</v>
      </c>
    </row>
    <row r="1118" spans="1:10" x14ac:dyDescent="0.25">
      <c r="A1118" s="11">
        <v>2024</v>
      </c>
      <c r="B1118" s="11" t="s">
        <v>250</v>
      </c>
      <c r="C1118" s="13">
        <v>1167</v>
      </c>
      <c r="D1118" s="13">
        <v>0</v>
      </c>
      <c r="E1118" s="13">
        <v>31</v>
      </c>
      <c r="F1118" s="13">
        <v>124</v>
      </c>
      <c r="G1118" s="13">
        <v>296</v>
      </c>
      <c r="H1118" s="13">
        <v>435</v>
      </c>
      <c r="I1118" s="13">
        <v>233</v>
      </c>
      <c r="J1118" s="13">
        <v>48</v>
      </c>
    </row>
    <row r="1119" spans="1:10" x14ac:dyDescent="0.25">
      <c r="A1119" s="11">
        <v>2024</v>
      </c>
      <c r="B1119" s="11" t="s">
        <v>251</v>
      </c>
      <c r="C1119" s="13">
        <v>1718</v>
      </c>
      <c r="D1119" s="13">
        <v>0</v>
      </c>
      <c r="E1119" s="13">
        <v>33</v>
      </c>
      <c r="F1119" s="13">
        <v>136</v>
      </c>
      <c r="G1119" s="13">
        <v>424</v>
      </c>
      <c r="H1119" s="13">
        <v>654</v>
      </c>
      <c r="I1119" s="13">
        <v>400</v>
      </c>
      <c r="J1119" s="13">
        <v>71</v>
      </c>
    </row>
    <row r="1120" spans="1:10" x14ac:dyDescent="0.25">
      <c r="A1120" s="11">
        <v>2024</v>
      </c>
      <c r="B1120" s="11" t="s">
        <v>252</v>
      </c>
      <c r="C1120" s="13">
        <v>835</v>
      </c>
      <c r="D1120" s="13">
        <v>0</v>
      </c>
      <c r="E1120" s="13">
        <v>21</v>
      </c>
      <c r="F1120" s="13">
        <v>127</v>
      </c>
      <c r="G1120" s="13">
        <v>208</v>
      </c>
      <c r="H1120" s="13">
        <v>295</v>
      </c>
      <c r="I1120" s="13">
        <v>138</v>
      </c>
      <c r="J1120" s="13">
        <v>46</v>
      </c>
    </row>
    <row r="1121" spans="1:10" x14ac:dyDescent="0.25">
      <c r="A1121" s="11">
        <v>2024</v>
      </c>
      <c r="B1121" s="11" t="s">
        <v>253</v>
      </c>
      <c r="C1121" s="13">
        <v>166</v>
      </c>
      <c r="D1121" s="13">
        <v>0</v>
      </c>
      <c r="E1121" s="13">
        <v>3</v>
      </c>
      <c r="F1121" s="13">
        <v>15</v>
      </c>
      <c r="G1121" s="13">
        <v>54</v>
      </c>
      <c r="H1121" s="13">
        <v>51</v>
      </c>
      <c r="I1121" s="13">
        <v>37</v>
      </c>
      <c r="J1121" s="13">
        <v>6</v>
      </c>
    </row>
    <row r="1122" spans="1:10" x14ac:dyDescent="0.25">
      <c r="A1122" s="11">
        <v>2024</v>
      </c>
      <c r="B1122" s="11" t="s">
        <v>254</v>
      </c>
      <c r="C1122" s="13">
        <v>757</v>
      </c>
      <c r="D1122" s="13">
        <v>0</v>
      </c>
      <c r="E1122" s="13">
        <v>24</v>
      </c>
      <c r="F1122" s="13">
        <v>98</v>
      </c>
      <c r="G1122" s="13">
        <v>199</v>
      </c>
      <c r="H1122" s="13">
        <v>262</v>
      </c>
      <c r="I1122" s="13">
        <v>138</v>
      </c>
      <c r="J1122" s="13">
        <v>36</v>
      </c>
    </row>
    <row r="1123" spans="1:10" x14ac:dyDescent="0.25">
      <c r="A1123" s="11">
        <v>2024</v>
      </c>
      <c r="B1123" s="11" t="s">
        <v>255</v>
      </c>
      <c r="C1123" s="13">
        <v>3030</v>
      </c>
      <c r="D1123" s="13">
        <v>0</v>
      </c>
      <c r="E1123" s="13">
        <v>60</v>
      </c>
      <c r="F1123" s="13">
        <v>319</v>
      </c>
      <c r="G1123" s="13">
        <v>779</v>
      </c>
      <c r="H1123" s="13">
        <v>1134</v>
      </c>
      <c r="I1123" s="13">
        <v>602</v>
      </c>
      <c r="J1123" s="13">
        <v>136</v>
      </c>
    </row>
    <row r="1124" spans="1:10" x14ac:dyDescent="0.25">
      <c r="A1124" s="11">
        <v>2024</v>
      </c>
      <c r="B1124" s="11" t="s">
        <v>256</v>
      </c>
      <c r="C1124" s="13">
        <v>659</v>
      </c>
      <c r="D1124" s="13">
        <v>1</v>
      </c>
      <c r="E1124" s="13">
        <v>18</v>
      </c>
      <c r="F1124" s="13">
        <v>55</v>
      </c>
      <c r="G1124" s="13">
        <v>131</v>
      </c>
      <c r="H1124" s="13">
        <v>231</v>
      </c>
      <c r="I1124" s="13">
        <v>166</v>
      </c>
      <c r="J1124" s="13">
        <v>57</v>
      </c>
    </row>
    <row r="1125" spans="1:10" x14ac:dyDescent="0.25">
      <c r="A1125" s="11">
        <v>2024</v>
      </c>
      <c r="B1125" s="11" t="s">
        <v>257</v>
      </c>
      <c r="C1125" s="13">
        <v>800</v>
      </c>
      <c r="D1125" s="13">
        <v>0</v>
      </c>
      <c r="E1125" s="13">
        <v>31</v>
      </c>
      <c r="F1125" s="13">
        <v>126</v>
      </c>
      <c r="G1125" s="13">
        <v>214</v>
      </c>
      <c r="H1125" s="13">
        <v>279</v>
      </c>
      <c r="I1125" s="13">
        <v>126</v>
      </c>
      <c r="J1125" s="13">
        <v>24</v>
      </c>
    </row>
    <row r="1126" spans="1:10" x14ac:dyDescent="0.25">
      <c r="A1126" s="11">
        <v>2024</v>
      </c>
      <c r="B1126" s="11" t="s">
        <v>258</v>
      </c>
      <c r="C1126" s="13">
        <v>1673</v>
      </c>
      <c r="D1126" s="13">
        <v>0</v>
      </c>
      <c r="E1126" s="13">
        <v>38</v>
      </c>
      <c r="F1126" s="13">
        <v>187</v>
      </c>
      <c r="G1126" s="13">
        <v>455</v>
      </c>
      <c r="H1126" s="13">
        <v>611</v>
      </c>
      <c r="I1126" s="13">
        <v>314</v>
      </c>
      <c r="J1126" s="13">
        <v>68</v>
      </c>
    </row>
  </sheetData>
  <pageMargins left="0.7" right="0.7" top="0.75" bottom="0.75" header="0.3" footer="0.3"/>
  <pageSetup paperSize="9"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514"/>
  <sheetViews>
    <sheetView workbookViewId="0"/>
  </sheetViews>
  <sheetFormatPr defaultColWidth="11.6328125" defaultRowHeight="15" x14ac:dyDescent="0.25"/>
  <cols>
    <col min="1" max="1" width="10.6328125" bestFit="1" customWidth="1"/>
    <col min="2" max="2" width="25.6328125" bestFit="1" customWidth="1"/>
    <col min="3" max="10" width="11.26953125" customWidth="1"/>
  </cols>
  <sheetData>
    <row r="1" spans="1:10" ht="21" x14ac:dyDescent="0.4">
      <c r="A1" s="5" t="s">
        <v>276</v>
      </c>
    </row>
    <row r="2" spans="1:10" x14ac:dyDescent="0.25">
      <c r="A2" t="s">
        <v>29</v>
      </c>
    </row>
    <row r="3" spans="1:10" x14ac:dyDescent="0.25">
      <c r="A3" s="16" t="str">
        <f>HYPERLINK("#'Contents'!A1", "back to contents")</f>
        <v>back to contents</v>
      </c>
    </row>
    <row r="4" spans="1:10" ht="15.6" x14ac:dyDescent="0.3">
      <c r="A4" s="10" t="s">
        <v>69</v>
      </c>
      <c r="B4" s="10" t="s">
        <v>226</v>
      </c>
      <c r="C4" s="12" t="s">
        <v>272</v>
      </c>
      <c r="D4" s="12" t="s">
        <v>273</v>
      </c>
      <c r="E4" s="12" t="s">
        <v>274</v>
      </c>
      <c r="F4" s="12" t="s">
        <v>171</v>
      </c>
      <c r="G4" s="12" t="s">
        <v>177</v>
      </c>
      <c r="H4" s="12" t="s">
        <v>183</v>
      </c>
      <c r="I4" s="12" t="s">
        <v>189</v>
      </c>
      <c r="J4" s="12" t="s">
        <v>275</v>
      </c>
    </row>
    <row r="5" spans="1:10" x14ac:dyDescent="0.25">
      <c r="A5" s="11">
        <v>1991</v>
      </c>
      <c r="B5" s="11" t="s">
        <v>11</v>
      </c>
      <c r="C5" s="13">
        <v>67024</v>
      </c>
      <c r="D5" s="13">
        <v>103</v>
      </c>
      <c r="E5" s="13">
        <v>5523</v>
      </c>
      <c r="F5" s="13">
        <v>16723</v>
      </c>
      <c r="G5" s="13">
        <v>24163</v>
      </c>
      <c r="H5" s="13">
        <v>15206</v>
      </c>
      <c r="I5" s="13">
        <v>4589</v>
      </c>
      <c r="J5" s="13">
        <v>717</v>
      </c>
    </row>
    <row r="6" spans="1:10" x14ac:dyDescent="0.25">
      <c r="A6" s="11">
        <v>1991</v>
      </c>
      <c r="B6" s="11" t="s">
        <v>260</v>
      </c>
      <c r="C6" s="13">
        <v>4888</v>
      </c>
      <c r="D6" s="13">
        <v>53</v>
      </c>
      <c r="E6" s="13">
        <v>504</v>
      </c>
      <c r="F6" s="13">
        <v>1324</v>
      </c>
      <c r="G6" s="13">
        <v>1664</v>
      </c>
      <c r="H6" s="13">
        <v>992</v>
      </c>
      <c r="I6" s="13">
        <v>307</v>
      </c>
      <c r="J6" s="13">
        <v>44</v>
      </c>
    </row>
    <row r="7" spans="1:10" x14ac:dyDescent="0.25">
      <c r="A7" s="11">
        <v>1991</v>
      </c>
      <c r="B7" s="11" t="s">
        <v>261</v>
      </c>
      <c r="C7" s="13">
        <v>1259</v>
      </c>
      <c r="D7" s="13">
        <v>4</v>
      </c>
      <c r="E7" s="13">
        <v>88</v>
      </c>
      <c r="F7" s="13">
        <v>278</v>
      </c>
      <c r="G7" s="13">
        <v>477</v>
      </c>
      <c r="H7" s="13">
        <v>316</v>
      </c>
      <c r="I7" s="13">
        <v>86</v>
      </c>
      <c r="J7" s="13">
        <v>10</v>
      </c>
    </row>
    <row r="8" spans="1:10" x14ac:dyDescent="0.25">
      <c r="A8" s="11">
        <v>1991</v>
      </c>
      <c r="B8" s="11" t="s">
        <v>233</v>
      </c>
      <c r="C8" s="13">
        <v>1781</v>
      </c>
      <c r="D8" s="13">
        <v>2</v>
      </c>
      <c r="E8" s="13">
        <v>135</v>
      </c>
      <c r="F8" s="13">
        <v>488</v>
      </c>
      <c r="G8" s="13">
        <v>668</v>
      </c>
      <c r="H8" s="13">
        <v>360</v>
      </c>
      <c r="I8" s="13">
        <v>107</v>
      </c>
      <c r="J8" s="13">
        <v>21</v>
      </c>
    </row>
    <row r="9" spans="1:10" x14ac:dyDescent="0.25">
      <c r="A9" s="11">
        <v>1991</v>
      </c>
      <c r="B9" s="11" t="s">
        <v>240</v>
      </c>
      <c r="C9" s="13">
        <v>4388</v>
      </c>
      <c r="D9" s="13">
        <v>3</v>
      </c>
      <c r="E9" s="13">
        <v>419</v>
      </c>
      <c r="F9" s="13">
        <v>1175</v>
      </c>
      <c r="G9" s="13">
        <v>1636</v>
      </c>
      <c r="H9" s="13">
        <v>876</v>
      </c>
      <c r="I9" s="13">
        <v>239</v>
      </c>
      <c r="J9" s="13">
        <v>40</v>
      </c>
    </row>
    <row r="10" spans="1:10" x14ac:dyDescent="0.25">
      <c r="A10" s="11">
        <v>1991</v>
      </c>
      <c r="B10" s="11" t="s">
        <v>262</v>
      </c>
      <c r="C10" s="13">
        <v>3566</v>
      </c>
      <c r="D10" s="13">
        <v>3</v>
      </c>
      <c r="E10" s="13">
        <v>310</v>
      </c>
      <c r="F10" s="13">
        <v>944</v>
      </c>
      <c r="G10" s="13">
        <v>1314</v>
      </c>
      <c r="H10" s="13">
        <v>756</v>
      </c>
      <c r="I10" s="13">
        <v>207</v>
      </c>
      <c r="J10" s="13">
        <v>32</v>
      </c>
    </row>
    <row r="11" spans="1:10" x14ac:dyDescent="0.25">
      <c r="A11" s="11">
        <v>1991</v>
      </c>
      <c r="B11" s="11" t="s">
        <v>263</v>
      </c>
      <c r="C11" s="13">
        <v>6777</v>
      </c>
      <c r="D11" s="13">
        <v>4</v>
      </c>
      <c r="E11" s="13">
        <v>457</v>
      </c>
      <c r="F11" s="13">
        <v>1655</v>
      </c>
      <c r="G11" s="13">
        <v>2534</v>
      </c>
      <c r="H11" s="13">
        <v>1576</v>
      </c>
      <c r="I11" s="13">
        <v>463</v>
      </c>
      <c r="J11" s="13">
        <v>88</v>
      </c>
    </row>
    <row r="12" spans="1:10" x14ac:dyDescent="0.25">
      <c r="A12" s="11">
        <v>1991</v>
      </c>
      <c r="B12" s="11" t="s">
        <v>264</v>
      </c>
      <c r="C12" s="13">
        <v>16201</v>
      </c>
      <c r="D12" s="13">
        <v>10</v>
      </c>
      <c r="E12" s="13">
        <v>1396</v>
      </c>
      <c r="F12" s="13">
        <v>3922</v>
      </c>
      <c r="G12" s="13">
        <v>5705</v>
      </c>
      <c r="H12" s="13">
        <v>3783</v>
      </c>
      <c r="I12" s="13">
        <v>1200</v>
      </c>
      <c r="J12" s="13">
        <v>185</v>
      </c>
    </row>
    <row r="13" spans="1:10" x14ac:dyDescent="0.25">
      <c r="A13" s="11">
        <v>1991</v>
      </c>
      <c r="B13" s="11" t="s">
        <v>242</v>
      </c>
      <c r="C13" s="13">
        <v>3877</v>
      </c>
      <c r="D13" s="13">
        <v>5</v>
      </c>
      <c r="E13" s="13">
        <v>281</v>
      </c>
      <c r="F13" s="13">
        <v>998</v>
      </c>
      <c r="G13" s="13">
        <v>1344</v>
      </c>
      <c r="H13" s="13">
        <v>902</v>
      </c>
      <c r="I13" s="13">
        <v>296</v>
      </c>
      <c r="J13" s="13">
        <v>51</v>
      </c>
    </row>
    <row r="14" spans="1:10" x14ac:dyDescent="0.25">
      <c r="A14" s="11">
        <v>1991</v>
      </c>
      <c r="B14" s="11" t="s">
        <v>265</v>
      </c>
      <c r="C14" s="13">
        <v>8532</v>
      </c>
      <c r="D14" s="13">
        <v>15</v>
      </c>
      <c r="E14" s="13">
        <v>752</v>
      </c>
      <c r="F14" s="13">
        <v>2187</v>
      </c>
      <c r="G14" s="13">
        <v>3171</v>
      </c>
      <c r="H14" s="13">
        <v>1820</v>
      </c>
      <c r="I14" s="13">
        <v>521</v>
      </c>
      <c r="J14" s="13">
        <v>66</v>
      </c>
    </row>
    <row r="15" spans="1:10" x14ac:dyDescent="0.25">
      <c r="A15" s="11">
        <v>1991</v>
      </c>
      <c r="B15" s="11" t="s">
        <v>266</v>
      </c>
      <c r="C15" s="13">
        <v>9958</v>
      </c>
      <c r="D15" s="13">
        <v>1</v>
      </c>
      <c r="E15" s="13">
        <v>697</v>
      </c>
      <c r="F15" s="13">
        <v>2164</v>
      </c>
      <c r="G15" s="13">
        <v>3605</v>
      </c>
      <c r="H15" s="13">
        <v>2584</v>
      </c>
      <c r="I15" s="13">
        <v>789</v>
      </c>
      <c r="J15" s="13">
        <v>118</v>
      </c>
    </row>
    <row r="16" spans="1:10" x14ac:dyDescent="0.25">
      <c r="A16" s="11">
        <v>1991</v>
      </c>
      <c r="B16" s="11" t="s">
        <v>267</v>
      </c>
      <c r="C16" s="13">
        <v>237</v>
      </c>
      <c r="D16" s="13">
        <v>0</v>
      </c>
      <c r="E16" s="13">
        <v>16</v>
      </c>
      <c r="F16" s="13">
        <v>57</v>
      </c>
      <c r="G16" s="13">
        <v>88</v>
      </c>
      <c r="H16" s="13">
        <v>53</v>
      </c>
      <c r="I16" s="13">
        <v>15</v>
      </c>
      <c r="J16" s="13">
        <v>8</v>
      </c>
    </row>
    <row r="17" spans="1:10" x14ac:dyDescent="0.25">
      <c r="A17" s="11">
        <v>1991</v>
      </c>
      <c r="B17" s="11" t="s">
        <v>268</v>
      </c>
      <c r="C17" s="13">
        <v>324</v>
      </c>
      <c r="D17" s="13">
        <v>1</v>
      </c>
      <c r="E17" s="13">
        <v>22</v>
      </c>
      <c r="F17" s="13">
        <v>93</v>
      </c>
      <c r="G17" s="13">
        <v>109</v>
      </c>
      <c r="H17" s="13">
        <v>73</v>
      </c>
      <c r="I17" s="13">
        <v>25</v>
      </c>
      <c r="J17" s="13">
        <v>1</v>
      </c>
    </row>
    <row r="18" spans="1:10" x14ac:dyDescent="0.25">
      <c r="A18" s="11">
        <v>1991</v>
      </c>
      <c r="B18" s="11" t="s">
        <v>269</v>
      </c>
      <c r="C18" s="13">
        <v>4907</v>
      </c>
      <c r="D18" s="13">
        <v>2</v>
      </c>
      <c r="E18" s="13">
        <v>423</v>
      </c>
      <c r="F18" s="13">
        <v>1359</v>
      </c>
      <c r="G18" s="13">
        <v>1743</v>
      </c>
      <c r="H18" s="13">
        <v>1029</v>
      </c>
      <c r="I18" s="13">
        <v>303</v>
      </c>
      <c r="J18" s="13">
        <v>48</v>
      </c>
    </row>
    <row r="19" spans="1:10" x14ac:dyDescent="0.25">
      <c r="A19" s="11">
        <v>1991</v>
      </c>
      <c r="B19" s="11" t="s">
        <v>270</v>
      </c>
      <c r="C19" s="13">
        <v>329</v>
      </c>
      <c r="D19" s="13">
        <v>0</v>
      </c>
      <c r="E19" s="13">
        <v>23</v>
      </c>
      <c r="F19" s="13">
        <v>79</v>
      </c>
      <c r="G19" s="13">
        <v>105</v>
      </c>
      <c r="H19" s="13">
        <v>86</v>
      </c>
      <c r="I19" s="13">
        <v>31</v>
      </c>
      <c r="J19" s="13">
        <v>5</v>
      </c>
    </row>
    <row r="20" spans="1:10" x14ac:dyDescent="0.25">
      <c r="A20" s="11">
        <v>1992</v>
      </c>
      <c r="B20" s="11" t="s">
        <v>11</v>
      </c>
      <c r="C20" s="13">
        <v>65789</v>
      </c>
      <c r="D20" s="13">
        <v>60</v>
      </c>
      <c r="E20" s="13">
        <v>5206</v>
      </c>
      <c r="F20" s="13">
        <v>15405</v>
      </c>
      <c r="G20" s="13">
        <v>23571</v>
      </c>
      <c r="H20" s="13">
        <v>15973</v>
      </c>
      <c r="I20" s="13">
        <v>4877</v>
      </c>
      <c r="J20" s="13">
        <v>697</v>
      </c>
    </row>
    <row r="21" spans="1:10" x14ac:dyDescent="0.25">
      <c r="A21" s="11">
        <v>1992</v>
      </c>
      <c r="B21" s="11" t="s">
        <v>260</v>
      </c>
      <c r="C21" s="13">
        <v>4723</v>
      </c>
      <c r="D21" s="13">
        <v>9</v>
      </c>
      <c r="E21" s="13">
        <v>452</v>
      </c>
      <c r="F21" s="13">
        <v>1215</v>
      </c>
      <c r="G21" s="13">
        <v>1691</v>
      </c>
      <c r="H21" s="13">
        <v>1010</v>
      </c>
      <c r="I21" s="13">
        <v>301</v>
      </c>
      <c r="J21" s="13">
        <v>45</v>
      </c>
    </row>
    <row r="22" spans="1:10" x14ac:dyDescent="0.25">
      <c r="A22" s="11">
        <v>1992</v>
      </c>
      <c r="B22" s="11" t="s">
        <v>261</v>
      </c>
      <c r="C22" s="13">
        <v>1196</v>
      </c>
      <c r="D22" s="13">
        <v>1</v>
      </c>
      <c r="E22" s="13">
        <v>71</v>
      </c>
      <c r="F22" s="13">
        <v>270</v>
      </c>
      <c r="G22" s="13">
        <v>453</v>
      </c>
      <c r="H22" s="13">
        <v>289</v>
      </c>
      <c r="I22" s="13">
        <v>98</v>
      </c>
      <c r="J22" s="13">
        <v>14</v>
      </c>
    </row>
    <row r="23" spans="1:10" x14ac:dyDescent="0.25">
      <c r="A23" s="11">
        <v>1992</v>
      </c>
      <c r="B23" s="11" t="s">
        <v>233</v>
      </c>
      <c r="C23" s="13">
        <v>1751</v>
      </c>
      <c r="D23" s="13">
        <v>6</v>
      </c>
      <c r="E23" s="13">
        <v>148</v>
      </c>
      <c r="F23" s="13">
        <v>445</v>
      </c>
      <c r="G23" s="13">
        <v>655</v>
      </c>
      <c r="H23" s="13">
        <v>361</v>
      </c>
      <c r="I23" s="13">
        <v>117</v>
      </c>
      <c r="J23" s="13">
        <v>19</v>
      </c>
    </row>
    <row r="24" spans="1:10" x14ac:dyDescent="0.25">
      <c r="A24" s="11">
        <v>1992</v>
      </c>
      <c r="B24" s="11" t="s">
        <v>240</v>
      </c>
      <c r="C24" s="13">
        <v>4306</v>
      </c>
      <c r="D24" s="13">
        <v>8</v>
      </c>
      <c r="E24" s="13">
        <v>385</v>
      </c>
      <c r="F24" s="13">
        <v>1118</v>
      </c>
      <c r="G24" s="13">
        <v>1573</v>
      </c>
      <c r="H24" s="13">
        <v>919</v>
      </c>
      <c r="I24" s="13">
        <v>265</v>
      </c>
      <c r="J24" s="13">
        <v>38</v>
      </c>
    </row>
    <row r="25" spans="1:10" x14ac:dyDescent="0.25">
      <c r="A25" s="11">
        <v>1992</v>
      </c>
      <c r="B25" s="11" t="s">
        <v>262</v>
      </c>
      <c r="C25" s="13">
        <v>3457</v>
      </c>
      <c r="D25" s="13">
        <v>2</v>
      </c>
      <c r="E25" s="13">
        <v>269</v>
      </c>
      <c r="F25" s="13">
        <v>818</v>
      </c>
      <c r="G25" s="13">
        <v>1297</v>
      </c>
      <c r="H25" s="13">
        <v>822</v>
      </c>
      <c r="I25" s="13">
        <v>217</v>
      </c>
      <c r="J25" s="13">
        <v>32</v>
      </c>
    </row>
    <row r="26" spans="1:10" x14ac:dyDescent="0.25">
      <c r="A26" s="11">
        <v>1992</v>
      </c>
      <c r="B26" s="11" t="s">
        <v>263</v>
      </c>
      <c r="C26" s="13">
        <v>6849</v>
      </c>
      <c r="D26" s="13">
        <v>3</v>
      </c>
      <c r="E26" s="13">
        <v>460</v>
      </c>
      <c r="F26" s="13">
        <v>1572</v>
      </c>
      <c r="G26" s="13">
        <v>2514</v>
      </c>
      <c r="H26" s="13">
        <v>1716</v>
      </c>
      <c r="I26" s="13">
        <v>507</v>
      </c>
      <c r="J26" s="13">
        <v>77</v>
      </c>
    </row>
    <row r="27" spans="1:10" x14ac:dyDescent="0.25">
      <c r="A27" s="11">
        <v>1992</v>
      </c>
      <c r="B27" s="11" t="s">
        <v>264</v>
      </c>
      <c r="C27" s="13">
        <v>15909</v>
      </c>
      <c r="D27" s="13">
        <v>9</v>
      </c>
      <c r="E27" s="13">
        <v>1378</v>
      </c>
      <c r="F27" s="13">
        <v>3651</v>
      </c>
      <c r="G27" s="13">
        <v>5427</v>
      </c>
      <c r="H27" s="13">
        <v>4062</v>
      </c>
      <c r="I27" s="13">
        <v>1227</v>
      </c>
      <c r="J27" s="13">
        <v>155</v>
      </c>
    </row>
    <row r="28" spans="1:10" x14ac:dyDescent="0.25">
      <c r="A28" s="11">
        <v>1992</v>
      </c>
      <c r="B28" s="11" t="s">
        <v>242</v>
      </c>
      <c r="C28" s="13">
        <v>3812</v>
      </c>
      <c r="D28" s="13">
        <v>5</v>
      </c>
      <c r="E28" s="13">
        <v>265</v>
      </c>
      <c r="F28" s="13">
        <v>879</v>
      </c>
      <c r="G28" s="13">
        <v>1405</v>
      </c>
      <c r="H28" s="13">
        <v>870</v>
      </c>
      <c r="I28" s="13">
        <v>334</v>
      </c>
      <c r="J28" s="13">
        <v>54</v>
      </c>
    </row>
    <row r="29" spans="1:10" x14ac:dyDescent="0.25">
      <c r="A29" s="11">
        <v>1992</v>
      </c>
      <c r="B29" s="11" t="s">
        <v>265</v>
      </c>
      <c r="C29" s="13">
        <v>8222</v>
      </c>
      <c r="D29" s="13">
        <v>5</v>
      </c>
      <c r="E29" s="13">
        <v>701</v>
      </c>
      <c r="F29" s="13">
        <v>1932</v>
      </c>
      <c r="G29" s="13">
        <v>2978</v>
      </c>
      <c r="H29" s="13">
        <v>2001</v>
      </c>
      <c r="I29" s="13">
        <v>529</v>
      </c>
      <c r="J29" s="13">
        <v>76</v>
      </c>
    </row>
    <row r="30" spans="1:10" x14ac:dyDescent="0.25">
      <c r="A30" s="11">
        <v>1992</v>
      </c>
      <c r="B30" s="11" t="s">
        <v>266</v>
      </c>
      <c r="C30" s="13">
        <v>9790</v>
      </c>
      <c r="D30" s="13">
        <v>5</v>
      </c>
      <c r="E30" s="13">
        <v>599</v>
      </c>
      <c r="F30" s="13">
        <v>2052</v>
      </c>
      <c r="G30" s="13">
        <v>3572</v>
      </c>
      <c r="H30" s="13">
        <v>2590</v>
      </c>
      <c r="I30" s="13">
        <v>854</v>
      </c>
      <c r="J30" s="13">
        <v>118</v>
      </c>
    </row>
    <row r="31" spans="1:10" x14ac:dyDescent="0.25">
      <c r="A31" s="11">
        <v>1992</v>
      </c>
      <c r="B31" s="11" t="s">
        <v>267</v>
      </c>
      <c r="C31" s="13">
        <v>239</v>
      </c>
      <c r="D31" s="13">
        <v>0</v>
      </c>
      <c r="E31" s="13">
        <v>16</v>
      </c>
      <c r="F31" s="13">
        <v>51</v>
      </c>
      <c r="G31" s="13">
        <v>92</v>
      </c>
      <c r="H31" s="13">
        <v>58</v>
      </c>
      <c r="I31" s="13">
        <v>18</v>
      </c>
      <c r="J31" s="13">
        <v>4</v>
      </c>
    </row>
    <row r="32" spans="1:10" x14ac:dyDescent="0.25">
      <c r="A32" s="11">
        <v>1992</v>
      </c>
      <c r="B32" s="11" t="s">
        <v>268</v>
      </c>
      <c r="C32" s="13">
        <v>325</v>
      </c>
      <c r="D32" s="13">
        <v>1</v>
      </c>
      <c r="E32" s="13">
        <v>21</v>
      </c>
      <c r="F32" s="13">
        <v>101</v>
      </c>
      <c r="G32" s="13">
        <v>99</v>
      </c>
      <c r="H32" s="13">
        <v>70</v>
      </c>
      <c r="I32" s="13">
        <v>31</v>
      </c>
      <c r="J32" s="13">
        <v>2</v>
      </c>
    </row>
    <row r="33" spans="1:10" x14ac:dyDescent="0.25">
      <c r="A33" s="11">
        <v>1992</v>
      </c>
      <c r="B33" s="11" t="s">
        <v>269</v>
      </c>
      <c r="C33" s="13">
        <v>4878</v>
      </c>
      <c r="D33" s="13">
        <v>6</v>
      </c>
      <c r="E33" s="13">
        <v>407</v>
      </c>
      <c r="F33" s="13">
        <v>1236</v>
      </c>
      <c r="G33" s="13">
        <v>1708</v>
      </c>
      <c r="H33" s="13">
        <v>1118</v>
      </c>
      <c r="I33" s="13">
        <v>351</v>
      </c>
      <c r="J33" s="13">
        <v>52</v>
      </c>
    </row>
    <row r="34" spans="1:10" x14ac:dyDescent="0.25">
      <c r="A34" s="11">
        <v>1992</v>
      </c>
      <c r="B34" s="11" t="s">
        <v>270</v>
      </c>
      <c r="C34" s="13">
        <v>332</v>
      </c>
      <c r="D34" s="13">
        <v>0</v>
      </c>
      <c r="E34" s="13">
        <v>34</v>
      </c>
      <c r="F34" s="13">
        <v>65</v>
      </c>
      <c r="G34" s="13">
        <v>107</v>
      </c>
      <c r="H34" s="13">
        <v>87</v>
      </c>
      <c r="I34" s="13">
        <v>28</v>
      </c>
      <c r="J34" s="13">
        <v>11</v>
      </c>
    </row>
    <row r="35" spans="1:10" x14ac:dyDescent="0.25">
      <c r="A35" s="11">
        <v>1993</v>
      </c>
      <c r="B35" s="11" t="s">
        <v>11</v>
      </c>
      <c r="C35" s="13">
        <v>63337</v>
      </c>
      <c r="D35" s="13">
        <v>49</v>
      </c>
      <c r="E35" s="13">
        <v>4750</v>
      </c>
      <c r="F35" s="13">
        <v>13923</v>
      </c>
      <c r="G35" s="13">
        <v>22758</v>
      </c>
      <c r="H35" s="13">
        <v>16088</v>
      </c>
      <c r="I35" s="13">
        <v>5049</v>
      </c>
      <c r="J35" s="13">
        <v>720</v>
      </c>
    </row>
    <row r="36" spans="1:10" x14ac:dyDescent="0.25">
      <c r="A36" s="11">
        <v>1993</v>
      </c>
      <c r="B36" s="11" t="s">
        <v>260</v>
      </c>
      <c r="C36" s="13">
        <v>4572</v>
      </c>
      <c r="D36" s="13">
        <v>0</v>
      </c>
      <c r="E36" s="13">
        <v>436</v>
      </c>
      <c r="F36" s="13">
        <v>1132</v>
      </c>
      <c r="G36" s="13">
        <v>1594</v>
      </c>
      <c r="H36" s="13">
        <v>1050</v>
      </c>
      <c r="I36" s="13">
        <v>315</v>
      </c>
      <c r="J36" s="13">
        <v>45</v>
      </c>
    </row>
    <row r="37" spans="1:10" x14ac:dyDescent="0.25">
      <c r="A37" s="11">
        <v>1993</v>
      </c>
      <c r="B37" s="11" t="s">
        <v>261</v>
      </c>
      <c r="C37" s="13">
        <v>1138</v>
      </c>
      <c r="D37" s="13">
        <v>2</v>
      </c>
      <c r="E37" s="13">
        <v>50</v>
      </c>
      <c r="F37" s="13">
        <v>235</v>
      </c>
      <c r="G37" s="13">
        <v>431</v>
      </c>
      <c r="H37" s="13">
        <v>313</v>
      </c>
      <c r="I37" s="13">
        <v>97</v>
      </c>
      <c r="J37" s="13">
        <v>10</v>
      </c>
    </row>
    <row r="38" spans="1:10" x14ac:dyDescent="0.25">
      <c r="A38" s="11">
        <v>1993</v>
      </c>
      <c r="B38" s="11" t="s">
        <v>233</v>
      </c>
      <c r="C38" s="13">
        <v>1709</v>
      </c>
      <c r="D38" s="13">
        <v>14</v>
      </c>
      <c r="E38" s="13">
        <v>140</v>
      </c>
      <c r="F38" s="13">
        <v>400</v>
      </c>
      <c r="G38" s="13">
        <v>631</v>
      </c>
      <c r="H38" s="13">
        <v>406</v>
      </c>
      <c r="I38" s="13">
        <v>107</v>
      </c>
      <c r="J38" s="13">
        <v>11</v>
      </c>
    </row>
    <row r="39" spans="1:10" x14ac:dyDescent="0.25">
      <c r="A39" s="11">
        <v>1993</v>
      </c>
      <c r="B39" s="11" t="s">
        <v>240</v>
      </c>
      <c r="C39" s="13">
        <v>4278</v>
      </c>
      <c r="D39" s="13">
        <v>2</v>
      </c>
      <c r="E39" s="13">
        <v>337</v>
      </c>
      <c r="F39" s="13">
        <v>1040</v>
      </c>
      <c r="G39" s="13">
        <v>1599</v>
      </c>
      <c r="H39" s="13">
        <v>963</v>
      </c>
      <c r="I39" s="13">
        <v>298</v>
      </c>
      <c r="J39" s="13">
        <v>39</v>
      </c>
    </row>
    <row r="40" spans="1:10" x14ac:dyDescent="0.25">
      <c r="A40" s="11">
        <v>1993</v>
      </c>
      <c r="B40" s="11" t="s">
        <v>262</v>
      </c>
      <c r="C40" s="13">
        <v>3350</v>
      </c>
      <c r="D40" s="13">
        <v>5</v>
      </c>
      <c r="E40" s="13">
        <v>262</v>
      </c>
      <c r="F40" s="13">
        <v>746</v>
      </c>
      <c r="G40" s="13">
        <v>1290</v>
      </c>
      <c r="H40" s="13">
        <v>793</v>
      </c>
      <c r="I40" s="13">
        <v>225</v>
      </c>
      <c r="J40" s="13">
        <v>29</v>
      </c>
    </row>
    <row r="41" spans="1:10" x14ac:dyDescent="0.25">
      <c r="A41" s="11">
        <v>1993</v>
      </c>
      <c r="B41" s="11" t="s">
        <v>263</v>
      </c>
      <c r="C41" s="13">
        <v>6622</v>
      </c>
      <c r="D41" s="13">
        <v>4</v>
      </c>
      <c r="E41" s="13">
        <v>379</v>
      </c>
      <c r="F41" s="13">
        <v>1469</v>
      </c>
      <c r="G41" s="13">
        <v>2440</v>
      </c>
      <c r="H41" s="13">
        <v>1719</v>
      </c>
      <c r="I41" s="13">
        <v>526</v>
      </c>
      <c r="J41" s="13">
        <v>85</v>
      </c>
    </row>
    <row r="42" spans="1:10" x14ac:dyDescent="0.25">
      <c r="A42" s="11">
        <v>1993</v>
      </c>
      <c r="B42" s="11" t="s">
        <v>264</v>
      </c>
      <c r="C42" s="13">
        <v>15113</v>
      </c>
      <c r="D42" s="13">
        <v>6</v>
      </c>
      <c r="E42" s="13">
        <v>1224</v>
      </c>
      <c r="F42" s="13">
        <v>3210</v>
      </c>
      <c r="G42" s="13">
        <v>5149</v>
      </c>
      <c r="H42" s="13">
        <v>4046</v>
      </c>
      <c r="I42" s="13">
        <v>1313</v>
      </c>
      <c r="J42" s="13">
        <v>165</v>
      </c>
    </row>
    <row r="43" spans="1:10" x14ac:dyDescent="0.25">
      <c r="A43" s="11">
        <v>1993</v>
      </c>
      <c r="B43" s="11" t="s">
        <v>242</v>
      </c>
      <c r="C43" s="13">
        <v>3549</v>
      </c>
      <c r="D43" s="13">
        <v>9</v>
      </c>
      <c r="E43" s="13">
        <v>253</v>
      </c>
      <c r="F43" s="13">
        <v>809</v>
      </c>
      <c r="G43" s="13">
        <v>1240</v>
      </c>
      <c r="H43" s="13">
        <v>874</v>
      </c>
      <c r="I43" s="13">
        <v>315</v>
      </c>
      <c r="J43" s="13">
        <v>49</v>
      </c>
    </row>
    <row r="44" spans="1:10" x14ac:dyDescent="0.25">
      <c r="A44" s="11">
        <v>1993</v>
      </c>
      <c r="B44" s="11" t="s">
        <v>265</v>
      </c>
      <c r="C44" s="13">
        <v>8087</v>
      </c>
      <c r="D44" s="13">
        <v>5</v>
      </c>
      <c r="E44" s="13">
        <v>606</v>
      </c>
      <c r="F44" s="13">
        <v>1814</v>
      </c>
      <c r="G44" s="13">
        <v>3017</v>
      </c>
      <c r="H44" s="13">
        <v>1984</v>
      </c>
      <c r="I44" s="13">
        <v>578</v>
      </c>
      <c r="J44" s="13">
        <v>83</v>
      </c>
    </row>
    <row r="45" spans="1:10" x14ac:dyDescent="0.25">
      <c r="A45" s="11">
        <v>1993</v>
      </c>
      <c r="B45" s="11" t="s">
        <v>266</v>
      </c>
      <c r="C45" s="13">
        <v>9342</v>
      </c>
      <c r="D45" s="13">
        <v>1</v>
      </c>
      <c r="E45" s="13">
        <v>600</v>
      </c>
      <c r="F45" s="13">
        <v>1760</v>
      </c>
      <c r="G45" s="13">
        <v>3338</v>
      </c>
      <c r="H45" s="13">
        <v>2636</v>
      </c>
      <c r="I45" s="13">
        <v>868</v>
      </c>
      <c r="J45" s="13">
        <v>139</v>
      </c>
    </row>
    <row r="46" spans="1:10" x14ac:dyDescent="0.25">
      <c r="A46" s="11">
        <v>1993</v>
      </c>
      <c r="B46" s="11" t="s">
        <v>267</v>
      </c>
      <c r="C46" s="13">
        <v>237</v>
      </c>
      <c r="D46" s="13">
        <v>1</v>
      </c>
      <c r="E46" s="13">
        <v>15</v>
      </c>
      <c r="F46" s="13">
        <v>60</v>
      </c>
      <c r="G46" s="13">
        <v>91</v>
      </c>
      <c r="H46" s="13">
        <v>52</v>
      </c>
      <c r="I46" s="13">
        <v>15</v>
      </c>
      <c r="J46" s="13">
        <v>3</v>
      </c>
    </row>
    <row r="47" spans="1:10" x14ac:dyDescent="0.25">
      <c r="A47" s="11">
        <v>1993</v>
      </c>
      <c r="B47" s="11" t="s">
        <v>268</v>
      </c>
      <c r="C47" s="13">
        <v>313</v>
      </c>
      <c r="D47" s="13">
        <v>0</v>
      </c>
      <c r="E47" s="13">
        <v>19</v>
      </c>
      <c r="F47" s="13">
        <v>80</v>
      </c>
      <c r="G47" s="13">
        <v>116</v>
      </c>
      <c r="H47" s="13">
        <v>67</v>
      </c>
      <c r="I47" s="13">
        <v>29</v>
      </c>
      <c r="J47" s="13">
        <v>2</v>
      </c>
    </row>
    <row r="48" spans="1:10" x14ac:dyDescent="0.25">
      <c r="A48" s="11">
        <v>1993</v>
      </c>
      <c r="B48" s="11" t="s">
        <v>269</v>
      </c>
      <c r="C48" s="13">
        <v>4744</v>
      </c>
      <c r="D48" s="13">
        <v>0</v>
      </c>
      <c r="E48" s="13">
        <v>412</v>
      </c>
      <c r="F48" s="13">
        <v>1112</v>
      </c>
      <c r="G48" s="13">
        <v>1725</v>
      </c>
      <c r="H48" s="13">
        <v>1109</v>
      </c>
      <c r="I48" s="13">
        <v>335</v>
      </c>
      <c r="J48" s="13">
        <v>51</v>
      </c>
    </row>
    <row r="49" spans="1:10" x14ac:dyDescent="0.25">
      <c r="A49" s="11">
        <v>1993</v>
      </c>
      <c r="B49" s="11" t="s">
        <v>270</v>
      </c>
      <c r="C49" s="13">
        <v>283</v>
      </c>
      <c r="D49" s="13">
        <v>0</v>
      </c>
      <c r="E49" s="13">
        <v>17</v>
      </c>
      <c r="F49" s="13">
        <v>56</v>
      </c>
      <c r="G49" s="13">
        <v>97</v>
      </c>
      <c r="H49" s="13">
        <v>76</v>
      </c>
      <c r="I49" s="13">
        <v>28</v>
      </c>
      <c r="J49" s="13">
        <v>9</v>
      </c>
    </row>
    <row r="50" spans="1:10" x14ac:dyDescent="0.25">
      <c r="A50" s="11">
        <v>1994</v>
      </c>
      <c r="B50" s="11" t="s">
        <v>11</v>
      </c>
      <c r="C50" s="13">
        <v>61656</v>
      </c>
      <c r="D50" s="13">
        <v>52</v>
      </c>
      <c r="E50" s="13">
        <v>4303</v>
      </c>
      <c r="F50" s="13">
        <v>12637</v>
      </c>
      <c r="G50" s="13">
        <v>21851</v>
      </c>
      <c r="H50" s="13">
        <v>16705</v>
      </c>
      <c r="I50" s="13">
        <v>5346</v>
      </c>
      <c r="J50" s="13">
        <v>762</v>
      </c>
    </row>
    <row r="51" spans="1:10" x14ac:dyDescent="0.25">
      <c r="A51" s="11">
        <v>1994</v>
      </c>
      <c r="B51" s="11" t="s">
        <v>260</v>
      </c>
      <c r="C51" s="13">
        <v>4299</v>
      </c>
      <c r="D51" s="13">
        <v>4</v>
      </c>
      <c r="E51" s="13">
        <v>333</v>
      </c>
      <c r="F51" s="13">
        <v>959</v>
      </c>
      <c r="G51" s="13">
        <v>1567</v>
      </c>
      <c r="H51" s="13">
        <v>1043</v>
      </c>
      <c r="I51" s="13">
        <v>352</v>
      </c>
      <c r="J51" s="13">
        <v>41</v>
      </c>
    </row>
    <row r="52" spans="1:10" x14ac:dyDescent="0.25">
      <c r="A52" s="11">
        <v>1994</v>
      </c>
      <c r="B52" s="11" t="s">
        <v>261</v>
      </c>
      <c r="C52" s="13">
        <v>1147</v>
      </c>
      <c r="D52" s="13">
        <v>2</v>
      </c>
      <c r="E52" s="13">
        <v>68</v>
      </c>
      <c r="F52" s="13">
        <v>234</v>
      </c>
      <c r="G52" s="13">
        <v>409</v>
      </c>
      <c r="H52" s="13">
        <v>316</v>
      </c>
      <c r="I52" s="13">
        <v>99</v>
      </c>
      <c r="J52" s="13">
        <v>19</v>
      </c>
    </row>
    <row r="53" spans="1:10" x14ac:dyDescent="0.25">
      <c r="A53" s="11">
        <v>1994</v>
      </c>
      <c r="B53" s="11" t="s">
        <v>233</v>
      </c>
      <c r="C53" s="13">
        <v>1748</v>
      </c>
      <c r="D53" s="13">
        <v>7</v>
      </c>
      <c r="E53" s="13">
        <v>142</v>
      </c>
      <c r="F53" s="13">
        <v>394</v>
      </c>
      <c r="G53" s="13">
        <v>613</v>
      </c>
      <c r="H53" s="13">
        <v>450</v>
      </c>
      <c r="I53" s="13">
        <v>121</v>
      </c>
      <c r="J53" s="13">
        <v>21</v>
      </c>
    </row>
    <row r="54" spans="1:10" x14ac:dyDescent="0.25">
      <c r="A54" s="11">
        <v>1994</v>
      </c>
      <c r="B54" s="11" t="s">
        <v>240</v>
      </c>
      <c r="C54" s="13">
        <v>4110</v>
      </c>
      <c r="D54" s="13">
        <v>9</v>
      </c>
      <c r="E54" s="13">
        <v>316</v>
      </c>
      <c r="F54" s="13">
        <v>919</v>
      </c>
      <c r="G54" s="13">
        <v>1559</v>
      </c>
      <c r="H54" s="13">
        <v>987</v>
      </c>
      <c r="I54" s="13">
        <v>284</v>
      </c>
      <c r="J54" s="13">
        <v>36</v>
      </c>
    </row>
    <row r="55" spans="1:10" x14ac:dyDescent="0.25">
      <c r="A55" s="11">
        <v>1994</v>
      </c>
      <c r="B55" s="11" t="s">
        <v>262</v>
      </c>
      <c r="C55" s="13">
        <v>3210</v>
      </c>
      <c r="D55" s="13">
        <v>0</v>
      </c>
      <c r="E55" s="13">
        <v>251</v>
      </c>
      <c r="F55" s="13">
        <v>656</v>
      </c>
      <c r="G55" s="13">
        <v>1157</v>
      </c>
      <c r="H55" s="13">
        <v>855</v>
      </c>
      <c r="I55" s="13">
        <v>267</v>
      </c>
      <c r="J55" s="13">
        <v>24</v>
      </c>
    </row>
    <row r="56" spans="1:10" x14ac:dyDescent="0.25">
      <c r="A56" s="11">
        <v>1994</v>
      </c>
      <c r="B56" s="11" t="s">
        <v>263</v>
      </c>
      <c r="C56" s="13">
        <v>6627</v>
      </c>
      <c r="D56" s="13">
        <v>3</v>
      </c>
      <c r="E56" s="13">
        <v>370</v>
      </c>
      <c r="F56" s="13">
        <v>1344</v>
      </c>
      <c r="G56" s="13">
        <v>2452</v>
      </c>
      <c r="H56" s="13">
        <v>1829</v>
      </c>
      <c r="I56" s="13">
        <v>532</v>
      </c>
      <c r="J56" s="13">
        <v>97</v>
      </c>
    </row>
    <row r="57" spans="1:10" x14ac:dyDescent="0.25">
      <c r="A57" s="11">
        <v>1994</v>
      </c>
      <c r="B57" s="11" t="s">
        <v>264</v>
      </c>
      <c r="C57" s="13">
        <v>14587</v>
      </c>
      <c r="D57" s="13">
        <v>7</v>
      </c>
      <c r="E57" s="13">
        <v>1109</v>
      </c>
      <c r="F57" s="13">
        <v>2991</v>
      </c>
      <c r="G57" s="13">
        <v>4884</v>
      </c>
      <c r="H57" s="13">
        <v>4068</v>
      </c>
      <c r="I57" s="13">
        <v>1347</v>
      </c>
      <c r="J57" s="13">
        <v>181</v>
      </c>
    </row>
    <row r="58" spans="1:10" x14ac:dyDescent="0.25">
      <c r="A58" s="11">
        <v>1994</v>
      </c>
      <c r="B58" s="11" t="s">
        <v>242</v>
      </c>
      <c r="C58" s="13">
        <v>3516</v>
      </c>
      <c r="D58" s="13">
        <v>7</v>
      </c>
      <c r="E58" s="13">
        <v>215</v>
      </c>
      <c r="F58" s="13">
        <v>756</v>
      </c>
      <c r="G58" s="13">
        <v>1232</v>
      </c>
      <c r="H58" s="13">
        <v>904</v>
      </c>
      <c r="I58" s="13">
        <v>343</v>
      </c>
      <c r="J58" s="13">
        <v>59</v>
      </c>
    </row>
    <row r="59" spans="1:10" x14ac:dyDescent="0.25">
      <c r="A59" s="11">
        <v>1994</v>
      </c>
      <c r="B59" s="11" t="s">
        <v>265</v>
      </c>
      <c r="C59" s="13">
        <v>7774</v>
      </c>
      <c r="D59" s="13">
        <v>3</v>
      </c>
      <c r="E59" s="13">
        <v>578</v>
      </c>
      <c r="F59" s="13">
        <v>1570</v>
      </c>
      <c r="G59" s="13">
        <v>2895</v>
      </c>
      <c r="H59" s="13">
        <v>2035</v>
      </c>
      <c r="I59" s="13">
        <v>601</v>
      </c>
      <c r="J59" s="13">
        <v>92</v>
      </c>
    </row>
    <row r="60" spans="1:10" x14ac:dyDescent="0.25">
      <c r="A60" s="11">
        <v>1994</v>
      </c>
      <c r="B60" s="11" t="s">
        <v>266</v>
      </c>
      <c r="C60" s="13">
        <v>9341</v>
      </c>
      <c r="D60" s="13">
        <v>5</v>
      </c>
      <c r="E60" s="13">
        <v>529</v>
      </c>
      <c r="F60" s="13">
        <v>1632</v>
      </c>
      <c r="G60" s="13">
        <v>3236</v>
      </c>
      <c r="H60" s="13">
        <v>2860</v>
      </c>
      <c r="I60" s="13">
        <v>951</v>
      </c>
      <c r="J60" s="13">
        <v>128</v>
      </c>
    </row>
    <row r="61" spans="1:10" x14ac:dyDescent="0.25">
      <c r="A61" s="11">
        <v>1994</v>
      </c>
      <c r="B61" s="11" t="s">
        <v>267</v>
      </c>
      <c r="C61" s="13">
        <v>249</v>
      </c>
      <c r="D61" s="13">
        <v>0</v>
      </c>
      <c r="E61" s="13">
        <v>12</v>
      </c>
      <c r="F61" s="13">
        <v>51</v>
      </c>
      <c r="G61" s="13">
        <v>91</v>
      </c>
      <c r="H61" s="13">
        <v>63</v>
      </c>
      <c r="I61" s="13">
        <v>27</v>
      </c>
      <c r="J61" s="13">
        <v>5</v>
      </c>
    </row>
    <row r="62" spans="1:10" x14ac:dyDescent="0.25">
      <c r="A62" s="11">
        <v>1994</v>
      </c>
      <c r="B62" s="11" t="s">
        <v>268</v>
      </c>
      <c r="C62" s="13">
        <v>314</v>
      </c>
      <c r="D62" s="13">
        <v>1</v>
      </c>
      <c r="E62" s="13">
        <v>18</v>
      </c>
      <c r="F62" s="13">
        <v>63</v>
      </c>
      <c r="G62" s="13">
        <v>123</v>
      </c>
      <c r="H62" s="13">
        <v>85</v>
      </c>
      <c r="I62" s="13">
        <v>20</v>
      </c>
      <c r="J62" s="13">
        <v>4</v>
      </c>
    </row>
    <row r="63" spans="1:10" x14ac:dyDescent="0.25">
      <c r="A63" s="11">
        <v>1994</v>
      </c>
      <c r="B63" s="11" t="s">
        <v>269</v>
      </c>
      <c r="C63" s="13">
        <v>4434</v>
      </c>
      <c r="D63" s="13">
        <v>3</v>
      </c>
      <c r="E63" s="13">
        <v>352</v>
      </c>
      <c r="F63" s="13">
        <v>1006</v>
      </c>
      <c r="G63" s="13">
        <v>1522</v>
      </c>
      <c r="H63" s="13">
        <v>1137</v>
      </c>
      <c r="I63" s="13">
        <v>364</v>
      </c>
      <c r="J63" s="13">
        <v>50</v>
      </c>
    </row>
    <row r="64" spans="1:10" x14ac:dyDescent="0.25">
      <c r="A64" s="11">
        <v>1994</v>
      </c>
      <c r="B64" s="11" t="s">
        <v>270</v>
      </c>
      <c r="C64" s="13">
        <v>300</v>
      </c>
      <c r="D64" s="13">
        <v>1</v>
      </c>
      <c r="E64" s="13">
        <v>10</v>
      </c>
      <c r="F64" s="13">
        <v>62</v>
      </c>
      <c r="G64" s="13">
        <v>111</v>
      </c>
      <c r="H64" s="13">
        <v>73</v>
      </c>
      <c r="I64" s="13">
        <v>38</v>
      </c>
      <c r="J64" s="13">
        <v>5</v>
      </c>
    </row>
    <row r="65" spans="1:10" x14ac:dyDescent="0.25">
      <c r="A65" s="11">
        <v>1995</v>
      </c>
      <c r="B65" s="11" t="s">
        <v>11</v>
      </c>
      <c r="C65" s="13">
        <v>60051</v>
      </c>
      <c r="D65" s="13">
        <v>24</v>
      </c>
      <c r="E65" s="13">
        <v>4280</v>
      </c>
      <c r="F65" s="13">
        <v>11913</v>
      </c>
      <c r="G65" s="13">
        <v>20395</v>
      </c>
      <c r="H65" s="13">
        <v>16803</v>
      </c>
      <c r="I65" s="13">
        <v>5799</v>
      </c>
      <c r="J65" s="13">
        <v>837</v>
      </c>
    </row>
    <row r="66" spans="1:10" x14ac:dyDescent="0.25">
      <c r="A66" s="11">
        <v>1995</v>
      </c>
      <c r="B66" s="11" t="s">
        <v>260</v>
      </c>
      <c r="C66" s="13">
        <v>4176</v>
      </c>
      <c r="D66" s="13">
        <v>0</v>
      </c>
      <c r="E66" s="13">
        <v>363</v>
      </c>
      <c r="F66" s="13">
        <v>918</v>
      </c>
      <c r="G66" s="13">
        <v>1462</v>
      </c>
      <c r="H66" s="13">
        <v>1040</v>
      </c>
      <c r="I66" s="13">
        <v>347</v>
      </c>
      <c r="J66" s="13">
        <v>46</v>
      </c>
    </row>
    <row r="67" spans="1:10" x14ac:dyDescent="0.25">
      <c r="A67" s="11">
        <v>1995</v>
      </c>
      <c r="B67" s="11" t="s">
        <v>261</v>
      </c>
      <c r="C67" s="13">
        <v>1172</v>
      </c>
      <c r="D67" s="13">
        <v>0</v>
      </c>
      <c r="E67" s="13">
        <v>72</v>
      </c>
      <c r="F67" s="13">
        <v>230</v>
      </c>
      <c r="G67" s="13">
        <v>397</v>
      </c>
      <c r="H67" s="13">
        <v>330</v>
      </c>
      <c r="I67" s="13">
        <v>113</v>
      </c>
      <c r="J67" s="13">
        <v>30</v>
      </c>
    </row>
    <row r="68" spans="1:10" x14ac:dyDescent="0.25">
      <c r="A68" s="11">
        <v>1995</v>
      </c>
      <c r="B68" s="11" t="s">
        <v>233</v>
      </c>
      <c r="C68" s="13">
        <v>1636</v>
      </c>
      <c r="D68" s="13">
        <v>6</v>
      </c>
      <c r="E68" s="13">
        <v>110</v>
      </c>
      <c r="F68" s="13">
        <v>354</v>
      </c>
      <c r="G68" s="13">
        <v>590</v>
      </c>
      <c r="H68" s="13">
        <v>416</v>
      </c>
      <c r="I68" s="13">
        <v>138</v>
      </c>
      <c r="J68" s="13">
        <v>22</v>
      </c>
    </row>
    <row r="69" spans="1:10" x14ac:dyDescent="0.25">
      <c r="A69" s="11">
        <v>1995</v>
      </c>
      <c r="B69" s="11" t="s">
        <v>240</v>
      </c>
      <c r="C69" s="13">
        <v>4033</v>
      </c>
      <c r="D69" s="13">
        <v>0</v>
      </c>
      <c r="E69" s="13">
        <v>300</v>
      </c>
      <c r="F69" s="13">
        <v>853</v>
      </c>
      <c r="G69" s="13">
        <v>1464</v>
      </c>
      <c r="H69" s="13">
        <v>1020</v>
      </c>
      <c r="I69" s="13">
        <v>335</v>
      </c>
      <c r="J69" s="13">
        <v>61</v>
      </c>
    </row>
    <row r="70" spans="1:10" x14ac:dyDescent="0.25">
      <c r="A70" s="11">
        <v>1995</v>
      </c>
      <c r="B70" s="11" t="s">
        <v>262</v>
      </c>
      <c r="C70" s="13">
        <v>3183</v>
      </c>
      <c r="D70" s="13">
        <v>1</v>
      </c>
      <c r="E70" s="13">
        <v>214</v>
      </c>
      <c r="F70" s="13">
        <v>665</v>
      </c>
      <c r="G70" s="13">
        <v>1102</v>
      </c>
      <c r="H70" s="13">
        <v>877</v>
      </c>
      <c r="I70" s="13">
        <v>283</v>
      </c>
      <c r="J70" s="13">
        <v>41</v>
      </c>
    </row>
    <row r="71" spans="1:10" x14ac:dyDescent="0.25">
      <c r="A71" s="11">
        <v>1995</v>
      </c>
      <c r="B71" s="11" t="s">
        <v>263</v>
      </c>
      <c r="C71" s="13">
        <v>6136</v>
      </c>
      <c r="D71" s="13">
        <v>1</v>
      </c>
      <c r="E71" s="13">
        <v>328</v>
      </c>
      <c r="F71" s="13">
        <v>1161</v>
      </c>
      <c r="G71" s="13">
        <v>2144</v>
      </c>
      <c r="H71" s="13">
        <v>1814</v>
      </c>
      <c r="I71" s="13">
        <v>596</v>
      </c>
      <c r="J71" s="13">
        <v>92</v>
      </c>
    </row>
    <row r="72" spans="1:10" x14ac:dyDescent="0.25">
      <c r="A72" s="11">
        <v>1995</v>
      </c>
      <c r="B72" s="11" t="s">
        <v>264</v>
      </c>
      <c r="C72" s="13">
        <v>14402</v>
      </c>
      <c r="D72" s="13">
        <v>3</v>
      </c>
      <c r="E72" s="13">
        <v>1163</v>
      </c>
      <c r="F72" s="13">
        <v>2794</v>
      </c>
      <c r="G72" s="13">
        <v>4688</v>
      </c>
      <c r="H72" s="13">
        <v>4061</v>
      </c>
      <c r="I72" s="13">
        <v>1492</v>
      </c>
      <c r="J72" s="13">
        <v>201</v>
      </c>
    </row>
    <row r="73" spans="1:10" x14ac:dyDescent="0.25">
      <c r="A73" s="11">
        <v>1995</v>
      </c>
      <c r="B73" s="11" t="s">
        <v>242</v>
      </c>
      <c r="C73" s="13">
        <v>3423</v>
      </c>
      <c r="D73" s="13">
        <v>2</v>
      </c>
      <c r="E73" s="13">
        <v>199</v>
      </c>
      <c r="F73" s="13">
        <v>685</v>
      </c>
      <c r="G73" s="13">
        <v>1139</v>
      </c>
      <c r="H73" s="13">
        <v>982</v>
      </c>
      <c r="I73" s="13">
        <v>349</v>
      </c>
      <c r="J73" s="13">
        <v>67</v>
      </c>
    </row>
    <row r="74" spans="1:10" x14ac:dyDescent="0.25">
      <c r="A74" s="11">
        <v>1995</v>
      </c>
      <c r="B74" s="11" t="s">
        <v>265</v>
      </c>
      <c r="C74" s="13">
        <v>7539</v>
      </c>
      <c r="D74" s="13">
        <v>0</v>
      </c>
      <c r="E74" s="13">
        <v>585</v>
      </c>
      <c r="F74" s="13">
        <v>1503</v>
      </c>
      <c r="G74" s="13">
        <v>2685</v>
      </c>
      <c r="H74" s="13">
        <v>2009</v>
      </c>
      <c r="I74" s="13">
        <v>677</v>
      </c>
      <c r="J74" s="13">
        <v>80</v>
      </c>
    </row>
    <row r="75" spans="1:10" x14ac:dyDescent="0.25">
      <c r="A75" s="11">
        <v>1995</v>
      </c>
      <c r="B75" s="11" t="s">
        <v>266</v>
      </c>
      <c r="C75" s="13">
        <v>9153</v>
      </c>
      <c r="D75" s="13">
        <v>7</v>
      </c>
      <c r="E75" s="13">
        <v>517</v>
      </c>
      <c r="F75" s="13">
        <v>1606</v>
      </c>
      <c r="G75" s="13">
        <v>3006</v>
      </c>
      <c r="H75" s="13">
        <v>2866</v>
      </c>
      <c r="I75" s="13">
        <v>1023</v>
      </c>
      <c r="J75" s="13">
        <v>128</v>
      </c>
    </row>
    <row r="76" spans="1:10" x14ac:dyDescent="0.25">
      <c r="A76" s="11">
        <v>1995</v>
      </c>
      <c r="B76" s="11" t="s">
        <v>267</v>
      </c>
      <c r="C76" s="13">
        <v>231</v>
      </c>
      <c r="D76" s="13">
        <v>1</v>
      </c>
      <c r="E76" s="13">
        <v>19</v>
      </c>
      <c r="F76" s="13">
        <v>60</v>
      </c>
      <c r="G76" s="13">
        <v>87</v>
      </c>
      <c r="H76" s="13">
        <v>48</v>
      </c>
      <c r="I76" s="13">
        <v>15</v>
      </c>
      <c r="J76" s="13">
        <v>1</v>
      </c>
    </row>
    <row r="77" spans="1:10" x14ac:dyDescent="0.25">
      <c r="A77" s="11">
        <v>1995</v>
      </c>
      <c r="B77" s="11" t="s">
        <v>268</v>
      </c>
      <c r="C77" s="13">
        <v>291</v>
      </c>
      <c r="D77" s="13">
        <v>1</v>
      </c>
      <c r="E77" s="13">
        <v>15</v>
      </c>
      <c r="F77" s="13">
        <v>58</v>
      </c>
      <c r="G77" s="13">
        <v>104</v>
      </c>
      <c r="H77" s="13">
        <v>82</v>
      </c>
      <c r="I77" s="13">
        <v>25</v>
      </c>
      <c r="J77" s="13">
        <v>6</v>
      </c>
    </row>
    <row r="78" spans="1:10" x14ac:dyDescent="0.25">
      <c r="A78" s="11">
        <v>1995</v>
      </c>
      <c r="B78" s="11" t="s">
        <v>269</v>
      </c>
      <c r="C78" s="13">
        <v>4374</v>
      </c>
      <c r="D78" s="13">
        <v>2</v>
      </c>
      <c r="E78" s="13">
        <v>380</v>
      </c>
      <c r="F78" s="13">
        <v>966</v>
      </c>
      <c r="G78" s="13">
        <v>1435</v>
      </c>
      <c r="H78" s="13">
        <v>1176</v>
      </c>
      <c r="I78" s="13">
        <v>363</v>
      </c>
      <c r="J78" s="13">
        <v>52</v>
      </c>
    </row>
    <row r="79" spans="1:10" x14ac:dyDescent="0.25">
      <c r="A79" s="11">
        <v>1995</v>
      </c>
      <c r="B79" s="11" t="s">
        <v>270</v>
      </c>
      <c r="C79" s="13">
        <v>302</v>
      </c>
      <c r="D79" s="13">
        <v>0</v>
      </c>
      <c r="E79" s="13">
        <v>15</v>
      </c>
      <c r="F79" s="13">
        <v>60</v>
      </c>
      <c r="G79" s="13">
        <v>92</v>
      </c>
      <c r="H79" s="13">
        <v>82</v>
      </c>
      <c r="I79" s="13">
        <v>43</v>
      </c>
      <c r="J79" s="13">
        <v>10</v>
      </c>
    </row>
    <row r="80" spans="1:10" x14ac:dyDescent="0.25">
      <c r="A80" s="11">
        <v>1996</v>
      </c>
      <c r="B80" s="11" t="s">
        <v>11</v>
      </c>
      <c r="C80" s="13">
        <v>59296</v>
      </c>
      <c r="D80" s="13">
        <v>128</v>
      </c>
      <c r="E80" s="13">
        <v>4544</v>
      </c>
      <c r="F80" s="13">
        <v>11026</v>
      </c>
      <c r="G80" s="13">
        <v>19511</v>
      </c>
      <c r="H80" s="13">
        <v>17038</v>
      </c>
      <c r="I80" s="13">
        <v>6126</v>
      </c>
      <c r="J80" s="13">
        <v>923</v>
      </c>
    </row>
    <row r="81" spans="1:10" x14ac:dyDescent="0.25">
      <c r="A81" s="11">
        <v>1996</v>
      </c>
      <c r="B81" s="11" t="s">
        <v>260</v>
      </c>
      <c r="C81" s="13">
        <v>4135</v>
      </c>
      <c r="D81" s="13">
        <v>5</v>
      </c>
      <c r="E81" s="13">
        <v>387</v>
      </c>
      <c r="F81" s="13">
        <v>845</v>
      </c>
      <c r="G81" s="13">
        <v>1390</v>
      </c>
      <c r="H81" s="13">
        <v>1083</v>
      </c>
      <c r="I81" s="13">
        <v>370</v>
      </c>
      <c r="J81" s="13">
        <v>55</v>
      </c>
    </row>
    <row r="82" spans="1:10" x14ac:dyDescent="0.25">
      <c r="A82" s="11">
        <v>1996</v>
      </c>
      <c r="B82" s="11" t="s">
        <v>261</v>
      </c>
      <c r="C82" s="13">
        <v>1132</v>
      </c>
      <c r="D82" s="13">
        <v>5</v>
      </c>
      <c r="E82" s="13">
        <v>52</v>
      </c>
      <c r="F82" s="13">
        <v>175</v>
      </c>
      <c r="G82" s="13">
        <v>399</v>
      </c>
      <c r="H82" s="13">
        <v>350</v>
      </c>
      <c r="I82" s="13">
        <v>129</v>
      </c>
      <c r="J82" s="13">
        <v>22</v>
      </c>
    </row>
    <row r="83" spans="1:10" x14ac:dyDescent="0.25">
      <c r="A83" s="11">
        <v>1996</v>
      </c>
      <c r="B83" s="11" t="s">
        <v>233</v>
      </c>
      <c r="C83" s="13">
        <v>1610</v>
      </c>
      <c r="D83" s="13">
        <v>1</v>
      </c>
      <c r="E83" s="13">
        <v>116</v>
      </c>
      <c r="F83" s="13">
        <v>361</v>
      </c>
      <c r="G83" s="13">
        <v>534</v>
      </c>
      <c r="H83" s="13">
        <v>422</v>
      </c>
      <c r="I83" s="13">
        <v>159</v>
      </c>
      <c r="J83" s="13">
        <v>17</v>
      </c>
    </row>
    <row r="84" spans="1:10" x14ac:dyDescent="0.25">
      <c r="A84" s="11">
        <v>1996</v>
      </c>
      <c r="B84" s="11" t="s">
        <v>240</v>
      </c>
      <c r="C84" s="13">
        <v>3830</v>
      </c>
      <c r="D84" s="13">
        <v>13</v>
      </c>
      <c r="E84" s="13">
        <v>336</v>
      </c>
      <c r="F84" s="13">
        <v>790</v>
      </c>
      <c r="G84" s="13">
        <v>1288</v>
      </c>
      <c r="H84" s="13">
        <v>990</v>
      </c>
      <c r="I84" s="13">
        <v>356</v>
      </c>
      <c r="J84" s="13">
        <v>57</v>
      </c>
    </row>
    <row r="85" spans="1:10" x14ac:dyDescent="0.25">
      <c r="A85" s="11">
        <v>1996</v>
      </c>
      <c r="B85" s="11" t="s">
        <v>262</v>
      </c>
      <c r="C85" s="13">
        <v>3189</v>
      </c>
      <c r="D85" s="13">
        <v>3</v>
      </c>
      <c r="E85" s="13">
        <v>215</v>
      </c>
      <c r="F85" s="13">
        <v>601</v>
      </c>
      <c r="G85" s="13">
        <v>1105</v>
      </c>
      <c r="H85" s="13">
        <v>918</v>
      </c>
      <c r="I85" s="13">
        <v>305</v>
      </c>
      <c r="J85" s="13">
        <v>42</v>
      </c>
    </row>
    <row r="86" spans="1:10" x14ac:dyDescent="0.25">
      <c r="A86" s="11">
        <v>1996</v>
      </c>
      <c r="B86" s="11" t="s">
        <v>263</v>
      </c>
      <c r="C86" s="13">
        <v>6050</v>
      </c>
      <c r="D86" s="13">
        <v>17</v>
      </c>
      <c r="E86" s="13">
        <v>366</v>
      </c>
      <c r="F86" s="13">
        <v>1110</v>
      </c>
      <c r="G86" s="13">
        <v>2094</v>
      </c>
      <c r="H86" s="13">
        <v>1766</v>
      </c>
      <c r="I86" s="13">
        <v>608</v>
      </c>
      <c r="J86" s="13">
        <v>89</v>
      </c>
    </row>
    <row r="87" spans="1:10" x14ac:dyDescent="0.25">
      <c r="A87" s="11">
        <v>1996</v>
      </c>
      <c r="B87" s="11" t="s">
        <v>264</v>
      </c>
      <c r="C87" s="13">
        <v>14209</v>
      </c>
      <c r="D87" s="13">
        <v>9</v>
      </c>
      <c r="E87" s="13">
        <v>1234</v>
      </c>
      <c r="F87" s="13">
        <v>2558</v>
      </c>
      <c r="G87" s="13">
        <v>4493</v>
      </c>
      <c r="H87" s="13">
        <v>4121</v>
      </c>
      <c r="I87" s="13">
        <v>1535</v>
      </c>
      <c r="J87" s="13">
        <v>259</v>
      </c>
    </row>
    <row r="88" spans="1:10" x14ac:dyDescent="0.25">
      <c r="A88" s="11">
        <v>1996</v>
      </c>
      <c r="B88" s="11" t="s">
        <v>242</v>
      </c>
      <c r="C88" s="13">
        <v>3332</v>
      </c>
      <c r="D88" s="13">
        <v>35</v>
      </c>
      <c r="E88" s="13">
        <v>233</v>
      </c>
      <c r="F88" s="13">
        <v>634</v>
      </c>
      <c r="G88" s="13">
        <v>1046</v>
      </c>
      <c r="H88" s="13">
        <v>942</v>
      </c>
      <c r="I88" s="13">
        <v>392</v>
      </c>
      <c r="J88" s="13">
        <v>50</v>
      </c>
    </row>
    <row r="89" spans="1:10" x14ac:dyDescent="0.25">
      <c r="A89" s="11">
        <v>1996</v>
      </c>
      <c r="B89" s="11" t="s">
        <v>265</v>
      </c>
      <c r="C89" s="13">
        <v>7626</v>
      </c>
      <c r="D89" s="13">
        <v>17</v>
      </c>
      <c r="E89" s="13">
        <v>601</v>
      </c>
      <c r="F89" s="13">
        <v>1491</v>
      </c>
      <c r="G89" s="13">
        <v>2580</v>
      </c>
      <c r="H89" s="13">
        <v>2148</v>
      </c>
      <c r="I89" s="13">
        <v>701</v>
      </c>
      <c r="J89" s="13">
        <v>88</v>
      </c>
    </row>
    <row r="90" spans="1:10" x14ac:dyDescent="0.25">
      <c r="A90" s="11">
        <v>1996</v>
      </c>
      <c r="B90" s="11" t="s">
        <v>266</v>
      </c>
      <c r="C90" s="13">
        <v>9086</v>
      </c>
      <c r="D90" s="13">
        <v>9</v>
      </c>
      <c r="E90" s="13">
        <v>588</v>
      </c>
      <c r="F90" s="13">
        <v>1434</v>
      </c>
      <c r="G90" s="13">
        <v>2909</v>
      </c>
      <c r="H90" s="13">
        <v>2927</v>
      </c>
      <c r="I90" s="13">
        <v>1062</v>
      </c>
      <c r="J90" s="13">
        <v>157</v>
      </c>
    </row>
    <row r="91" spans="1:10" x14ac:dyDescent="0.25">
      <c r="A91" s="11">
        <v>1996</v>
      </c>
      <c r="B91" s="11" t="s">
        <v>267</v>
      </c>
      <c r="C91" s="13">
        <v>214</v>
      </c>
      <c r="D91" s="13">
        <v>2</v>
      </c>
      <c r="E91" s="13">
        <v>11</v>
      </c>
      <c r="F91" s="13">
        <v>34</v>
      </c>
      <c r="G91" s="13">
        <v>77</v>
      </c>
      <c r="H91" s="13">
        <v>57</v>
      </c>
      <c r="I91" s="13">
        <v>27</v>
      </c>
      <c r="J91" s="13">
        <v>6</v>
      </c>
    </row>
    <row r="92" spans="1:10" x14ac:dyDescent="0.25">
      <c r="A92" s="11">
        <v>1996</v>
      </c>
      <c r="B92" s="11" t="s">
        <v>268</v>
      </c>
      <c r="C92" s="13">
        <v>269</v>
      </c>
      <c r="D92" s="13">
        <v>0</v>
      </c>
      <c r="E92" s="13">
        <v>9</v>
      </c>
      <c r="F92" s="13">
        <v>66</v>
      </c>
      <c r="G92" s="13">
        <v>80</v>
      </c>
      <c r="H92" s="13">
        <v>75</v>
      </c>
      <c r="I92" s="13">
        <v>32</v>
      </c>
      <c r="J92" s="13">
        <v>7</v>
      </c>
    </row>
    <row r="93" spans="1:10" x14ac:dyDescent="0.25">
      <c r="A93" s="11">
        <v>1996</v>
      </c>
      <c r="B93" s="11" t="s">
        <v>269</v>
      </c>
      <c r="C93" s="13">
        <v>4333</v>
      </c>
      <c r="D93" s="13">
        <v>8</v>
      </c>
      <c r="E93" s="13">
        <v>381</v>
      </c>
      <c r="F93" s="13">
        <v>880</v>
      </c>
      <c r="G93" s="13">
        <v>1430</v>
      </c>
      <c r="H93" s="13">
        <v>1153</v>
      </c>
      <c r="I93" s="13">
        <v>416</v>
      </c>
      <c r="J93" s="13">
        <v>65</v>
      </c>
    </row>
    <row r="94" spans="1:10" x14ac:dyDescent="0.25">
      <c r="A94" s="11">
        <v>1996</v>
      </c>
      <c r="B94" s="11" t="s">
        <v>270</v>
      </c>
      <c r="C94" s="13">
        <v>281</v>
      </c>
      <c r="D94" s="13">
        <v>4</v>
      </c>
      <c r="E94" s="13">
        <v>15</v>
      </c>
      <c r="F94" s="13">
        <v>47</v>
      </c>
      <c r="G94" s="13">
        <v>86</v>
      </c>
      <c r="H94" s="13">
        <v>86</v>
      </c>
      <c r="I94" s="13">
        <v>34</v>
      </c>
      <c r="J94" s="13">
        <v>9</v>
      </c>
    </row>
    <row r="95" spans="1:10" x14ac:dyDescent="0.25">
      <c r="A95" s="11">
        <v>1997</v>
      </c>
      <c r="B95" s="11" t="s">
        <v>11</v>
      </c>
      <c r="C95" s="13">
        <v>59440</v>
      </c>
      <c r="D95" s="13">
        <v>66</v>
      </c>
      <c r="E95" s="13">
        <v>4835</v>
      </c>
      <c r="F95" s="13">
        <v>10607</v>
      </c>
      <c r="G95" s="13">
        <v>18782</v>
      </c>
      <c r="H95" s="13">
        <v>17455</v>
      </c>
      <c r="I95" s="13">
        <v>6740</v>
      </c>
      <c r="J95" s="13">
        <v>955</v>
      </c>
    </row>
    <row r="96" spans="1:10" x14ac:dyDescent="0.25">
      <c r="A96" s="11">
        <v>1997</v>
      </c>
      <c r="B96" s="11" t="s">
        <v>260</v>
      </c>
      <c r="C96" s="13">
        <v>4167</v>
      </c>
      <c r="D96" s="13">
        <v>3</v>
      </c>
      <c r="E96" s="13">
        <v>425</v>
      </c>
      <c r="F96" s="13">
        <v>820</v>
      </c>
      <c r="G96" s="13">
        <v>1325</v>
      </c>
      <c r="H96" s="13">
        <v>1151</v>
      </c>
      <c r="I96" s="13">
        <v>391</v>
      </c>
      <c r="J96" s="13">
        <v>52</v>
      </c>
    </row>
    <row r="97" spans="1:10" x14ac:dyDescent="0.25">
      <c r="A97" s="11">
        <v>1997</v>
      </c>
      <c r="B97" s="11" t="s">
        <v>261</v>
      </c>
      <c r="C97" s="13">
        <v>1132</v>
      </c>
      <c r="D97" s="13">
        <v>2</v>
      </c>
      <c r="E97" s="13">
        <v>69</v>
      </c>
      <c r="F97" s="13">
        <v>171</v>
      </c>
      <c r="G97" s="13">
        <v>368</v>
      </c>
      <c r="H97" s="13">
        <v>359</v>
      </c>
      <c r="I97" s="13">
        <v>144</v>
      </c>
      <c r="J97" s="13">
        <v>19</v>
      </c>
    </row>
    <row r="98" spans="1:10" x14ac:dyDescent="0.25">
      <c r="A98" s="11">
        <v>1997</v>
      </c>
      <c r="B98" s="11" t="s">
        <v>233</v>
      </c>
      <c r="C98" s="13">
        <v>1568</v>
      </c>
      <c r="D98" s="13">
        <v>3</v>
      </c>
      <c r="E98" s="13">
        <v>142</v>
      </c>
      <c r="F98" s="13">
        <v>296</v>
      </c>
      <c r="G98" s="13">
        <v>525</v>
      </c>
      <c r="H98" s="13">
        <v>419</v>
      </c>
      <c r="I98" s="13">
        <v>158</v>
      </c>
      <c r="J98" s="13">
        <v>25</v>
      </c>
    </row>
    <row r="99" spans="1:10" x14ac:dyDescent="0.25">
      <c r="A99" s="11">
        <v>1997</v>
      </c>
      <c r="B99" s="11" t="s">
        <v>240</v>
      </c>
      <c r="C99" s="13">
        <v>3824</v>
      </c>
      <c r="D99" s="13">
        <v>7</v>
      </c>
      <c r="E99" s="13">
        <v>365</v>
      </c>
      <c r="F99" s="13">
        <v>756</v>
      </c>
      <c r="G99" s="13">
        <v>1271</v>
      </c>
      <c r="H99" s="13">
        <v>998</v>
      </c>
      <c r="I99" s="13">
        <v>373</v>
      </c>
      <c r="J99" s="13">
        <v>54</v>
      </c>
    </row>
    <row r="100" spans="1:10" x14ac:dyDescent="0.25">
      <c r="A100" s="11">
        <v>1997</v>
      </c>
      <c r="B100" s="11" t="s">
        <v>262</v>
      </c>
      <c r="C100" s="13">
        <v>3178</v>
      </c>
      <c r="D100" s="13">
        <v>2</v>
      </c>
      <c r="E100" s="13">
        <v>251</v>
      </c>
      <c r="F100" s="13">
        <v>617</v>
      </c>
      <c r="G100" s="13">
        <v>1004</v>
      </c>
      <c r="H100" s="13">
        <v>913</v>
      </c>
      <c r="I100" s="13">
        <v>354</v>
      </c>
      <c r="J100" s="13">
        <v>37</v>
      </c>
    </row>
    <row r="101" spans="1:10" x14ac:dyDescent="0.25">
      <c r="A101" s="11">
        <v>1997</v>
      </c>
      <c r="B101" s="11" t="s">
        <v>263</v>
      </c>
      <c r="C101" s="13">
        <v>6044</v>
      </c>
      <c r="D101" s="13">
        <v>3</v>
      </c>
      <c r="E101" s="13">
        <v>385</v>
      </c>
      <c r="F101" s="13">
        <v>1024</v>
      </c>
      <c r="G101" s="13">
        <v>2088</v>
      </c>
      <c r="H101" s="13">
        <v>1792</v>
      </c>
      <c r="I101" s="13">
        <v>652</v>
      </c>
      <c r="J101" s="13">
        <v>100</v>
      </c>
    </row>
    <row r="102" spans="1:10" x14ac:dyDescent="0.25">
      <c r="A102" s="11">
        <v>1997</v>
      </c>
      <c r="B102" s="11" t="s">
        <v>264</v>
      </c>
      <c r="C102" s="13">
        <v>14148</v>
      </c>
      <c r="D102" s="13">
        <v>4</v>
      </c>
      <c r="E102" s="13">
        <v>1217</v>
      </c>
      <c r="F102" s="13">
        <v>2453</v>
      </c>
      <c r="G102" s="13">
        <v>4271</v>
      </c>
      <c r="H102" s="13">
        <v>4263</v>
      </c>
      <c r="I102" s="13">
        <v>1698</v>
      </c>
      <c r="J102" s="13">
        <v>242</v>
      </c>
    </row>
    <row r="103" spans="1:10" x14ac:dyDescent="0.25">
      <c r="A103" s="11">
        <v>1997</v>
      </c>
      <c r="B103" s="11" t="s">
        <v>242</v>
      </c>
      <c r="C103" s="13">
        <v>3391</v>
      </c>
      <c r="D103" s="13">
        <v>15</v>
      </c>
      <c r="E103" s="13">
        <v>233</v>
      </c>
      <c r="F103" s="13">
        <v>622</v>
      </c>
      <c r="G103" s="13">
        <v>1047</v>
      </c>
      <c r="H103" s="13">
        <v>976</v>
      </c>
      <c r="I103" s="13">
        <v>426</v>
      </c>
      <c r="J103" s="13">
        <v>72</v>
      </c>
    </row>
    <row r="104" spans="1:10" x14ac:dyDescent="0.25">
      <c r="A104" s="11">
        <v>1997</v>
      </c>
      <c r="B104" s="11" t="s">
        <v>265</v>
      </c>
      <c r="C104" s="13">
        <v>7650</v>
      </c>
      <c r="D104" s="13">
        <v>11</v>
      </c>
      <c r="E104" s="13">
        <v>652</v>
      </c>
      <c r="F104" s="13">
        <v>1418</v>
      </c>
      <c r="G104" s="13">
        <v>2453</v>
      </c>
      <c r="H104" s="13">
        <v>2221</v>
      </c>
      <c r="I104" s="13">
        <v>796</v>
      </c>
      <c r="J104" s="13">
        <v>99</v>
      </c>
    </row>
    <row r="105" spans="1:10" x14ac:dyDescent="0.25">
      <c r="A105" s="11">
        <v>1997</v>
      </c>
      <c r="B105" s="11" t="s">
        <v>266</v>
      </c>
      <c r="C105" s="13">
        <v>9172</v>
      </c>
      <c r="D105" s="13">
        <v>5</v>
      </c>
      <c r="E105" s="13">
        <v>652</v>
      </c>
      <c r="F105" s="13">
        <v>1430</v>
      </c>
      <c r="G105" s="13">
        <v>2777</v>
      </c>
      <c r="H105" s="13">
        <v>2981</v>
      </c>
      <c r="I105" s="13">
        <v>1146</v>
      </c>
      <c r="J105" s="13">
        <v>181</v>
      </c>
    </row>
    <row r="106" spans="1:10" x14ac:dyDescent="0.25">
      <c r="A106" s="11">
        <v>1997</v>
      </c>
      <c r="B106" s="11" t="s">
        <v>267</v>
      </c>
      <c r="C106" s="13">
        <v>224</v>
      </c>
      <c r="D106" s="13">
        <v>1</v>
      </c>
      <c r="E106" s="13">
        <v>11</v>
      </c>
      <c r="F106" s="13">
        <v>47</v>
      </c>
      <c r="G106" s="13">
        <v>74</v>
      </c>
      <c r="H106" s="13">
        <v>59</v>
      </c>
      <c r="I106" s="13">
        <v>23</v>
      </c>
      <c r="J106" s="13">
        <v>9</v>
      </c>
    </row>
    <row r="107" spans="1:10" x14ac:dyDescent="0.25">
      <c r="A107" s="11">
        <v>1997</v>
      </c>
      <c r="B107" s="11" t="s">
        <v>268</v>
      </c>
      <c r="C107" s="13">
        <v>286</v>
      </c>
      <c r="D107" s="13">
        <v>0</v>
      </c>
      <c r="E107" s="13">
        <v>16</v>
      </c>
      <c r="F107" s="13">
        <v>38</v>
      </c>
      <c r="G107" s="13">
        <v>110</v>
      </c>
      <c r="H107" s="13">
        <v>85</v>
      </c>
      <c r="I107" s="13">
        <v>34</v>
      </c>
      <c r="J107" s="13">
        <v>3</v>
      </c>
    </row>
    <row r="108" spans="1:10" x14ac:dyDescent="0.25">
      <c r="A108" s="11">
        <v>1997</v>
      </c>
      <c r="B108" s="11" t="s">
        <v>269</v>
      </c>
      <c r="C108" s="13">
        <v>4404</v>
      </c>
      <c r="D108" s="13">
        <v>8</v>
      </c>
      <c r="E108" s="13">
        <v>402</v>
      </c>
      <c r="F108" s="13">
        <v>877</v>
      </c>
      <c r="G108" s="13">
        <v>1400</v>
      </c>
      <c r="H108" s="13">
        <v>1161</v>
      </c>
      <c r="I108" s="13">
        <v>501</v>
      </c>
      <c r="J108" s="13">
        <v>55</v>
      </c>
    </row>
    <row r="109" spans="1:10" x14ac:dyDescent="0.25">
      <c r="A109" s="11">
        <v>1997</v>
      </c>
      <c r="B109" s="11" t="s">
        <v>270</v>
      </c>
      <c r="C109" s="13">
        <v>252</v>
      </c>
      <c r="D109" s="13">
        <v>2</v>
      </c>
      <c r="E109" s="13">
        <v>15</v>
      </c>
      <c r="F109" s="13">
        <v>38</v>
      </c>
      <c r="G109" s="13">
        <v>69</v>
      </c>
      <c r="H109" s="13">
        <v>77</v>
      </c>
      <c r="I109" s="13">
        <v>44</v>
      </c>
      <c r="J109" s="13">
        <v>7</v>
      </c>
    </row>
    <row r="110" spans="1:10" x14ac:dyDescent="0.25">
      <c r="A110" s="11">
        <v>1998</v>
      </c>
      <c r="B110" s="11" t="s">
        <v>11</v>
      </c>
      <c r="C110" s="13">
        <v>57319</v>
      </c>
      <c r="D110" s="13">
        <v>66</v>
      </c>
      <c r="E110" s="13">
        <v>4802</v>
      </c>
      <c r="F110" s="13">
        <v>9804</v>
      </c>
      <c r="G110" s="13">
        <v>17477</v>
      </c>
      <c r="H110" s="13">
        <v>17207</v>
      </c>
      <c r="I110" s="13">
        <v>6893</v>
      </c>
      <c r="J110" s="13">
        <v>1070</v>
      </c>
    </row>
    <row r="111" spans="1:10" x14ac:dyDescent="0.25">
      <c r="A111" s="11">
        <v>1998</v>
      </c>
      <c r="B111" s="11" t="s">
        <v>260</v>
      </c>
      <c r="C111" s="13">
        <v>4056</v>
      </c>
      <c r="D111" s="13">
        <v>3</v>
      </c>
      <c r="E111" s="13">
        <v>419</v>
      </c>
      <c r="F111" s="13">
        <v>801</v>
      </c>
      <c r="G111" s="13">
        <v>1296</v>
      </c>
      <c r="H111" s="13">
        <v>1061</v>
      </c>
      <c r="I111" s="13">
        <v>410</v>
      </c>
      <c r="J111" s="13">
        <v>66</v>
      </c>
    </row>
    <row r="112" spans="1:10" x14ac:dyDescent="0.25">
      <c r="A112" s="11">
        <v>1998</v>
      </c>
      <c r="B112" s="11" t="s">
        <v>261</v>
      </c>
      <c r="C112" s="13">
        <v>1038</v>
      </c>
      <c r="D112" s="13">
        <v>2</v>
      </c>
      <c r="E112" s="13">
        <v>58</v>
      </c>
      <c r="F112" s="13">
        <v>166</v>
      </c>
      <c r="G112" s="13">
        <v>315</v>
      </c>
      <c r="H112" s="13">
        <v>332</v>
      </c>
      <c r="I112" s="13">
        <v>129</v>
      </c>
      <c r="J112" s="13">
        <v>36</v>
      </c>
    </row>
    <row r="113" spans="1:10" x14ac:dyDescent="0.25">
      <c r="A113" s="11">
        <v>1998</v>
      </c>
      <c r="B113" s="11" t="s">
        <v>233</v>
      </c>
      <c r="C113" s="13">
        <v>1514</v>
      </c>
      <c r="D113" s="13">
        <v>0</v>
      </c>
      <c r="E113" s="13">
        <v>135</v>
      </c>
      <c r="F113" s="13">
        <v>274</v>
      </c>
      <c r="G113" s="13">
        <v>461</v>
      </c>
      <c r="H113" s="13">
        <v>436</v>
      </c>
      <c r="I113" s="13">
        <v>176</v>
      </c>
      <c r="J113" s="13">
        <v>32</v>
      </c>
    </row>
    <row r="114" spans="1:10" x14ac:dyDescent="0.25">
      <c r="A114" s="11">
        <v>1998</v>
      </c>
      <c r="B114" s="11" t="s">
        <v>240</v>
      </c>
      <c r="C114" s="13">
        <v>3854</v>
      </c>
      <c r="D114" s="13">
        <v>9</v>
      </c>
      <c r="E114" s="13">
        <v>372</v>
      </c>
      <c r="F114" s="13">
        <v>677</v>
      </c>
      <c r="G114" s="13">
        <v>1288</v>
      </c>
      <c r="H114" s="13">
        <v>1067</v>
      </c>
      <c r="I114" s="13">
        <v>370</v>
      </c>
      <c r="J114" s="13">
        <v>71</v>
      </c>
    </row>
    <row r="115" spans="1:10" x14ac:dyDescent="0.25">
      <c r="A115" s="11">
        <v>1998</v>
      </c>
      <c r="B115" s="11" t="s">
        <v>262</v>
      </c>
      <c r="C115" s="13">
        <v>3158</v>
      </c>
      <c r="D115" s="13">
        <v>1</v>
      </c>
      <c r="E115" s="13">
        <v>291</v>
      </c>
      <c r="F115" s="13">
        <v>525</v>
      </c>
      <c r="G115" s="13">
        <v>984</v>
      </c>
      <c r="H115" s="13">
        <v>965</v>
      </c>
      <c r="I115" s="13">
        <v>343</v>
      </c>
      <c r="J115" s="13">
        <v>49</v>
      </c>
    </row>
    <row r="116" spans="1:10" x14ac:dyDescent="0.25">
      <c r="A116" s="11">
        <v>1998</v>
      </c>
      <c r="B116" s="11" t="s">
        <v>263</v>
      </c>
      <c r="C116" s="13">
        <v>5967</v>
      </c>
      <c r="D116" s="13">
        <v>5</v>
      </c>
      <c r="E116" s="13">
        <v>402</v>
      </c>
      <c r="F116" s="13">
        <v>946</v>
      </c>
      <c r="G116" s="13">
        <v>1978</v>
      </c>
      <c r="H116" s="13">
        <v>1827</v>
      </c>
      <c r="I116" s="13">
        <v>696</v>
      </c>
      <c r="J116" s="13">
        <v>113</v>
      </c>
    </row>
    <row r="117" spans="1:10" x14ac:dyDescent="0.25">
      <c r="A117" s="11">
        <v>1998</v>
      </c>
      <c r="B117" s="11" t="s">
        <v>264</v>
      </c>
      <c r="C117" s="13">
        <v>13316</v>
      </c>
      <c r="D117" s="13">
        <v>5</v>
      </c>
      <c r="E117" s="13">
        <v>1212</v>
      </c>
      <c r="F117" s="13">
        <v>2257</v>
      </c>
      <c r="G117" s="13">
        <v>3794</v>
      </c>
      <c r="H117" s="13">
        <v>4063</v>
      </c>
      <c r="I117" s="13">
        <v>1726</v>
      </c>
      <c r="J117" s="13">
        <v>259</v>
      </c>
    </row>
    <row r="118" spans="1:10" x14ac:dyDescent="0.25">
      <c r="A118" s="11">
        <v>1998</v>
      </c>
      <c r="B118" s="11" t="s">
        <v>242</v>
      </c>
      <c r="C118" s="13">
        <v>3301</v>
      </c>
      <c r="D118" s="13">
        <v>19</v>
      </c>
      <c r="E118" s="13">
        <v>246</v>
      </c>
      <c r="F118" s="13">
        <v>583</v>
      </c>
      <c r="G118" s="13">
        <v>1013</v>
      </c>
      <c r="H118" s="13">
        <v>961</v>
      </c>
      <c r="I118" s="13">
        <v>414</v>
      </c>
      <c r="J118" s="13">
        <v>65</v>
      </c>
    </row>
    <row r="119" spans="1:10" x14ac:dyDescent="0.25">
      <c r="A119" s="11">
        <v>1998</v>
      </c>
      <c r="B119" s="11" t="s">
        <v>265</v>
      </c>
      <c r="C119" s="13">
        <v>7381</v>
      </c>
      <c r="D119" s="13">
        <v>6</v>
      </c>
      <c r="E119" s="13">
        <v>589</v>
      </c>
      <c r="F119" s="13">
        <v>1353</v>
      </c>
      <c r="G119" s="13">
        <v>2363</v>
      </c>
      <c r="H119" s="13">
        <v>2147</v>
      </c>
      <c r="I119" s="13">
        <v>801</v>
      </c>
      <c r="J119" s="13">
        <v>122</v>
      </c>
    </row>
    <row r="120" spans="1:10" x14ac:dyDescent="0.25">
      <c r="A120" s="11">
        <v>1998</v>
      </c>
      <c r="B120" s="11" t="s">
        <v>266</v>
      </c>
      <c r="C120" s="13">
        <v>8805</v>
      </c>
      <c r="D120" s="13">
        <v>5</v>
      </c>
      <c r="E120" s="13">
        <v>622</v>
      </c>
      <c r="F120" s="13">
        <v>1332</v>
      </c>
      <c r="G120" s="13">
        <v>2494</v>
      </c>
      <c r="H120" s="13">
        <v>2914</v>
      </c>
      <c r="I120" s="13">
        <v>1275</v>
      </c>
      <c r="J120" s="13">
        <v>163</v>
      </c>
    </row>
    <row r="121" spans="1:10" x14ac:dyDescent="0.25">
      <c r="A121" s="11">
        <v>1998</v>
      </c>
      <c r="B121" s="11" t="s">
        <v>267</v>
      </c>
      <c r="C121" s="13">
        <v>194</v>
      </c>
      <c r="D121" s="13">
        <v>0</v>
      </c>
      <c r="E121" s="13">
        <v>17</v>
      </c>
      <c r="F121" s="13">
        <v>30</v>
      </c>
      <c r="G121" s="13">
        <v>68</v>
      </c>
      <c r="H121" s="13">
        <v>53</v>
      </c>
      <c r="I121" s="13">
        <v>24</v>
      </c>
      <c r="J121" s="13">
        <v>2</v>
      </c>
    </row>
    <row r="122" spans="1:10" x14ac:dyDescent="0.25">
      <c r="A122" s="11">
        <v>1998</v>
      </c>
      <c r="B122" s="11" t="s">
        <v>268</v>
      </c>
      <c r="C122" s="13">
        <v>265</v>
      </c>
      <c r="D122" s="13">
        <v>0</v>
      </c>
      <c r="E122" s="13">
        <v>26</v>
      </c>
      <c r="F122" s="13">
        <v>44</v>
      </c>
      <c r="G122" s="13">
        <v>77</v>
      </c>
      <c r="H122" s="13">
        <v>77</v>
      </c>
      <c r="I122" s="13">
        <v>34</v>
      </c>
      <c r="J122" s="13">
        <v>7</v>
      </c>
    </row>
    <row r="123" spans="1:10" x14ac:dyDescent="0.25">
      <c r="A123" s="11">
        <v>1998</v>
      </c>
      <c r="B123" s="11" t="s">
        <v>269</v>
      </c>
      <c r="C123" s="13">
        <v>4196</v>
      </c>
      <c r="D123" s="13">
        <v>8</v>
      </c>
      <c r="E123" s="13">
        <v>396</v>
      </c>
      <c r="F123" s="13">
        <v>775</v>
      </c>
      <c r="G123" s="13">
        <v>1268</v>
      </c>
      <c r="H123" s="13">
        <v>1211</v>
      </c>
      <c r="I123" s="13">
        <v>462</v>
      </c>
      <c r="J123" s="13">
        <v>76</v>
      </c>
    </row>
    <row r="124" spans="1:10" x14ac:dyDescent="0.25">
      <c r="A124" s="11">
        <v>1998</v>
      </c>
      <c r="B124" s="11" t="s">
        <v>270</v>
      </c>
      <c r="C124" s="13">
        <v>274</v>
      </c>
      <c r="D124" s="13">
        <v>3</v>
      </c>
      <c r="E124" s="13">
        <v>17</v>
      </c>
      <c r="F124" s="13">
        <v>41</v>
      </c>
      <c r="G124" s="13">
        <v>78</v>
      </c>
      <c r="H124" s="13">
        <v>93</v>
      </c>
      <c r="I124" s="13">
        <v>33</v>
      </c>
      <c r="J124" s="13">
        <v>9</v>
      </c>
    </row>
    <row r="125" spans="1:10" x14ac:dyDescent="0.25">
      <c r="A125" s="11">
        <v>1999</v>
      </c>
      <c r="B125" s="11" t="s">
        <v>11</v>
      </c>
      <c r="C125" s="13">
        <v>55147</v>
      </c>
      <c r="D125" s="13">
        <v>48</v>
      </c>
      <c r="E125" s="13">
        <v>4755</v>
      </c>
      <c r="F125" s="13">
        <v>9440</v>
      </c>
      <c r="G125" s="13">
        <v>16011</v>
      </c>
      <c r="H125" s="13">
        <v>16722</v>
      </c>
      <c r="I125" s="13">
        <v>7034</v>
      </c>
      <c r="J125" s="13">
        <v>1137</v>
      </c>
    </row>
    <row r="126" spans="1:10" x14ac:dyDescent="0.25">
      <c r="A126" s="11">
        <v>1999</v>
      </c>
      <c r="B126" s="11" t="s">
        <v>260</v>
      </c>
      <c r="C126" s="13">
        <v>3740</v>
      </c>
      <c r="D126" s="13">
        <v>1</v>
      </c>
      <c r="E126" s="13">
        <v>406</v>
      </c>
      <c r="F126" s="13">
        <v>696</v>
      </c>
      <c r="G126" s="13">
        <v>1078</v>
      </c>
      <c r="H126" s="13">
        <v>1064</v>
      </c>
      <c r="I126" s="13">
        <v>431</v>
      </c>
      <c r="J126" s="13">
        <v>64</v>
      </c>
    </row>
    <row r="127" spans="1:10" x14ac:dyDescent="0.25">
      <c r="A127" s="11">
        <v>1999</v>
      </c>
      <c r="B127" s="11" t="s">
        <v>261</v>
      </c>
      <c r="C127" s="13">
        <v>1054</v>
      </c>
      <c r="D127" s="13">
        <v>1</v>
      </c>
      <c r="E127" s="13">
        <v>59</v>
      </c>
      <c r="F127" s="13">
        <v>139</v>
      </c>
      <c r="G127" s="13">
        <v>321</v>
      </c>
      <c r="H127" s="13">
        <v>368</v>
      </c>
      <c r="I127" s="13">
        <v>141</v>
      </c>
      <c r="J127" s="13">
        <v>25</v>
      </c>
    </row>
    <row r="128" spans="1:10" x14ac:dyDescent="0.25">
      <c r="A128" s="11">
        <v>1999</v>
      </c>
      <c r="B128" s="11" t="s">
        <v>233</v>
      </c>
      <c r="C128" s="13">
        <v>1402</v>
      </c>
      <c r="D128" s="13">
        <v>1</v>
      </c>
      <c r="E128" s="13">
        <v>136</v>
      </c>
      <c r="F128" s="13">
        <v>245</v>
      </c>
      <c r="G128" s="13">
        <v>441</v>
      </c>
      <c r="H128" s="13">
        <v>394</v>
      </c>
      <c r="I128" s="13">
        <v>159</v>
      </c>
      <c r="J128" s="13">
        <v>26</v>
      </c>
    </row>
    <row r="129" spans="1:10" x14ac:dyDescent="0.25">
      <c r="A129" s="11">
        <v>1999</v>
      </c>
      <c r="B129" s="11" t="s">
        <v>240</v>
      </c>
      <c r="C129" s="13">
        <v>3655</v>
      </c>
      <c r="D129" s="13">
        <v>5</v>
      </c>
      <c r="E129" s="13">
        <v>346</v>
      </c>
      <c r="F129" s="13">
        <v>681</v>
      </c>
      <c r="G129" s="13">
        <v>1130</v>
      </c>
      <c r="H129" s="13">
        <v>1030</v>
      </c>
      <c r="I129" s="13">
        <v>401</v>
      </c>
      <c r="J129" s="13">
        <v>62</v>
      </c>
    </row>
    <row r="130" spans="1:10" x14ac:dyDescent="0.25">
      <c r="A130" s="11">
        <v>1999</v>
      </c>
      <c r="B130" s="11" t="s">
        <v>262</v>
      </c>
      <c r="C130" s="13">
        <v>3029</v>
      </c>
      <c r="D130" s="13">
        <v>1</v>
      </c>
      <c r="E130" s="13">
        <v>261</v>
      </c>
      <c r="F130" s="13">
        <v>565</v>
      </c>
      <c r="G130" s="13">
        <v>882</v>
      </c>
      <c r="H130" s="13">
        <v>899</v>
      </c>
      <c r="I130" s="13">
        <v>380</v>
      </c>
      <c r="J130" s="13">
        <v>41</v>
      </c>
    </row>
    <row r="131" spans="1:10" x14ac:dyDescent="0.25">
      <c r="A131" s="11">
        <v>1999</v>
      </c>
      <c r="B131" s="11" t="s">
        <v>263</v>
      </c>
      <c r="C131" s="13">
        <v>5785</v>
      </c>
      <c r="D131" s="13">
        <v>6</v>
      </c>
      <c r="E131" s="13">
        <v>358</v>
      </c>
      <c r="F131" s="13">
        <v>938</v>
      </c>
      <c r="G131" s="13">
        <v>1838</v>
      </c>
      <c r="H131" s="13">
        <v>1812</v>
      </c>
      <c r="I131" s="13">
        <v>698</v>
      </c>
      <c r="J131" s="13">
        <v>135</v>
      </c>
    </row>
    <row r="132" spans="1:10" x14ac:dyDescent="0.25">
      <c r="A132" s="11">
        <v>1999</v>
      </c>
      <c r="B132" s="11" t="s">
        <v>264</v>
      </c>
      <c r="C132" s="13">
        <v>12818</v>
      </c>
      <c r="D132" s="13">
        <v>10</v>
      </c>
      <c r="E132" s="13">
        <v>1205</v>
      </c>
      <c r="F132" s="13">
        <v>2154</v>
      </c>
      <c r="G132" s="13">
        <v>3560</v>
      </c>
      <c r="H132" s="13">
        <v>3885</v>
      </c>
      <c r="I132" s="13">
        <v>1728</v>
      </c>
      <c r="J132" s="13">
        <v>276</v>
      </c>
    </row>
    <row r="133" spans="1:10" x14ac:dyDescent="0.25">
      <c r="A133" s="11">
        <v>1999</v>
      </c>
      <c r="B133" s="11" t="s">
        <v>242</v>
      </c>
      <c r="C133" s="13">
        <v>3057</v>
      </c>
      <c r="D133" s="13">
        <v>8</v>
      </c>
      <c r="E133" s="13">
        <v>263</v>
      </c>
      <c r="F133" s="13">
        <v>540</v>
      </c>
      <c r="G133" s="13">
        <v>878</v>
      </c>
      <c r="H133" s="13">
        <v>880</v>
      </c>
      <c r="I133" s="13">
        <v>399</v>
      </c>
      <c r="J133" s="13">
        <v>89</v>
      </c>
    </row>
    <row r="134" spans="1:10" x14ac:dyDescent="0.25">
      <c r="A134" s="11">
        <v>1999</v>
      </c>
      <c r="B134" s="11" t="s">
        <v>265</v>
      </c>
      <c r="C134" s="13">
        <v>7201</v>
      </c>
      <c r="D134" s="13">
        <v>4</v>
      </c>
      <c r="E134" s="13">
        <v>615</v>
      </c>
      <c r="F134" s="13">
        <v>1264</v>
      </c>
      <c r="G134" s="13">
        <v>2211</v>
      </c>
      <c r="H134" s="13">
        <v>2155</v>
      </c>
      <c r="I134" s="13">
        <v>823</v>
      </c>
      <c r="J134" s="13">
        <v>129</v>
      </c>
    </row>
    <row r="135" spans="1:10" x14ac:dyDescent="0.25">
      <c r="A135" s="11">
        <v>1999</v>
      </c>
      <c r="B135" s="11" t="s">
        <v>266</v>
      </c>
      <c r="C135" s="13">
        <v>8690</v>
      </c>
      <c r="D135" s="13">
        <v>2</v>
      </c>
      <c r="E135" s="13">
        <v>672</v>
      </c>
      <c r="F135" s="13">
        <v>1338</v>
      </c>
      <c r="G135" s="13">
        <v>2315</v>
      </c>
      <c r="H135" s="13">
        <v>2822</v>
      </c>
      <c r="I135" s="13">
        <v>1353</v>
      </c>
      <c r="J135" s="13">
        <v>188</v>
      </c>
    </row>
    <row r="136" spans="1:10" x14ac:dyDescent="0.25">
      <c r="A136" s="11">
        <v>1999</v>
      </c>
      <c r="B136" s="11" t="s">
        <v>267</v>
      </c>
      <c r="C136" s="13">
        <v>188</v>
      </c>
      <c r="D136" s="13">
        <v>0</v>
      </c>
      <c r="E136" s="13">
        <v>13</v>
      </c>
      <c r="F136" s="13">
        <v>36</v>
      </c>
      <c r="G136" s="13">
        <v>59</v>
      </c>
      <c r="H136" s="13">
        <v>58</v>
      </c>
      <c r="I136" s="13">
        <v>17</v>
      </c>
      <c r="J136" s="13">
        <v>5</v>
      </c>
    </row>
    <row r="137" spans="1:10" x14ac:dyDescent="0.25">
      <c r="A137" s="11">
        <v>1999</v>
      </c>
      <c r="B137" s="11" t="s">
        <v>268</v>
      </c>
      <c r="C137" s="13">
        <v>284</v>
      </c>
      <c r="D137" s="13">
        <v>0</v>
      </c>
      <c r="E137" s="13">
        <v>12</v>
      </c>
      <c r="F137" s="13">
        <v>42</v>
      </c>
      <c r="G137" s="13">
        <v>102</v>
      </c>
      <c r="H137" s="13">
        <v>85</v>
      </c>
      <c r="I137" s="13">
        <v>33</v>
      </c>
      <c r="J137" s="13">
        <v>10</v>
      </c>
    </row>
    <row r="138" spans="1:10" x14ac:dyDescent="0.25">
      <c r="A138" s="11">
        <v>1999</v>
      </c>
      <c r="B138" s="11" t="s">
        <v>269</v>
      </c>
      <c r="C138" s="13">
        <v>3979</v>
      </c>
      <c r="D138" s="13">
        <v>8</v>
      </c>
      <c r="E138" s="13">
        <v>394</v>
      </c>
      <c r="F138" s="13">
        <v>770</v>
      </c>
      <c r="G138" s="13">
        <v>1109</v>
      </c>
      <c r="H138" s="13">
        <v>1185</v>
      </c>
      <c r="I138" s="13">
        <v>434</v>
      </c>
      <c r="J138" s="13">
        <v>79</v>
      </c>
    </row>
    <row r="139" spans="1:10" x14ac:dyDescent="0.25">
      <c r="A139" s="11">
        <v>1999</v>
      </c>
      <c r="B139" s="11" t="s">
        <v>270</v>
      </c>
      <c r="C139" s="13">
        <v>265</v>
      </c>
      <c r="D139" s="13">
        <v>1</v>
      </c>
      <c r="E139" s="13">
        <v>15</v>
      </c>
      <c r="F139" s="13">
        <v>32</v>
      </c>
      <c r="G139" s="13">
        <v>87</v>
      </c>
      <c r="H139" s="13">
        <v>85</v>
      </c>
      <c r="I139" s="13">
        <v>37</v>
      </c>
      <c r="J139" s="13">
        <v>8</v>
      </c>
    </row>
    <row r="140" spans="1:10" x14ac:dyDescent="0.25">
      <c r="A140" s="11">
        <v>2000</v>
      </c>
      <c r="B140" s="11" t="s">
        <v>11</v>
      </c>
      <c r="C140" s="13">
        <v>53076</v>
      </c>
      <c r="D140" s="13">
        <v>49</v>
      </c>
      <c r="E140" s="13">
        <v>4599</v>
      </c>
      <c r="F140" s="13">
        <v>8962</v>
      </c>
      <c r="G140" s="13">
        <v>14676</v>
      </c>
      <c r="H140" s="13">
        <v>16233</v>
      </c>
      <c r="I140" s="13">
        <v>7395</v>
      </c>
      <c r="J140" s="13">
        <v>1162</v>
      </c>
    </row>
    <row r="141" spans="1:10" x14ac:dyDescent="0.25">
      <c r="A141" s="11">
        <v>2000</v>
      </c>
      <c r="B141" s="11" t="s">
        <v>260</v>
      </c>
      <c r="C141" s="13">
        <v>3671</v>
      </c>
      <c r="D141" s="13">
        <v>3</v>
      </c>
      <c r="E141" s="13">
        <v>362</v>
      </c>
      <c r="F141" s="13">
        <v>695</v>
      </c>
      <c r="G141" s="13">
        <v>1082</v>
      </c>
      <c r="H141" s="13">
        <v>1027</v>
      </c>
      <c r="I141" s="13">
        <v>443</v>
      </c>
      <c r="J141" s="13">
        <v>59</v>
      </c>
    </row>
    <row r="142" spans="1:10" x14ac:dyDescent="0.25">
      <c r="A142" s="11">
        <v>2000</v>
      </c>
      <c r="B142" s="11" t="s">
        <v>261</v>
      </c>
      <c r="C142" s="13">
        <v>1068</v>
      </c>
      <c r="D142" s="13">
        <v>0</v>
      </c>
      <c r="E142" s="13">
        <v>61</v>
      </c>
      <c r="F142" s="13">
        <v>151</v>
      </c>
      <c r="G142" s="13">
        <v>298</v>
      </c>
      <c r="H142" s="13">
        <v>372</v>
      </c>
      <c r="I142" s="13">
        <v>165</v>
      </c>
      <c r="J142" s="13">
        <v>21</v>
      </c>
    </row>
    <row r="143" spans="1:10" x14ac:dyDescent="0.25">
      <c r="A143" s="11">
        <v>2000</v>
      </c>
      <c r="B143" s="11" t="s">
        <v>233</v>
      </c>
      <c r="C143" s="13">
        <v>1369</v>
      </c>
      <c r="D143" s="13">
        <v>0</v>
      </c>
      <c r="E143" s="13">
        <v>151</v>
      </c>
      <c r="F143" s="13">
        <v>236</v>
      </c>
      <c r="G143" s="13">
        <v>393</v>
      </c>
      <c r="H143" s="13">
        <v>391</v>
      </c>
      <c r="I143" s="13">
        <v>168</v>
      </c>
      <c r="J143" s="13">
        <v>30</v>
      </c>
    </row>
    <row r="144" spans="1:10" x14ac:dyDescent="0.25">
      <c r="A144" s="11">
        <v>2000</v>
      </c>
      <c r="B144" s="11" t="s">
        <v>240</v>
      </c>
      <c r="C144" s="13">
        <v>3498</v>
      </c>
      <c r="D144" s="13">
        <v>26</v>
      </c>
      <c r="E144" s="13">
        <v>363</v>
      </c>
      <c r="F144" s="13">
        <v>698</v>
      </c>
      <c r="G144" s="13">
        <v>971</v>
      </c>
      <c r="H144" s="13">
        <v>997</v>
      </c>
      <c r="I144" s="13">
        <v>384</v>
      </c>
      <c r="J144" s="13">
        <v>59</v>
      </c>
    </row>
    <row r="145" spans="1:10" x14ac:dyDescent="0.25">
      <c r="A145" s="11">
        <v>2000</v>
      </c>
      <c r="B145" s="11" t="s">
        <v>262</v>
      </c>
      <c r="C145" s="13">
        <v>2921</v>
      </c>
      <c r="D145" s="13">
        <v>1</v>
      </c>
      <c r="E145" s="13">
        <v>249</v>
      </c>
      <c r="F145" s="13">
        <v>501</v>
      </c>
      <c r="G145" s="13">
        <v>806</v>
      </c>
      <c r="H145" s="13">
        <v>926</v>
      </c>
      <c r="I145" s="13">
        <v>370</v>
      </c>
      <c r="J145" s="13">
        <v>68</v>
      </c>
    </row>
    <row r="146" spans="1:10" x14ac:dyDescent="0.25">
      <c r="A146" s="11">
        <v>2000</v>
      </c>
      <c r="B146" s="11" t="s">
        <v>263</v>
      </c>
      <c r="C146" s="13">
        <v>5320</v>
      </c>
      <c r="D146" s="13">
        <v>3</v>
      </c>
      <c r="E146" s="13">
        <v>358</v>
      </c>
      <c r="F146" s="13">
        <v>823</v>
      </c>
      <c r="G146" s="13">
        <v>1642</v>
      </c>
      <c r="H146" s="13">
        <v>1668</v>
      </c>
      <c r="I146" s="13">
        <v>722</v>
      </c>
      <c r="J146" s="13">
        <v>104</v>
      </c>
    </row>
    <row r="147" spans="1:10" x14ac:dyDescent="0.25">
      <c r="A147" s="11">
        <v>2000</v>
      </c>
      <c r="B147" s="11" t="s">
        <v>264</v>
      </c>
      <c r="C147" s="13">
        <v>12359</v>
      </c>
      <c r="D147" s="13">
        <v>5</v>
      </c>
      <c r="E147" s="13">
        <v>1175</v>
      </c>
      <c r="F147" s="13">
        <v>2078</v>
      </c>
      <c r="G147" s="13">
        <v>3189</v>
      </c>
      <c r="H147" s="13">
        <v>3810</v>
      </c>
      <c r="I147" s="13">
        <v>1847</v>
      </c>
      <c r="J147" s="13">
        <v>255</v>
      </c>
    </row>
    <row r="148" spans="1:10" x14ac:dyDescent="0.25">
      <c r="A148" s="11">
        <v>2000</v>
      </c>
      <c r="B148" s="11" t="s">
        <v>242</v>
      </c>
      <c r="C148" s="13">
        <v>2945</v>
      </c>
      <c r="D148" s="13">
        <v>1</v>
      </c>
      <c r="E148" s="13">
        <v>228</v>
      </c>
      <c r="F148" s="13">
        <v>518</v>
      </c>
      <c r="G148" s="13">
        <v>820</v>
      </c>
      <c r="H148" s="13">
        <v>835</v>
      </c>
      <c r="I148" s="13">
        <v>453</v>
      </c>
      <c r="J148" s="13">
        <v>90</v>
      </c>
    </row>
    <row r="149" spans="1:10" x14ac:dyDescent="0.25">
      <c r="A149" s="11">
        <v>2000</v>
      </c>
      <c r="B149" s="11" t="s">
        <v>265</v>
      </c>
      <c r="C149" s="13">
        <v>6994</v>
      </c>
      <c r="D149" s="13">
        <v>3</v>
      </c>
      <c r="E149" s="13">
        <v>586</v>
      </c>
      <c r="F149" s="13">
        <v>1237</v>
      </c>
      <c r="G149" s="13">
        <v>2083</v>
      </c>
      <c r="H149" s="13">
        <v>2141</v>
      </c>
      <c r="I149" s="13">
        <v>829</v>
      </c>
      <c r="J149" s="13">
        <v>115</v>
      </c>
    </row>
    <row r="150" spans="1:10" x14ac:dyDescent="0.25">
      <c r="A150" s="11">
        <v>2000</v>
      </c>
      <c r="B150" s="11" t="s">
        <v>266</v>
      </c>
      <c r="C150" s="13">
        <v>8479</v>
      </c>
      <c r="D150" s="13">
        <v>0</v>
      </c>
      <c r="E150" s="13">
        <v>663</v>
      </c>
      <c r="F150" s="13">
        <v>1213</v>
      </c>
      <c r="G150" s="13">
        <v>2149</v>
      </c>
      <c r="H150" s="13">
        <v>2807</v>
      </c>
      <c r="I150" s="13">
        <v>1399</v>
      </c>
      <c r="J150" s="13">
        <v>248</v>
      </c>
    </row>
    <row r="151" spans="1:10" x14ac:dyDescent="0.25">
      <c r="A151" s="11">
        <v>2000</v>
      </c>
      <c r="B151" s="11" t="s">
        <v>267</v>
      </c>
      <c r="C151" s="13">
        <v>152</v>
      </c>
      <c r="D151" s="13">
        <v>1</v>
      </c>
      <c r="E151" s="13">
        <v>6</v>
      </c>
      <c r="F151" s="13">
        <v>19</v>
      </c>
      <c r="G151" s="13">
        <v>52</v>
      </c>
      <c r="H151" s="13">
        <v>46</v>
      </c>
      <c r="I151" s="13">
        <v>22</v>
      </c>
      <c r="J151" s="13">
        <v>6</v>
      </c>
    </row>
    <row r="152" spans="1:10" x14ac:dyDescent="0.25">
      <c r="A152" s="11">
        <v>2000</v>
      </c>
      <c r="B152" s="11" t="s">
        <v>268</v>
      </c>
      <c r="C152" s="13">
        <v>226</v>
      </c>
      <c r="D152" s="13">
        <v>1</v>
      </c>
      <c r="E152" s="13">
        <v>16</v>
      </c>
      <c r="F152" s="13">
        <v>34</v>
      </c>
      <c r="G152" s="13">
        <v>75</v>
      </c>
      <c r="H152" s="13">
        <v>55</v>
      </c>
      <c r="I152" s="13">
        <v>37</v>
      </c>
      <c r="J152" s="13">
        <v>8</v>
      </c>
    </row>
    <row r="153" spans="1:10" x14ac:dyDescent="0.25">
      <c r="A153" s="11">
        <v>2000</v>
      </c>
      <c r="B153" s="11" t="s">
        <v>269</v>
      </c>
      <c r="C153" s="13">
        <v>3846</v>
      </c>
      <c r="D153" s="13">
        <v>4</v>
      </c>
      <c r="E153" s="13">
        <v>370</v>
      </c>
      <c r="F153" s="13">
        <v>730</v>
      </c>
      <c r="G153" s="13">
        <v>1047</v>
      </c>
      <c r="H153" s="13">
        <v>1088</v>
      </c>
      <c r="I153" s="13">
        <v>518</v>
      </c>
      <c r="J153" s="13">
        <v>89</v>
      </c>
    </row>
    <row r="154" spans="1:10" x14ac:dyDescent="0.25">
      <c r="A154" s="11">
        <v>2000</v>
      </c>
      <c r="B154" s="11" t="s">
        <v>270</v>
      </c>
      <c r="C154" s="13">
        <v>228</v>
      </c>
      <c r="D154" s="13">
        <v>1</v>
      </c>
      <c r="E154" s="13">
        <v>11</v>
      </c>
      <c r="F154" s="13">
        <v>29</v>
      </c>
      <c r="G154" s="13">
        <v>69</v>
      </c>
      <c r="H154" s="13">
        <v>70</v>
      </c>
      <c r="I154" s="13">
        <v>38</v>
      </c>
      <c r="J154" s="13">
        <v>10</v>
      </c>
    </row>
    <row r="155" spans="1:10" x14ac:dyDescent="0.25">
      <c r="A155" s="11">
        <v>2001</v>
      </c>
      <c r="B155" s="11" t="s">
        <v>11</v>
      </c>
      <c r="C155" s="13">
        <v>52527</v>
      </c>
      <c r="D155" s="13">
        <v>28</v>
      </c>
      <c r="E155" s="13">
        <v>4444</v>
      </c>
      <c r="F155" s="13">
        <v>9121</v>
      </c>
      <c r="G155" s="13">
        <v>13763</v>
      </c>
      <c r="H155" s="13">
        <v>16206</v>
      </c>
      <c r="I155" s="13">
        <v>7701</v>
      </c>
      <c r="J155" s="13">
        <v>1264</v>
      </c>
    </row>
    <row r="156" spans="1:10" x14ac:dyDescent="0.25">
      <c r="A156" s="11">
        <v>2001</v>
      </c>
      <c r="B156" s="11" t="s">
        <v>260</v>
      </c>
      <c r="C156" s="13">
        <v>3675</v>
      </c>
      <c r="D156" s="13">
        <v>0</v>
      </c>
      <c r="E156" s="13">
        <v>373</v>
      </c>
      <c r="F156" s="13">
        <v>726</v>
      </c>
      <c r="G156" s="13">
        <v>951</v>
      </c>
      <c r="H156" s="13">
        <v>1077</v>
      </c>
      <c r="I156" s="13">
        <v>477</v>
      </c>
      <c r="J156" s="13">
        <v>71</v>
      </c>
    </row>
    <row r="157" spans="1:10" x14ac:dyDescent="0.25">
      <c r="A157" s="11">
        <v>2001</v>
      </c>
      <c r="B157" s="11" t="s">
        <v>261</v>
      </c>
      <c r="C157" s="13">
        <v>1066</v>
      </c>
      <c r="D157" s="13">
        <v>0</v>
      </c>
      <c r="E157" s="13">
        <v>73</v>
      </c>
      <c r="F157" s="13">
        <v>144</v>
      </c>
      <c r="G157" s="13">
        <v>256</v>
      </c>
      <c r="H157" s="13">
        <v>375</v>
      </c>
      <c r="I157" s="13">
        <v>180</v>
      </c>
      <c r="J157" s="13">
        <v>38</v>
      </c>
    </row>
    <row r="158" spans="1:10" x14ac:dyDescent="0.25">
      <c r="A158" s="11">
        <v>2001</v>
      </c>
      <c r="B158" s="11" t="s">
        <v>233</v>
      </c>
      <c r="C158" s="13">
        <v>1283</v>
      </c>
      <c r="D158" s="13">
        <v>0</v>
      </c>
      <c r="E158" s="13">
        <v>147</v>
      </c>
      <c r="F158" s="13">
        <v>235</v>
      </c>
      <c r="G158" s="13">
        <v>357</v>
      </c>
      <c r="H158" s="13">
        <v>361</v>
      </c>
      <c r="I158" s="13">
        <v>149</v>
      </c>
      <c r="J158" s="13">
        <v>34</v>
      </c>
    </row>
    <row r="159" spans="1:10" x14ac:dyDescent="0.25">
      <c r="A159" s="11">
        <v>2001</v>
      </c>
      <c r="B159" s="11" t="s">
        <v>240</v>
      </c>
      <c r="C159" s="13">
        <v>3642</v>
      </c>
      <c r="D159" s="13">
        <v>6</v>
      </c>
      <c r="E159" s="13">
        <v>347</v>
      </c>
      <c r="F159" s="13">
        <v>757</v>
      </c>
      <c r="G159" s="13">
        <v>980</v>
      </c>
      <c r="H159" s="13">
        <v>1047</v>
      </c>
      <c r="I159" s="13">
        <v>436</v>
      </c>
      <c r="J159" s="13">
        <v>69</v>
      </c>
    </row>
    <row r="160" spans="1:10" x14ac:dyDescent="0.25">
      <c r="A160" s="11">
        <v>2001</v>
      </c>
      <c r="B160" s="11" t="s">
        <v>262</v>
      </c>
      <c r="C160" s="13">
        <v>2817</v>
      </c>
      <c r="D160" s="13">
        <v>7</v>
      </c>
      <c r="E160" s="13">
        <v>217</v>
      </c>
      <c r="F160" s="13">
        <v>486</v>
      </c>
      <c r="G160" s="13">
        <v>776</v>
      </c>
      <c r="H160" s="13">
        <v>856</v>
      </c>
      <c r="I160" s="13">
        <v>415</v>
      </c>
      <c r="J160" s="13">
        <v>60</v>
      </c>
    </row>
    <row r="161" spans="1:10" x14ac:dyDescent="0.25">
      <c r="A161" s="11">
        <v>2001</v>
      </c>
      <c r="B161" s="11" t="s">
        <v>263</v>
      </c>
      <c r="C161" s="13">
        <v>5213</v>
      </c>
      <c r="D161" s="13">
        <v>2</v>
      </c>
      <c r="E161" s="13">
        <v>308</v>
      </c>
      <c r="F161" s="13">
        <v>801</v>
      </c>
      <c r="G161" s="13">
        <v>1538</v>
      </c>
      <c r="H161" s="13">
        <v>1669</v>
      </c>
      <c r="I161" s="13">
        <v>782</v>
      </c>
      <c r="J161" s="13">
        <v>113</v>
      </c>
    </row>
    <row r="162" spans="1:10" x14ac:dyDescent="0.25">
      <c r="A162" s="11">
        <v>2001</v>
      </c>
      <c r="B162" s="11" t="s">
        <v>264</v>
      </c>
      <c r="C162" s="13">
        <v>12200</v>
      </c>
      <c r="D162" s="13">
        <v>3</v>
      </c>
      <c r="E162" s="13">
        <v>1100</v>
      </c>
      <c r="F162" s="13">
        <v>2156</v>
      </c>
      <c r="G162" s="13">
        <v>2986</v>
      </c>
      <c r="H162" s="13">
        <v>3743</v>
      </c>
      <c r="I162" s="13">
        <v>1907</v>
      </c>
      <c r="J162" s="13">
        <v>305</v>
      </c>
    </row>
    <row r="163" spans="1:10" x14ac:dyDescent="0.25">
      <c r="A163" s="11">
        <v>2001</v>
      </c>
      <c r="B163" s="11" t="s">
        <v>242</v>
      </c>
      <c r="C163" s="13">
        <v>2911</v>
      </c>
      <c r="D163" s="13">
        <v>2</v>
      </c>
      <c r="E163" s="13">
        <v>232</v>
      </c>
      <c r="F163" s="13">
        <v>493</v>
      </c>
      <c r="G163" s="13">
        <v>784</v>
      </c>
      <c r="H163" s="13">
        <v>875</v>
      </c>
      <c r="I163" s="13">
        <v>429</v>
      </c>
      <c r="J163" s="13">
        <v>96</v>
      </c>
    </row>
    <row r="164" spans="1:10" x14ac:dyDescent="0.25">
      <c r="A164" s="11">
        <v>2001</v>
      </c>
      <c r="B164" s="11" t="s">
        <v>265</v>
      </c>
      <c r="C164" s="13">
        <v>6837</v>
      </c>
      <c r="D164" s="13">
        <v>1</v>
      </c>
      <c r="E164" s="13">
        <v>613</v>
      </c>
      <c r="F164" s="13">
        <v>1236</v>
      </c>
      <c r="G164" s="13">
        <v>1830</v>
      </c>
      <c r="H164" s="13">
        <v>2143</v>
      </c>
      <c r="I164" s="13">
        <v>880</v>
      </c>
      <c r="J164" s="13">
        <v>134</v>
      </c>
    </row>
    <row r="165" spans="1:10" x14ac:dyDescent="0.25">
      <c r="A165" s="11">
        <v>2001</v>
      </c>
      <c r="B165" s="11" t="s">
        <v>266</v>
      </c>
      <c r="C165" s="13">
        <v>8331</v>
      </c>
      <c r="D165" s="13">
        <v>2</v>
      </c>
      <c r="E165" s="13">
        <v>636</v>
      </c>
      <c r="F165" s="13">
        <v>1255</v>
      </c>
      <c r="G165" s="13">
        <v>2074</v>
      </c>
      <c r="H165" s="13">
        <v>2704</v>
      </c>
      <c r="I165" s="13">
        <v>1424</v>
      </c>
      <c r="J165" s="13">
        <v>236</v>
      </c>
    </row>
    <row r="166" spans="1:10" x14ac:dyDescent="0.25">
      <c r="A166" s="11">
        <v>2001</v>
      </c>
      <c r="B166" s="11" t="s">
        <v>267</v>
      </c>
      <c r="C166" s="13">
        <v>174</v>
      </c>
      <c r="D166" s="13">
        <v>0</v>
      </c>
      <c r="E166" s="13">
        <v>6</v>
      </c>
      <c r="F166" s="13">
        <v>21</v>
      </c>
      <c r="G166" s="13">
        <v>52</v>
      </c>
      <c r="H166" s="13">
        <v>65</v>
      </c>
      <c r="I166" s="13">
        <v>25</v>
      </c>
      <c r="J166" s="13">
        <v>5</v>
      </c>
    </row>
    <row r="167" spans="1:10" x14ac:dyDescent="0.25">
      <c r="A167" s="11">
        <v>2001</v>
      </c>
      <c r="B167" s="11" t="s">
        <v>268</v>
      </c>
      <c r="C167" s="13">
        <v>247</v>
      </c>
      <c r="D167" s="13">
        <v>0</v>
      </c>
      <c r="E167" s="13">
        <v>18</v>
      </c>
      <c r="F167" s="13">
        <v>50</v>
      </c>
      <c r="G167" s="13">
        <v>63</v>
      </c>
      <c r="H167" s="13">
        <v>75</v>
      </c>
      <c r="I167" s="13">
        <v>37</v>
      </c>
      <c r="J167" s="13">
        <v>4</v>
      </c>
    </row>
    <row r="168" spans="1:10" x14ac:dyDescent="0.25">
      <c r="A168" s="11">
        <v>2001</v>
      </c>
      <c r="B168" s="11" t="s">
        <v>269</v>
      </c>
      <c r="C168" s="13">
        <v>3905</v>
      </c>
      <c r="D168" s="13">
        <v>5</v>
      </c>
      <c r="E168" s="13">
        <v>365</v>
      </c>
      <c r="F168" s="13">
        <v>724</v>
      </c>
      <c r="G168" s="13">
        <v>1059</v>
      </c>
      <c r="H168" s="13">
        <v>1135</v>
      </c>
      <c r="I168" s="13">
        <v>525</v>
      </c>
      <c r="J168" s="13">
        <v>92</v>
      </c>
    </row>
    <row r="169" spans="1:10" x14ac:dyDescent="0.25">
      <c r="A169" s="11">
        <v>2001</v>
      </c>
      <c r="B169" s="11" t="s">
        <v>270</v>
      </c>
      <c r="C169" s="13">
        <v>226</v>
      </c>
      <c r="D169" s="13">
        <v>0</v>
      </c>
      <c r="E169" s="13">
        <v>9</v>
      </c>
      <c r="F169" s="13">
        <v>37</v>
      </c>
      <c r="G169" s="13">
        <v>57</v>
      </c>
      <c r="H169" s="13">
        <v>81</v>
      </c>
      <c r="I169" s="13">
        <v>35</v>
      </c>
      <c r="J169" s="13">
        <v>7</v>
      </c>
    </row>
    <row r="170" spans="1:10" x14ac:dyDescent="0.25">
      <c r="A170" s="11">
        <v>2002</v>
      </c>
      <c r="B170" s="11" t="s">
        <v>11</v>
      </c>
      <c r="C170" s="13">
        <v>51270</v>
      </c>
      <c r="D170" s="13">
        <v>35</v>
      </c>
      <c r="E170" s="13">
        <v>4195</v>
      </c>
      <c r="F170" s="13">
        <v>9267</v>
      </c>
      <c r="G170" s="13">
        <v>12694</v>
      </c>
      <c r="H170" s="13">
        <v>16038</v>
      </c>
      <c r="I170" s="13">
        <v>7727</v>
      </c>
      <c r="J170" s="13">
        <v>1314</v>
      </c>
    </row>
    <row r="171" spans="1:10" x14ac:dyDescent="0.25">
      <c r="A171" s="11">
        <v>2002</v>
      </c>
      <c r="B171" s="11" t="s">
        <v>260</v>
      </c>
      <c r="C171" s="13">
        <v>3491</v>
      </c>
      <c r="D171" s="13">
        <v>1</v>
      </c>
      <c r="E171" s="13">
        <v>359</v>
      </c>
      <c r="F171" s="13">
        <v>713</v>
      </c>
      <c r="G171" s="13">
        <v>890</v>
      </c>
      <c r="H171" s="13">
        <v>990</v>
      </c>
      <c r="I171" s="13">
        <v>469</v>
      </c>
      <c r="J171" s="13">
        <v>69</v>
      </c>
    </row>
    <row r="172" spans="1:10" x14ac:dyDescent="0.25">
      <c r="A172" s="11">
        <v>2002</v>
      </c>
      <c r="B172" s="11" t="s">
        <v>261</v>
      </c>
      <c r="C172" s="13">
        <v>1021</v>
      </c>
      <c r="D172" s="13">
        <v>7</v>
      </c>
      <c r="E172" s="13">
        <v>56</v>
      </c>
      <c r="F172" s="13">
        <v>149</v>
      </c>
      <c r="G172" s="13">
        <v>235</v>
      </c>
      <c r="H172" s="13">
        <v>353</v>
      </c>
      <c r="I172" s="13">
        <v>182</v>
      </c>
      <c r="J172" s="13">
        <v>39</v>
      </c>
    </row>
    <row r="173" spans="1:10" x14ac:dyDescent="0.25">
      <c r="A173" s="11">
        <v>2002</v>
      </c>
      <c r="B173" s="11" t="s">
        <v>233</v>
      </c>
      <c r="C173" s="13">
        <v>1343</v>
      </c>
      <c r="D173" s="13">
        <v>0</v>
      </c>
      <c r="E173" s="13">
        <v>118</v>
      </c>
      <c r="F173" s="13">
        <v>281</v>
      </c>
      <c r="G173" s="13">
        <v>330</v>
      </c>
      <c r="H173" s="13">
        <v>402</v>
      </c>
      <c r="I173" s="13">
        <v>187</v>
      </c>
      <c r="J173" s="13">
        <v>25</v>
      </c>
    </row>
    <row r="174" spans="1:10" x14ac:dyDescent="0.25">
      <c r="A174" s="11">
        <v>2002</v>
      </c>
      <c r="B174" s="11" t="s">
        <v>240</v>
      </c>
      <c r="C174" s="13">
        <v>3536</v>
      </c>
      <c r="D174" s="13">
        <v>0</v>
      </c>
      <c r="E174" s="13">
        <v>332</v>
      </c>
      <c r="F174" s="13">
        <v>726</v>
      </c>
      <c r="G174" s="13">
        <v>895</v>
      </c>
      <c r="H174" s="13">
        <v>1010</v>
      </c>
      <c r="I174" s="13">
        <v>490</v>
      </c>
      <c r="J174" s="13">
        <v>83</v>
      </c>
    </row>
    <row r="175" spans="1:10" x14ac:dyDescent="0.25">
      <c r="A175" s="11">
        <v>2002</v>
      </c>
      <c r="B175" s="11" t="s">
        <v>262</v>
      </c>
      <c r="C175" s="13">
        <v>2820</v>
      </c>
      <c r="D175" s="13">
        <v>3</v>
      </c>
      <c r="E175" s="13">
        <v>239</v>
      </c>
      <c r="F175" s="13">
        <v>494</v>
      </c>
      <c r="G175" s="13">
        <v>730</v>
      </c>
      <c r="H175" s="13">
        <v>867</v>
      </c>
      <c r="I175" s="13">
        <v>415</v>
      </c>
      <c r="J175" s="13">
        <v>72</v>
      </c>
    </row>
    <row r="176" spans="1:10" x14ac:dyDescent="0.25">
      <c r="A176" s="11">
        <v>2002</v>
      </c>
      <c r="B176" s="11" t="s">
        <v>263</v>
      </c>
      <c r="C176" s="13">
        <v>5300</v>
      </c>
      <c r="D176" s="13">
        <v>5</v>
      </c>
      <c r="E176" s="13">
        <v>345</v>
      </c>
      <c r="F176" s="13">
        <v>859</v>
      </c>
      <c r="G176" s="13">
        <v>1464</v>
      </c>
      <c r="H176" s="13">
        <v>1736</v>
      </c>
      <c r="I176" s="13">
        <v>773</v>
      </c>
      <c r="J176" s="13">
        <v>118</v>
      </c>
    </row>
    <row r="177" spans="1:10" x14ac:dyDescent="0.25">
      <c r="A177" s="11">
        <v>2002</v>
      </c>
      <c r="B177" s="11" t="s">
        <v>264</v>
      </c>
      <c r="C177" s="13">
        <v>11767</v>
      </c>
      <c r="D177" s="13">
        <v>4</v>
      </c>
      <c r="E177" s="13">
        <v>1029</v>
      </c>
      <c r="F177" s="13">
        <v>2188</v>
      </c>
      <c r="G177" s="13">
        <v>2707</v>
      </c>
      <c r="H177" s="13">
        <v>3658</v>
      </c>
      <c r="I177" s="13">
        <v>1844</v>
      </c>
      <c r="J177" s="13">
        <v>337</v>
      </c>
    </row>
    <row r="178" spans="1:10" x14ac:dyDescent="0.25">
      <c r="A178" s="11">
        <v>2002</v>
      </c>
      <c r="B178" s="11" t="s">
        <v>242</v>
      </c>
      <c r="C178" s="13">
        <v>2732</v>
      </c>
      <c r="D178" s="13">
        <v>2</v>
      </c>
      <c r="E178" s="13">
        <v>216</v>
      </c>
      <c r="F178" s="13">
        <v>489</v>
      </c>
      <c r="G178" s="13">
        <v>689</v>
      </c>
      <c r="H178" s="13">
        <v>780</v>
      </c>
      <c r="I178" s="13">
        <v>469</v>
      </c>
      <c r="J178" s="13">
        <v>87</v>
      </c>
    </row>
    <row r="179" spans="1:10" x14ac:dyDescent="0.25">
      <c r="A179" s="11">
        <v>2002</v>
      </c>
      <c r="B179" s="11" t="s">
        <v>265</v>
      </c>
      <c r="C179" s="13">
        <v>6740</v>
      </c>
      <c r="D179" s="13">
        <v>6</v>
      </c>
      <c r="E179" s="13">
        <v>543</v>
      </c>
      <c r="F179" s="13">
        <v>1286</v>
      </c>
      <c r="G179" s="13">
        <v>1750</v>
      </c>
      <c r="H179" s="13">
        <v>2177</v>
      </c>
      <c r="I179" s="13">
        <v>854</v>
      </c>
      <c r="J179" s="13">
        <v>124</v>
      </c>
    </row>
    <row r="180" spans="1:10" x14ac:dyDescent="0.25">
      <c r="A180" s="11">
        <v>2002</v>
      </c>
      <c r="B180" s="11" t="s">
        <v>266</v>
      </c>
      <c r="C180" s="13">
        <v>8210</v>
      </c>
      <c r="D180" s="13">
        <v>6</v>
      </c>
      <c r="E180" s="13">
        <v>582</v>
      </c>
      <c r="F180" s="13">
        <v>1274</v>
      </c>
      <c r="G180" s="13">
        <v>1892</v>
      </c>
      <c r="H180" s="13">
        <v>2774</v>
      </c>
      <c r="I180" s="13">
        <v>1427</v>
      </c>
      <c r="J180" s="13">
        <v>255</v>
      </c>
    </row>
    <row r="181" spans="1:10" x14ac:dyDescent="0.25">
      <c r="A181" s="11">
        <v>2002</v>
      </c>
      <c r="B181" s="11" t="s">
        <v>267</v>
      </c>
      <c r="C181" s="13">
        <v>164</v>
      </c>
      <c r="D181" s="13">
        <v>0</v>
      </c>
      <c r="E181" s="13">
        <v>12</v>
      </c>
      <c r="F181" s="13">
        <v>32</v>
      </c>
      <c r="G181" s="13">
        <v>43</v>
      </c>
      <c r="H181" s="13">
        <v>51</v>
      </c>
      <c r="I181" s="13">
        <v>21</v>
      </c>
      <c r="J181" s="13">
        <v>5</v>
      </c>
    </row>
    <row r="182" spans="1:10" x14ac:dyDescent="0.25">
      <c r="A182" s="11">
        <v>2002</v>
      </c>
      <c r="B182" s="11" t="s">
        <v>268</v>
      </c>
      <c r="C182" s="13">
        <v>209</v>
      </c>
      <c r="D182" s="13">
        <v>0</v>
      </c>
      <c r="E182" s="13">
        <v>11</v>
      </c>
      <c r="F182" s="13">
        <v>40</v>
      </c>
      <c r="G182" s="13">
        <v>59</v>
      </c>
      <c r="H182" s="13">
        <v>56</v>
      </c>
      <c r="I182" s="13">
        <v>33</v>
      </c>
      <c r="J182" s="13">
        <v>10</v>
      </c>
    </row>
    <row r="183" spans="1:10" x14ac:dyDescent="0.25">
      <c r="A183" s="11">
        <v>2002</v>
      </c>
      <c r="B183" s="11" t="s">
        <v>269</v>
      </c>
      <c r="C183" s="13">
        <v>3695</v>
      </c>
      <c r="D183" s="13">
        <v>1</v>
      </c>
      <c r="E183" s="13">
        <v>341</v>
      </c>
      <c r="F183" s="13">
        <v>702</v>
      </c>
      <c r="G183" s="13">
        <v>950</v>
      </c>
      <c r="H183" s="13">
        <v>1084</v>
      </c>
      <c r="I183" s="13">
        <v>532</v>
      </c>
      <c r="J183" s="13">
        <v>85</v>
      </c>
    </row>
    <row r="184" spans="1:10" x14ac:dyDescent="0.25">
      <c r="A184" s="11">
        <v>2002</v>
      </c>
      <c r="B184" s="11" t="s">
        <v>270</v>
      </c>
      <c r="C184" s="13">
        <v>242</v>
      </c>
      <c r="D184" s="13">
        <v>0</v>
      </c>
      <c r="E184" s="13">
        <v>12</v>
      </c>
      <c r="F184" s="13">
        <v>34</v>
      </c>
      <c r="G184" s="13">
        <v>60</v>
      </c>
      <c r="H184" s="13">
        <v>100</v>
      </c>
      <c r="I184" s="13">
        <v>31</v>
      </c>
      <c r="J184" s="13">
        <v>5</v>
      </c>
    </row>
    <row r="185" spans="1:10" x14ac:dyDescent="0.25">
      <c r="A185" s="11">
        <v>2003</v>
      </c>
      <c r="B185" s="11" t="s">
        <v>11</v>
      </c>
      <c r="C185" s="13">
        <v>52432</v>
      </c>
      <c r="D185" s="13">
        <v>60</v>
      </c>
      <c r="E185" s="13">
        <v>4155</v>
      </c>
      <c r="F185" s="13">
        <v>9626</v>
      </c>
      <c r="G185" s="13">
        <v>12725</v>
      </c>
      <c r="H185" s="13">
        <v>16085</v>
      </c>
      <c r="I185" s="13">
        <v>8310</v>
      </c>
      <c r="J185" s="13">
        <v>1471</v>
      </c>
    </row>
    <row r="186" spans="1:10" x14ac:dyDescent="0.25">
      <c r="A186" s="11">
        <v>2003</v>
      </c>
      <c r="B186" s="11" t="s">
        <v>260</v>
      </c>
      <c r="C186" s="13">
        <v>3602</v>
      </c>
      <c r="D186" s="13">
        <v>4</v>
      </c>
      <c r="E186" s="13">
        <v>334</v>
      </c>
      <c r="F186" s="13">
        <v>756</v>
      </c>
      <c r="G186" s="13">
        <v>943</v>
      </c>
      <c r="H186" s="13">
        <v>998</v>
      </c>
      <c r="I186" s="13">
        <v>497</v>
      </c>
      <c r="J186" s="13">
        <v>70</v>
      </c>
    </row>
    <row r="187" spans="1:10" x14ac:dyDescent="0.25">
      <c r="A187" s="11">
        <v>2003</v>
      </c>
      <c r="B187" s="11" t="s">
        <v>261</v>
      </c>
      <c r="C187" s="13">
        <v>1048</v>
      </c>
      <c r="D187" s="13">
        <v>3</v>
      </c>
      <c r="E187" s="13">
        <v>71</v>
      </c>
      <c r="F187" s="13">
        <v>157</v>
      </c>
      <c r="G187" s="13">
        <v>228</v>
      </c>
      <c r="H187" s="13">
        <v>323</v>
      </c>
      <c r="I187" s="13">
        <v>227</v>
      </c>
      <c r="J187" s="13">
        <v>39</v>
      </c>
    </row>
    <row r="188" spans="1:10" x14ac:dyDescent="0.25">
      <c r="A188" s="11">
        <v>2003</v>
      </c>
      <c r="B188" s="11" t="s">
        <v>233</v>
      </c>
      <c r="C188" s="13">
        <v>1307</v>
      </c>
      <c r="D188" s="13">
        <v>7</v>
      </c>
      <c r="E188" s="13">
        <v>112</v>
      </c>
      <c r="F188" s="13">
        <v>284</v>
      </c>
      <c r="G188" s="13">
        <v>323</v>
      </c>
      <c r="H188" s="13">
        <v>370</v>
      </c>
      <c r="I188" s="13">
        <v>185</v>
      </c>
      <c r="J188" s="13">
        <v>26</v>
      </c>
    </row>
    <row r="189" spans="1:10" x14ac:dyDescent="0.25">
      <c r="A189" s="11">
        <v>2003</v>
      </c>
      <c r="B189" s="11" t="s">
        <v>240</v>
      </c>
      <c r="C189" s="13">
        <v>3642</v>
      </c>
      <c r="D189" s="13">
        <v>8</v>
      </c>
      <c r="E189" s="13">
        <v>318</v>
      </c>
      <c r="F189" s="13">
        <v>774</v>
      </c>
      <c r="G189" s="13">
        <v>921</v>
      </c>
      <c r="H189" s="13">
        <v>1057</v>
      </c>
      <c r="I189" s="13">
        <v>490</v>
      </c>
      <c r="J189" s="13">
        <v>74</v>
      </c>
    </row>
    <row r="190" spans="1:10" x14ac:dyDescent="0.25">
      <c r="A190" s="11">
        <v>2003</v>
      </c>
      <c r="B190" s="11" t="s">
        <v>262</v>
      </c>
      <c r="C190" s="13">
        <v>2929</v>
      </c>
      <c r="D190" s="13">
        <v>0</v>
      </c>
      <c r="E190" s="13">
        <v>214</v>
      </c>
      <c r="F190" s="13">
        <v>524</v>
      </c>
      <c r="G190" s="13">
        <v>736</v>
      </c>
      <c r="H190" s="13">
        <v>928</v>
      </c>
      <c r="I190" s="13">
        <v>464</v>
      </c>
      <c r="J190" s="13">
        <v>63</v>
      </c>
    </row>
    <row r="191" spans="1:10" x14ac:dyDescent="0.25">
      <c r="A191" s="11">
        <v>2003</v>
      </c>
      <c r="B191" s="11" t="s">
        <v>263</v>
      </c>
      <c r="C191" s="13">
        <v>5195</v>
      </c>
      <c r="D191" s="13">
        <v>2</v>
      </c>
      <c r="E191" s="13">
        <v>352</v>
      </c>
      <c r="F191" s="13">
        <v>858</v>
      </c>
      <c r="G191" s="13">
        <v>1386</v>
      </c>
      <c r="H191" s="13">
        <v>1721</v>
      </c>
      <c r="I191" s="13">
        <v>732</v>
      </c>
      <c r="J191" s="13">
        <v>144</v>
      </c>
    </row>
    <row r="192" spans="1:10" x14ac:dyDescent="0.25">
      <c r="A192" s="11">
        <v>2003</v>
      </c>
      <c r="B192" s="11" t="s">
        <v>264</v>
      </c>
      <c r="C192" s="13">
        <v>12003</v>
      </c>
      <c r="D192" s="13">
        <v>9</v>
      </c>
      <c r="E192" s="13">
        <v>1031</v>
      </c>
      <c r="F192" s="13">
        <v>2283</v>
      </c>
      <c r="G192" s="13">
        <v>2757</v>
      </c>
      <c r="H192" s="13">
        <v>3509</v>
      </c>
      <c r="I192" s="13">
        <v>2066</v>
      </c>
      <c r="J192" s="13">
        <v>348</v>
      </c>
    </row>
    <row r="193" spans="1:10" x14ac:dyDescent="0.25">
      <c r="A193" s="11">
        <v>2003</v>
      </c>
      <c r="B193" s="11" t="s">
        <v>242</v>
      </c>
      <c r="C193" s="13">
        <v>2817</v>
      </c>
      <c r="D193" s="13">
        <v>1</v>
      </c>
      <c r="E193" s="13">
        <v>202</v>
      </c>
      <c r="F193" s="13">
        <v>519</v>
      </c>
      <c r="G193" s="13">
        <v>691</v>
      </c>
      <c r="H193" s="13">
        <v>819</v>
      </c>
      <c r="I193" s="13">
        <v>490</v>
      </c>
      <c r="J193" s="13">
        <v>95</v>
      </c>
    </row>
    <row r="194" spans="1:10" x14ac:dyDescent="0.25">
      <c r="A194" s="11">
        <v>2003</v>
      </c>
      <c r="B194" s="11" t="s">
        <v>265</v>
      </c>
      <c r="C194" s="13">
        <v>6863</v>
      </c>
      <c r="D194" s="13">
        <v>17</v>
      </c>
      <c r="E194" s="13">
        <v>566</v>
      </c>
      <c r="F194" s="13">
        <v>1254</v>
      </c>
      <c r="G194" s="13">
        <v>1687</v>
      </c>
      <c r="H194" s="13">
        <v>2200</v>
      </c>
      <c r="I194" s="13">
        <v>969</v>
      </c>
      <c r="J194" s="13">
        <v>170</v>
      </c>
    </row>
    <row r="195" spans="1:10" x14ac:dyDescent="0.25">
      <c r="A195" s="11">
        <v>2003</v>
      </c>
      <c r="B195" s="11" t="s">
        <v>266</v>
      </c>
      <c r="C195" s="13">
        <v>8420</v>
      </c>
      <c r="D195" s="13">
        <v>2</v>
      </c>
      <c r="E195" s="13">
        <v>579</v>
      </c>
      <c r="F195" s="13">
        <v>1307</v>
      </c>
      <c r="G195" s="13">
        <v>1894</v>
      </c>
      <c r="H195" s="13">
        <v>2829</v>
      </c>
      <c r="I195" s="13">
        <v>1503</v>
      </c>
      <c r="J195" s="13">
        <v>306</v>
      </c>
    </row>
    <row r="196" spans="1:10" x14ac:dyDescent="0.25">
      <c r="A196" s="11">
        <v>2003</v>
      </c>
      <c r="B196" s="11" t="s">
        <v>267</v>
      </c>
      <c r="C196" s="13">
        <v>171</v>
      </c>
      <c r="D196" s="13">
        <v>0</v>
      </c>
      <c r="E196" s="13">
        <v>12</v>
      </c>
      <c r="F196" s="13">
        <v>26</v>
      </c>
      <c r="G196" s="13">
        <v>50</v>
      </c>
      <c r="H196" s="13">
        <v>50</v>
      </c>
      <c r="I196" s="13">
        <v>27</v>
      </c>
      <c r="J196" s="13">
        <v>6</v>
      </c>
    </row>
    <row r="197" spans="1:10" x14ac:dyDescent="0.25">
      <c r="A197" s="11">
        <v>2003</v>
      </c>
      <c r="B197" s="11" t="s">
        <v>268</v>
      </c>
      <c r="C197" s="13">
        <v>251</v>
      </c>
      <c r="D197" s="13">
        <v>1</v>
      </c>
      <c r="E197" s="13">
        <v>10</v>
      </c>
      <c r="F197" s="13">
        <v>40</v>
      </c>
      <c r="G197" s="13">
        <v>67</v>
      </c>
      <c r="H197" s="13">
        <v>76</v>
      </c>
      <c r="I197" s="13">
        <v>45</v>
      </c>
      <c r="J197" s="13">
        <v>12</v>
      </c>
    </row>
    <row r="198" spans="1:10" x14ac:dyDescent="0.25">
      <c r="A198" s="11">
        <v>2003</v>
      </c>
      <c r="B198" s="11" t="s">
        <v>269</v>
      </c>
      <c r="C198" s="13">
        <v>3929</v>
      </c>
      <c r="D198" s="13">
        <v>6</v>
      </c>
      <c r="E198" s="13">
        <v>345</v>
      </c>
      <c r="F198" s="13">
        <v>811</v>
      </c>
      <c r="G198" s="13">
        <v>983</v>
      </c>
      <c r="H198" s="13">
        <v>1132</v>
      </c>
      <c r="I198" s="13">
        <v>546</v>
      </c>
      <c r="J198" s="13">
        <v>106</v>
      </c>
    </row>
    <row r="199" spans="1:10" x14ac:dyDescent="0.25">
      <c r="A199" s="11">
        <v>2003</v>
      </c>
      <c r="B199" s="11" t="s">
        <v>270</v>
      </c>
      <c r="C199" s="13">
        <v>255</v>
      </c>
      <c r="D199" s="13">
        <v>0</v>
      </c>
      <c r="E199" s="13">
        <v>9</v>
      </c>
      <c r="F199" s="13">
        <v>33</v>
      </c>
      <c r="G199" s="13">
        <v>59</v>
      </c>
      <c r="H199" s="13">
        <v>73</v>
      </c>
      <c r="I199" s="13">
        <v>69</v>
      </c>
      <c r="J199" s="13">
        <v>12</v>
      </c>
    </row>
    <row r="200" spans="1:10" x14ac:dyDescent="0.25">
      <c r="A200" s="11">
        <v>2004</v>
      </c>
      <c r="B200" s="11" t="s">
        <v>11</v>
      </c>
      <c r="C200" s="13">
        <v>53957</v>
      </c>
      <c r="D200" s="13">
        <v>26</v>
      </c>
      <c r="E200" s="13">
        <v>4172</v>
      </c>
      <c r="F200" s="13">
        <v>9950</v>
      </c>
      <c r="G200" s="13">
        <v>13131</v>
      </c>
      <c r="H200" s="13">
        <v>16085</v>
      </c>
      <c r="I200" s="13">
        <v>8912</v>
      </c>
      <c r="J200" s="13">
        <v>1681</v>
      </c>
    </row>
    <row r="201" spans="1:10" x14ac:dyDescent="0.25">
      <c r="A201" s="11">
        <v>2004</v>
      </c>
      <c r="B201" s="11" t="s">
        <v>260</v>
      </c>
      <c r="C201" s="13">
        <v>3707</v>
      </c>
      <c r="D201" s="13">
        <v>3</v>
      </c>
      <c r="E201" s="13">
        <v>362</v>
      </c>
      <c r="F201" s="13">
        <v>799</v>
      </c>
      <c r="G201" s="13">
        <v>918</v>
      </c>
      <c r="H201" s="13">
        <v>980</v>
      </c>
      <c r="I201" s="13">
        <v>551</v>
      </c>
      <c r="J201" s="13">
        <v>94</v>
      </c>
    </row>
    <row r="202" spans="1:10" x14ac:dyDescent="0.25">
      <c r="A202" s="11">
        <v>2004</v>
      </c>
      <c r="B202" s="11" t="s">
        <v>261</v>
      </c>
      <c r="C202" s="13">
        <v>1052</v>
      </c>
      <c r="D202" s="13">
        <v>0</v>
      </c>
      <c r="E202" s="13">
        <v>58</v>
      </c>
      <c r="F202" s="13">
        <v>150</v>
      </c>
      <c r="G202" s="13">
        <v>237</v>
      </c>
      <c r="H202" s="13">
        <v>366</v>
      </c>
      <c r="I202" s="13">
        <v>187</v>
      </c>
      <c r="J202" s="13">
        <v>54</v>
      </c>
    </row>
    <row r="203" spans="1:10" x14ac:dyDescent="0.25">
      <c r="A203" s="11">
        <v>2004</v>
      </c>
      <c r="B203" s="11" t="s">
        <v>233</v>
      </c>
      <c r="C203" s="13">
        <v>1431</v>
      </c>
      <c r="D203" s="13">
        <v>0</v>
      </c>
      <c r="E203" s="13">
        <v>124</v>
      </c>
      <c r="F203" s="13">
        <v>299</v>
      </c>
      <c r="G203" s="13">
        <v>376</v>
      </c>
      <c r="H203" s="13">
        <v>375</v>
      </c>
      <c r="I203" s="13">
        <v>219</v>
      </c>
      <c r="J203" s="13">
        <v>38</v>
      </c>
    </row>
    <row r="204" spans="1:10" x14ac:dyDescent="0.25">
      <c r="A204" s="11">
        <v>2004</v>
      </c>
      <c r="B204" s="11" t="s">
        <v>240</v>
      </c>
      <c r="C204" s="13">
        <v>3735</v>
      </c>
      <c r="D204" s="13">
        <v>1</v>
      </c>
      <c r="E204" s="13">
        <v>336</v>
      </c>
      <c r="F204" s="13">
        <v>790</v>
      </c>
      <c r="G204" s="13">
        <v>974</v>
      </c>
      <c r="H204" s="13">
        <v>1024</v>
      </c>
      <c r="I204" s="13">
        <v>530</v>
      </c>
      <c r="J204" s="13">
        <v>80</v>
      </c>
    </row>
    <row r="205" spans="1:10" x14ac:dyDescent="0.25">
      <c r="A205" s="11">
        <v>2004</v>
      </c>
      <c r="B205" s="11" t="s">
        <v>262</v>
      </c>
      <c r="C205" s="13">
        <v>3170</v>
      </c>
      <c r="D205" s="13">
        <v>0</v>
      </c>
      <c r="E205" s="13">
        <v>236</v>
      </c>
      <c r="F205" s="13">
        <v>538</v>
      </c>
      <c r="G205" s="13">
        <v>783</v>
      </c>
      <c r="H205" s="13">
        <v>1023</v>
      </c>
      <c r="I205" s="13">
        <v>512</v>
      </c>
      <c r="J205" s="13">
        <v>78</v>
      </c>
    </row>
    <row r="206" spans="1:10" x14ac:dyDescent="0.25">
      <c r="A206" s="11">
        <v>2004</v>
      </c>
      <c r="B206" s="11" t="s">
        <v>263</v>
      </c>
      <c r="C206" s="13">
        <v>5317</v>
      </c>
      <c r="D206" s="13">
        <v>2</v>
      </c>
      <c r="E206" s="13">
        <v>289</v>
      </c>
      <c r="F206" s="13">
        <v>880</v>
      </c>
      <c r="G206" s="13">
        <v>1405</v>
      </c>
      <c r="H206" s="13">
        <v>1727</v>
      </c>
      <c r="I206" s="13">
        <v>863</v>
      </c>
      <c r="J206" s="13">
        <v>151</v>
      </c>
    </row>
    <row r="207" spans="1:10" x14ac:dyDescent="0.25">
      <c r="A207" s="11">
        <v>2004</v>
      </c>
      <c r="B207" s="11" t="s">
        <v>264</v>
      </c>
      <c r="C207" s="13">
        <v>12224</v>
      </c>
      <c r="D207" s="13">
        <v>12</v>
      </c>
      <c r="E207" s="13">
        <v>1020</v>
      </c>
      <c r="F207" s="13">
        <v>2338</v>
      </c>
      <c r="G207" s="13">
        <v>2880</v>
      </c>
      <c r="H207" s="13">
        <v>3443</v>
      </c>
      <c r="I207" s="13">
        <v>2118</v>
      </c>
      <c r="J207" s="13">
        <v>413</v>
      </c>
    </row>
    <row r="208" spans="1:10" x14ac:dyDescent="0.25">
      <c r="A208" s="11">
        <v>2004</v>
      </c>
      <c r="B208" s="11" t="s">
        <v>242</v>
      </c>
      <c r="C208" s="13">
        <v>2982</v>
      </c>
      <c r="D208" s="13">
        <v>2</v>
      </c>
      <c r="E208" s="13">
        <v>190</v>
      </c>
      <c r="F208" s="13">
        <v>560</v>
      </c>
      <c r="G208" s="13">
        <v>704</v>
      </c>
      <c r="H208" s="13">
        <v>879</v>
      </c>
      <c r="I208" s="13">
        <v>542</v>
      </c>
      <c r="J208" s="13">
        <v>105</v>
      </c>
    </row>
    <row r="209" spans="1:10" x14ac:dyDescent="0.25">
      <c r="A209" s="11">
        <v>2004</v>
      </c>
      <c r="B209" s="11" t="s">
        <v>265</v>
      </c>
      <c r="C209" s="13">
        <v>7363</v>
      </c>
      <c r="D209" s="13">
        <v>2</v>
      </c>
      <c r="E209" s="13">
        <v>567</v>
      </c>
      <c r="F209" s="13">
        <v>1389</v>
      </c>
      <c r="G209" s="13">
        <v>1875</v>
      </c>
      <c r="H209" s="13">
        <v>2197</v>
      </c>
      <c r="I209" s="13">
        <v>1132</v>
      </c>
      <c r="J209" s="13">
        <v>201</v>
      </c>
    </row>
    <row r="210" spans="1:10" x14ac:dyDescent="0.25">
      <c r="A210" s="11">
        <v>2004</v>
      </c>
      <c r="B210" s="11" t="s">
        <v>266</v>
      </c>
      <c r="C210" s="13">
        <v>8457</v>
      </c>
      <c r="D210" s="13">
        <v>0</v>
      </c>
      <c r="E210" s="13">
        <v>579</v>
      </c>
      <c r="F210" s="13">
        <v>1358</v>
      </c>
      <c r="G210" s="13">
        <v>1841</v>
      </c>
      <c r="H210" s="13">
        <v>2750</v>
      </c>
      <c r="I210" s="13">
        <v>1608</v>
      </c>
      <c r="J210" s="13">
        <v>321</v>
      </c>
    </row>
    <row r="211" spans="1:10" x14ac:dyDescent="0.25">
      <c r="A211" s="11">
        <v>2004</v>
      </c>
      <c r="B211" s="11" t="s">
        <v>267</v>
      </c>
      <c r="C211" s="13">
        <v>171</v>
      </c>
      <c r="D211" s="13">
        <v>0</v>
      </c>
      <c r="E211" s="13">
        <v>14</v>
      </c>
      <c r="F211" s="13">
        <v>36</v>
      </c>
      <c r="G211" s="13">
        <v>44</v>
      </c>
      <c r="H211" s="13">
        <v>42</v>
      </c>
      <c r="I211" s="13">
        <v>25</v>
      </c>
      <c r="J211" s="13">
        <v>10</v>
      </c>
    </row>
    <row r="212" spans="1:10" x14ac:dyDescent="0.25">
      <c r="A212" s="11">
        <v>2004</v>
      </c>
      <c r="B212" s="11" t="s">
        <v>268</v>
      </c>
      <c r="C212" s="13">
        <v>230</v>
      </c>
      <c r="D212" s="13">
        <v>0</v>
      </c>
      <c r="E212" s="13">
        <v>9</v>
      </c>
      <c r="F212" s="13">
        <v>36</v>
      </c>
      <c r="G212" s="13">
        <v>73</v>
      </c>
      <c r="H212" s="13">
        <v>72</v>
      </c>
      <c r="I212" s="13">
        <v>32</v>
      </c>
      <c r="J212" s="13">
        <v>8</v>
      </c>
    </row>
    <row r="213" spans="1:10" x14ac:dyDescent="0.25">
      <c r="A213" s="11">
        <v>2004</v>
      </c>
      <c r="B213" s="11" t="s">
        <v>269</v>
      </c>
      <c r="C213" s="13">
        <v>3895</v>
      </c>
      <c r="D213" s="13">
        <v>1</v>
      </c>
      <c r="E213" s="13">
        <v>378</v>
      </c>
      <c r="F213" s="13">
        <v>756</v>
      </c>
      <c r="G213" s="13">
        <v>965</v>
      </c>
      <c r="H213" s="13">
        <v>1134</v>
      </c>
      <c r="I213" s="13">
        <v>543</v>
      </c>
      <c r="J213" s="13">
        <v>118</v>
      </c>
    </row>
    <row r="214" spans="1:10" x14ac:dyDescent="0.25">
      <c r="A214" s="11">
        <v>2004</v>
      </c>
      <c r="B214" s="11" t="s">
        <v>270</v>
      </c>
      <c r="C214" s="13">
        <v>223</v>
      </c>
      <c r="D214" s="13">
        <v>3</v>
      </c>
      <c r="E214" s="13">
        <v>10</v>
      </c>
      <c r="F214" s="13">
        <v>21</v>
      </c>
      <c r="G214" s="13">
        <v>56</v>
      </c>
      <c r="H214" s="13">
        <v>73</v>
      </c>
      <c r="I214" s="13">
        <v>50</v>
      </c>
      <c r="J214" s="13">
        <v>10</v>
      </c>
    </row>
    <row r="215" spans="1:10" x14ac:dyDescent="0.25">
      <c r="A215" s="11">
        <v>2005</v>
      </c>
      <c r="B215" s="11" t="s">
        <v>11</v>
      </c>
      <c r="C215" s="13">
        <v>54386</v>
      </c>
      <c r="D215" s="13">
        <v>77</v>
      </c>
      <c r="E215" s="13">
        <v>4171</v>
      </c>
      <c r="F215" s="13">
        <v>10008</v>
      </c>
      <c r="G215" s="13">
        <v>13229</v>
      </c>
      <c r="H215" s="13">
        <v>15962</v>
      </c>
      <c r="I215" s="13">
        <v>9179</v>
      </c>
      <c r="J215" s="13">
        <v>1760</v>
      </c>
    </row>
    <row r="216" spans="1:10" x14ac:dyDescent="0.25">
      <c r="A216" s="11">
        <v>2005</v>
      </c>
      <c r="B216" s="11" t="s">
        <v>260</v>
      </c>
      <c r="C216" s="13">
        <v>3613</v>
      </c>
      <c r="D216" s="13">
        <v>9</v>
      </c>
      <c r="E216" s="13">
        <v>361</v>
      </c>
      <c r="F216" s="13">
        <v>747</v>
      </c>
      <c r="G216" s="13">
        <v>871</v>
      </c>
      <c r="H216" s="13">
        <v>973</v>
      </c>
      <c r="I216" s="13">
        <v>524</v>
      </c>
      <c r="J216" s="13">
        <v>128</v>
      </c>
    </row>
    <row r="217" spans="1:10" x14ac:dyDescent="0.25">
      <c r="A217" s="11">
        <v>2005</v>
      </c>
      <c r="B217" s="11" t="s">
        <v>261</v>
      </c>
      <c r="C217" s="13">
        <v>1047</v>
      </c>
      <c r="D217" s="13">
        <v>0</v>
      </c>
      <c r="E217" s="13">
        <v>64</v>
      </c>
      <c r="F217" s="13">
        <v>180</v>
      </c>
      <c r="G217" s="13">
        <v>239</v>
      </c>
      <c r="H217" s="13">
        <v>326</v>
      </c>
      <c r="I217" s="13">
        <v>195</v>
      </c>
      <c r="J217" s="13">
        <v>43</v>
      </c>
    </row>
    <row r="218" spans="1:10" x14ac:dyDescent="0.25">
      <c r="A218" s="11">
        <v>2005</v>
      </c>
      <c r="B218" s="11" t="s">
        <v>233</v>
      </c>
      <c r="C218" s="13">
        <v>1407</v>
      </c>
      <c r="D218" s="13">
        <v>0</v>
      </c>
      <c r="E218" s="13">
        <v>144</v>
      </c>
      <c r="F218" s="13">
        <v>332</v>
      </c>
      <c r="G218" s="13">
        <v>315</v>
      </c>
      <c r="H218" s="13">
        <v>381</v>
      </c>
      <c r="I218" s="13">
        <v>191</v>
      </c>
      <c r="J218" s="13">
        <v>44</v>
      </c>
    </row>
    <row r="219" spans="1:10" x14ac:dyDescent="0.25">
      <c r="A219" s="11">
        <v>2005</v>
      </c>
      <c r="B219" s="11" t="s">
        <v>240</v>
      </c>
      <c r="C219" s="13">
        <v>3831</v>
      </c>
      <c r="D219" s="13">
        <v>1</v>
      </c>
      <c r="E219" s="13">
        <v>311</v>
      </c>
      <c r="F219" s="13">
        <v>812</v>
      </c>
      <c r="G219" s="13">
        <v>962</v>
      </c>
      <c r="H219" s="13">
        <v>1100</v>
      </c>
      <c r="I219" s="13">
        <v>568</v>
      </c>
      <c r="J219" s="13">
        <v>77</v>
      </c>
    </row>
    <row r="220" spans="1:10" x14ac:dyDescent="0.25">
      <c r="A220" s="11">
        <v>2005</v>
      </c>
      <c r="B220" s="11" t="s">
        <v>262</v>
      </c>
      <c r="C220" s="13">
        <v>3139</v>
      </c>
      <c r="D220" s="13">
        <v>0</v>
      </c>
      <c r="E220" s="13">
        <v>218</v>
      </c>
      <c r="F220" s="13">
        <v>574</v>
      </c>
      <c r="G220" s="13">
        <v>761</v>
      </c>
      <c r="H220" s="13">
        <v>966</v>
      </c>
      <c r="I220" s="13">
        <v>536</v>
      </c>
      <c r="J220" s="13">
        <v>84</v>
      </c>
    </row>
    <row r="221" spans="1:10" x14ac:dyDescent="0.25">
      <c r="A221" s="11">
        <v>2005</v>
      </c>
      <c r="B221" s="11" t="s">
        <v>263</v>
      </c>
      <c r="C221" s="13">
        <v>5404</v>
      </c>
      <c r="D221" s="13">
        <v>3</v>
      </c>
      <c r="E221" s="13">
        <v>318</v>
      </c>
      <c r="F221" s="13">
        <v>857</v>
      </c>
      <c r="G221" s="13">
        <v>1394</v>
      </c>
      <c r="H221" s="13">
        <v>1751</v>
      </c>
      <c r="I221" s="13">
        <v>902</v>
      </c>
      <c r="J221" s="13">
        <v>179</v>
      </c>
    </row>
    <row r="222" spans="1:10" x14ac:dyDescent="0.25">
      <c r="A222" s="11">
        <v>2005</v>
      </c>
      <c r="B222" s="11" t="s">
        <v>264</v>
      </c>
      <c r="C222" s="13">
        <v>12432</v>
      </c>
      <c r="D222" s="13">
        <v>7</v>
      </c>
      <c r="E222" s="13">
        <v>1026</v>
      </c>
      <c r="F222" s="13">
        <v>2399</v>
      </c>
      <c r="G222" s="13">
        <v>2974</v>
      </c>
      <c r="H222" s="13">
        <v>3460</v>
      </c>
      <c r="I222" s="13">
        <v>2138</v>
      </c>
      <c r="J222" s="13">
        <v>428</v>
      </c>
    </row>
    <row r="223" spans="1:10" x14ac:dyDescent="0.25">
      <c r="A223" s="11">
        <v>2005</v>
      </c>
      <c r="B223" s="11" t="s">
        <v>242</v>
      </c>
      <c r="C223" s="13">
        <v>3006</v>
      </c>
      <c r="D223" s="13">
        <v>7</v>
      </c>
      <c r="E223" s="13">
        <v>217</v>
      </c>
      <c r="F223" s="13">
        <v>523</v>
      </c>
      <c r="G223" s="13">
        <v>750</v>
      </c>
      <c r="H223" s="13">
        <v>816</v>
      </c>
      <c r="I223" s="13">
        <v>555</v>
      </c>
      <c r="J223" s="13">
        <v>138</v>
      </c>
    </row>
    <row r="224" spans="1:10" x14ac:dyDescent="0.25">
      <c r="A224" s="11">
        <v>2005</v>
      </c>
      <c r="B224" s="11" t="s">
        <v>265</v>
      </c>
      <c r="C224" s="13">
        <v>7156</v>
      </c>
      <c r="D224" s="13">
        <v>2</v>
      </c>
      <c r="E224" s="13">
        <v>534</v>
      </c>
      <c r="F224" s="13">
        <v>1324</v>
      </c>
      <c r="G224" s="13">
        <v>1900</v>
      </c>
      <c r="H224" s="13">
        <v>2090</v>
      </c>
      <c r="I224" s="13">
        <v>1136</v>
      </c>
      <c r="J224" s="13">
        <v>170</v>
      </c>
    </row>
    <row r="225" spans="1:10" x14ac:dyDescent="0.25">
      <c r="A225" s="11">
        <v>2005</v>
      </c>
      <c r="B225" s="11" t="s">
        <v>266</v>
      </c>
      <c r="C225" s="13">
        <v>8724</v>
      </c>
      <c r="D225" s="13">
        <v>26</v>
      </c>
      <c r="E225" s="13">
        <v>574</v>
      </c>
      <c r="F225" s="13">
        <v>1341</v>
      </c>
      <c r="G225" s="13">
        <v>1924</v>
      </c>
      <c r="H225" s="13">
        <v>2833</v>
      </c>
      <c r="I225" s="13">
        <v>1684</v>
      </c>
      <c r="J225" s="13">
        <v>342</v>
      </c>
    </row>
    <row r="226" spans="1:10" x14ac:dyDescent="0.25">
      <c r="A226" s="11">
        <v>2005</v>
      </c>
      <c r="B226" s="11" t="s">
        <v>267</v>
      </c>
      <c r="C226" s="13">
        <v>180</v>
      </c>
      <c r="D226" s="13">
        <v>0</v>
      </c>
      <c r="E226" s="13">
        <v>14</v>
      </c>
      <c r="F226" s="13">
        <v>30</v>
      </c>
      <c r="G226" s="13">
        <v>45</v>
      </c>
      <c r="H226" s="13">
        <v>53</v>
      </c>
      <c r="I226" s="13">
        <v>31</v>
      </c>
      <c r="J226" s="13">
        <v>7</v>
      </c>
    </row>
    <row r="227" spans="1:10" x14ac:dyDescent="0.25">
      <c r="A227" s="11">
        <v>2005</v>
      </c>
      <c r="B227" s="11" t="s">
        <v>268</v>
      </c>
      <c r="C227" s="13">
        <v>227</v>
      </c>
      <c r="D227" s="13">
        <v>0</v>
      </c>
      <c r="E227" s="13">
        <v>14</v>
      </c>
      <c r="F227" s="13">
        <v>50</v>
      </c>
      <c r="G227" s="13">
        <v>54</v>
      </c>
      <c r="H227" s="13">
        <v>67</v>
      </c>
      <c r="I227" s="13">
        <v>34</v>
      </c>
      <c r="J227" s="13">
        <v>8</v>
      </c>
    </row>
    <row r="228" spans="1:10" x14ac:dyDescent="0.25">
      <c r="A228" s="11">
        <v>2005</v>
      </c>
      <c r="B228" s="11" t="s">
        <v>269</v>
      </c>
      <c r="C228" s="13">
        <v>3987</v>
      </c>
      <c r="D228" s="13">
        <v>21</v>
      </c>
      <c r="E228" s="13">
        <v>366</v>
      </c>
      <c r="F228" s="13">
        <v>810</v>
      </c>
      <c r="G228" s="13">
        <v>978</v>
      </c>
      <c r="H228" s="13">
        <v>1080</v>
      </c>
      <c r="I228" s="13">
        <v>628</v>
      </c>
      <c r="J228" s="13">
        <v>104</v>
      </c>
    </row>
    <row r="229" spans="1:10" x14ac:dyDescent="0.25">
      <c r="A229" s="11">
        <v>2005</v>
      </c>
      <c r="B229" s="11" t="s">
        <v>270</v>
      </c>
      <c r="C229" s="13">
        <v>233</v>
      </c>
      <c r="D229" s="13">
        <v>1</v>
      </c>
      <c r="E229" s="13">
        <v>10</v>
      </c>
      <c r="F229" s="13">
        <v>29</v>
      </c>
      <c r="G229" s="13">
        <v>62</v>
      </c>
      <c r="H229" s="13">
        <v>66</v>
      </c>
      <c r="I229" s="13">
        <v>57</v>
      </c>
      <c r="J229" s="13">
        <v>8</v>
      </c>
    </row>
    <row r="230" spans="1:10" x14ac:dyDescent="0.25">
      <c r="A230" s="11">
        <v>2006</v>
      </c>
      <c r="B230" s="11" t="s">
        <v>11</v>
      </c>
      <c r="C230" s="13">
        <v>55690</v>
      </c>
      <c r="D230" s="13">
        <v>39</v>
      </c>
      <c r="E230" s="13">
        <v>4130</v>
      </c>
      <c r="F230" s="13">
        <v>10399</v>
      </c>
      <c r="G230" s="13">
        <v>13876</v>
      </c>
      <c r="H230" s="13">
        <v>15878</v>
      </c>
      <c r="I230" s="13">
        <v>9535</v>
      </c>
      <c r="J230" s="13">
        <v>1833</v>
      </c>
    </row>
    <row r="231" spans="1:10" x14ac:dyDescent="0.25">
      <c r="A231" s="11">
        <v>2006</v>
      </c>
      <c r="B231" s="11" t="s">
        <v>260</v>
      </c>
      <c r="C231" s="13">
        <v>3829</v>
      </c>
      <c r="D231" s="13">
        <v>3</v>
      </c>
      <c r="E231" s="13">
        <v>367</v>
      </c>
      <c r="F231" s="13">
        <v>814</v>
      </c>
      <c r="G231" s="13">
        <v>988</v>
      </c>
      <c r="H231" s="13">
        <v>1043</v>
      </c>
      <c r="I231" s="13">
        <v>519</v>
      </c>
      <c r="J231" s="13">
        <v>95</v>
      </c>
    </row>
    <row r="232" spans="1:10" x14ac:dyDescent="0.25">
      <c r="A232" s="11">
        <v>2006</v>
      </c>
      <c r="B232" s="11" t="s">
        <v>261</v>
      </c>
      <c r="C232" s="13">
        <v>1111</v>
      </c>
      <c r="D232" s="13">
        <v>0</v>
      </c>
      <c r="E232" s="13">
        <v>73</v>
      </c>
      <c r="F232" s="13">
        <v>172</v>
      </c>
      <c r="G232" s="13">
        <v>239</v>
      </c>
      <c r="H232" s="13">
        <v>331</v>
      </c>
      <c r="I232" s="13">
        <v>242</v>
      </c>
      <c r="J232" s="13">
        <v>54</v>
      </c>
    </row>
    <row r="233" spans="1:10" x14ac:dyDescent="0.25">
      <c r="A233" s="11">
        <v>2006</v>
      </c>
      <c r="B233" s="11" t="s">
        <v>233</v>
      </c>
      <c r="C233" s="13">
        <v>1471</v>
      </c>
      <c r="D233" s="13">
        <v>0</v>
      </c>
      <c r="E233" s="13">
        <v>138</v>
      </c>
      <c r="F233" s="13">
        <v>330</v>
      </c>
      <c r="G233" s="13">
        <v>361</v>
      </c>
      <c r="H233" s="13">
        <v>395</v>
      </c>
      <c r="I233" s="13">
        <v>207</v>
      </c>
      <c r="J233" s="13">
        <v>40</v>
      </c>
    </row>
    <row r="234" spans="1:10" x14ac:dyDescent="0.25">
      <c r="A234" s="11">
        <v>2006</v>
      </c>
      <c r="B234" s="11" t="s">
        <v>240</v>
      </c>
      <c r="C234" s="13">
        <v>3999</v>
      </c>
      <c r="D234" s="13">
        <v>2</v>
      </c>
      <c r="E234" s="13">
        <v>343</v>
      </c>
      <c r="F234" s="13">
        <v>843</v>
      </c>
      <c r="G234" s="13">
        <v>1054</v>
      </c>
      <c r="H234" s="13">
        <v>1064</v>
      </c>
      <c r="I234" s="13">
        <v>599</v>
      </c>
      <c r="J234" s="13">
        <v>94</v>
      </c>
    </row>
    <row r="235" spans="1:10" x14ac:dyDescent="0.25">
      <c r="A235" s="11">
        <v>2006</v>
      </c>
      <c r="B235" s="11" t="s">
        <v>262</v>
      </c>
      <c r="C235" s="13">
        <v>3211</v>
      </c>
      <c r="D235" s="13">
        <v>0</v>
      </c>
      <c r="E235" s="13">
        <v>238</v>
      </c>
      <c r="F235" s="13">
        <v>576</v>
      </c>
      <c r="G235" s="13">
        <v>807</v>
      </c>
      <c r="H235" s="13">
        <v>944</v>
      </c>
      <c r="I235" s="13">
        <v>546</v>
      </c>
      <c r="J235" s="13">
        <v>100</v>
      </c>
    </row>
    <row r="236" spans="1:10" x14ac:dyDescent="0.25">
      <c r="A236" s="11">
        <v>2006</v>
      </c>
      <c r="B236" s="11" t="s">
        <v>263</v>
      </c>
      <c r="C236" s="13">
        <v>5688</v>
      </c>
      <c r="D236" s="13">
        <v>5</v>
      </c>
      <c r="E236" s="13">
        <v>315</v>
      </c>
      <c r="F236" s="13">
        <v>933</v>
      </c>
      <c r="G236" s="13">
        <v>1531</v>
      </c>
      <c r="H236" s="13">
        <v>1748</v>
      </c>
      <c r="I236" s="13">
        <v>978</v>
      </c>
      <c r="J236" s="13">
        <v>178</v>
      </c>
    </row>
    <row r="237" spans="1:10" x14ac:dyDescent="0.25">
      <c r="A237" s="11">
        <v>2006</v>
      </c>
      <c r="B237" s="11" t="s">
        <v>264</v>
      </c>
      <c r="C237" s="13">
        <v>12125</v>
      </c>
      <c r="D237" s="13">
        <v>10</v>
      </c>
      <c r="E237" s="13">
        <v>977</v>
      </c>
      <c r="F237" s="13">
        <v>2383</v>
      </c>
      <c r="G237" s="13">
        <v>2922</v>
      </c>
      <c r="H237" s="13">
        <v>3229</v>
      </c>
      <c r="I237" s="13">
        <v>2181</v>
      </c>
      <c r="J237" s="13">
        <v>423</v>
      </c>
    </row>
    <row r="238" spans="1:10" x14ac:dyDescent="0.25">
      <c r="A238" s="11">
        <v>2006</v>
      </c>
      <c r="B238" s="11" t="s">
        <v>242</v>
      </c>
      <c r="C238" s="13">
        <v>2940</v>
      </c>
      <c r="D238" s="13">
        <v>5</v>
      </c>
      <c r="E238" s="13">
        <v>193</v>
      </c>
      <c r="F238" s="13">
        <v>541</v>
      </c>
      <c r="G238" s="13">
        <v>703</v>
      </c>
      <c r="H238" s="13">
        <v>839</v>
      </c>
      <c r="I238" s="13">
        <v>528</v>
      </c>
      <c r="J238" s="13">
        <v>131</v>
      </c>
    </row>
    <row r="239" spans="1:10" x14ac:dyDescent="0.25">
      <c r="A239" s="11">
        <v>2006</v>
      </c>
      <c r="B239" s="11" t="s">
        <v>265</v>
      </c>
      <c r="C239" s="13">
        <v>7525</v>
      </c>
      <c r="D239" s="13">
        <v>4</v>
      </c>
      <c r="E239" s="13">
        <v>526</v>
      </c>
      <c r="F239" s="13">
        <v>1447</v>
      </c>
      <c r="G239" s="13">
        <v>2000</v>
      </c>
      <c r="H239" s="13">
        <v>2157</v>
      </c>
      <c r="I239" s="13">
        <v>1183</v>
      </c>
      <c r="J239" s="13">
        <v>208</v>
      </c>
    </row>
    <row r="240" spans="1:10" x14ac:dyDescent="0.25">
      <c r="A240" s="11">
        <v>2006</v>
      </c>
      <c r="B240" s="11" t="s">
        <v>266</v>
      </c>
      <c r="C240" s="13">
        <v>9028</v>
      </c>
      <c r="D240" s="13">
        <v>7</v>
      </c>
      <c r="E240" s="13">
        <v>552</v>
      </c>
      <c r="F240" s="13">
        <v>1404</v>
      </c>
      <c r="G240" s="13">
        <v>2070</v>
      </c>
      <c r="H240" s="13">
        <v>2838</v>
      </c>
      <c r="I240" s="13">
        <v>1802</v>
      </c>
      <c r="J240" s="13">
        <v>355</v>
      </c>
    </row>
    <row r="241" spans="1:10" x14ac:dyDescent="0.25">
      <c r="A241" s="11">
        <v>2006</v>
      </c>
      <c r="B241" s="11" t="s">
        <v>267</v>
      </c>
      <c r="C241" s="13">
        <v>213</v>
      </c>
      <c r="D241" s="13">
        <v>0</v>
      </c>
      <c r="E241" s="13">
        <v>8</v>
      </c>
      <c r="F241" s="13">
        <v>40</v>
      </c>
      <c r="G241" s="13">
        <v>57</v>
      </c>
      <c r="H241" s="13">
        <v>72</v>
      </c>
      <c r="I241" s="13">
        <v>32</v>
      </c>
      <c r="J241" s="13">
        <v>4</v>
      </c>
    </row>
    <row r="242" spans="1:10" x14ac:dyDescent="0.25">
      <c r="A242" s="11">
        <v>2006</v>
      </c>
      <c r="B242" s="11" t="s">
        <v>268</v>
      </c>
      <c r="C242" s="13">
        <v>268</v>
      </c>
      <c r="D242" s="13">
        <v>0</v>
      </c>
      <c r="E242" s="13">
        <v>16</v>
      </c>
      <c r="F242" s="13">
        <v>40</v>
      </c>
      <c r="G242" s="13">
        <v>81</v>
      </c>
      <c r="H242" s="13">
        <v>72</v>
      </c>
      <c r="I242" s="13">
        <v>49</v>
      </c>
      <c r="J242" s="13">
        <v>10</v>
      </c>
    </row>
    <row r="243" spans="1:10" x14ac:dyDescent="0.25">
      <c r="A243" s="11">
        <v>2006</v>
      </c>
      <c r="B243" s="11" t="s">
        <v>269</v>
      </c>
      <c r="C243" s="13">
        <v>4008</v>
      </c>
      <c r="D243" s="13">
        <v>2</v>
      </c>
      <c r="E243" s="13">
        <v>365</v>
      </c>
      <c r="F243" s="13">
        <v>846</v>
      </c>
      <c r="G243" s="13">
        <v>994</v>
      </c>
      <c r="H243" s="13">
        <v>1071</v>
      </c>
      <c r="I243" s="13">
        <v>601</v>
      </c>
      <c r="J243" s="13">
        <v>129</v>
      </c>
    </row>
    <row r="244" spans="1:10" x14ac:dyDescent="0.25">
      <c r="A244" s="11">
        <v>2006</v>
      </c>
      <c r="B244" s="11" t="s">
        <v>270</v>
      </c>
      <c r="C244" s="13">
        <v>274</v>
      </c>
      <c r="D244" s="13">
        <v>1</v>
      </c>
      <c r="E244" s="13">
        <v>19</v>
      </c>
      <c r="F244" s="13">
        <v>30</v>
      </c>
      <c r="G244" s="13">
        <v>69</v>
      </c>
      <c r="H244" s="13">
        <v>75</v>
      </c>
      <c r="I244" s="13">
        <v>68</v>
      </c>
      <c r="J244" s="13">
        <v>12</v>
      </c>
    </row>
    <row r="245" spans="1:10" x14ac:dyDescent="0.25">
      <c r="A245" s="11">
        <v>2007</v>
      </c>
      <c r="B245" s="11" t="s">
        <v>11</v>
      </c>
      <c r="C245" s="13">
        <v>57781</v>
      </c>
      <c r="D245" s="13">
        <v>57</v>
      </c>
      <c r="E245" s="13">
        <v>4304</v>
      </c>
      <c r="F245" s="13">
        <v>10913</v>
      </c>
      <c r="G245" s="13">
        <v>14918</v>
      </c>
      <c r="H245" s="13">
        <v>15622</v>
      </c>
      <c r="I245" s="13">
        <v>10035</v>
      </c>
      <c r="J245" s="13">
        <v>1932</v>
      </c>
    </row>
    <row r="246" spans="1:10" x14ac:dyDescent="0.25">
      <c r="A246" s="11">
        <v>2007</v>
      </c>
      <c r="B246" s="11" t="s">
        <v>260</v>
      </c>
      <c r="C246" s="13">
        <v>3861</v>
      </c>
      <c r="D246" s="13">
        <v>2</v>
      </c>
      <c r="E246" s="13">
        <v>394</v>
      </c>
      <c r="F246" s="13">
        <v>845</v>
      </c>
      <c r="G246" s="13">
        <v>965</v>
      </c>
      <c r="H246" s="13">
        <v>974</v>
      </c>
      <c r="I246" s="13">
        <v>587</v>
      </c>
      <c r="J246" s="13">
        <v>94</v>
      </c>
    </row>
    <row r="247" spans="1:10" x14ac:dyDescent="0.25">
      <c r="A247" s="11">
        <v>2007</v>
      </c>
      <c r="B247" s="11" t="s">
        <v>261</v>
      </c>
      <c r="C247" s="13">
        <v>1170</v>
      </c>
      <c r="D247" s="13">
        <v>2</v>
      </c>
      <c r="E247" s="13">
        <v>78</v>
      </c>
      <c r="F247" s="13">
        <v>190</v>
      </c>
      <c r="G247" s="13">
        <v>283</v>
      </c>
      <c r="H247" s="13">
        <v>332</v>
      </c>
      <c r="I247" s="13">
        <v>236</v>
      </c>
      <c r="J247" s="13">
        <v>49</v>
      </c>
    </row>
    <row r="248" spans="1:10" x14ac:dyDescent="0.25">
      <c r="A248" s="11">
        <v>2007</v>
      </c>
      <c r="B248" s="11" t="s">
        <v>233</v>
      </c>
      <c r="C248" s="13">
        <v>1507</v>
      </c>
      <c r="D248" s="13">
        <v>3</v>
      </c>
      <c r="E248" s="13">
        <v>140</v>
      </c>
      <c r="F248" s="13">
        <v>320</v>
      </c>
      <c r="G248" s="13">
        <v>398</v>
      </c>
      <c r="H248" s="13">
        <v>360</v>
      </c>
      <c r="I248" s="13">
        <v>231</v>
      </c>
      <c r="J248" s="13">
        <v>55</v>
      </c>
    </row>
    <row r="249" spans="1:10" x14ac:dyDescent="0.25">
      <c r="A249" s="11">
        <v>2007</v>
      </c>
      <c r="B249" s="11" t="s">
        <v>240</v>
      </c>
      <c r="C249" s="13">
        <v>4076</v>
      </c>
      <c r="D249" s="13">
        <v>1</v>
      </c>
      <c r="E249" s="13">
        <v>314</v>
      </c>
      <c r="F249" s="13">
        <v>850</v>
      </c>
      <c r="G249" s="13">
        <v>1149</v>
      </c>
      <c r="H249" s="13">
        <v>1038</v>
      </c>
      <c r="I249" s="13">
        <v>608</v>
      </c>
      <c r="J249" s="13">
        <v>116</v>
      </c>
    </row>
    <row r="250" spans="1:10" x14ac:dyDescent="0.25">
      <c r="A250" s="11">
        <v>2007</v>
      </c>
      <c r="B250" s="11" t="s">
        <v>262</v>
      </c>
      <c r="C250" s="13">
        <v>3404</v>
      </c>
      <c r="D250" s="13">
        <v>2</v>
      </c>
      <c r="E250" s="13">
        <v>251</v>
      </c>
      <c r="F250" s="13">
        <v>623</v>
      </c>
      <c r="G250" s="13">
        <v>840</v>
      </c>
      <c r="H250" s="13">
        <v>957</v>
      </c>
      <c r="I250" s="13">
        <v>626</v>
      </c>
      <c r="J250" s="13">
        <v>105</v>
      </c>
    </row>
    <row r="251" spans="1:10" x14ac:dyDescent="0.25">
      <c r="A251" s="11">
        <v>2007</v>
      </c>
      <c r="B251" s="11" t="s">
        <v>263</v>
      </c>
      <c r="C251" s="13">
        <v>6108</v>
      </c>
      <c r="D251" s="13">
        <v>3</v>
      </c>
      <c r="E251" s="13">
        <v>369</v>
      </c>
      <c r="F251" s="13">
        <v>1032</v>
      </c>
      <c r="G251" s="13">
        <v>1669</v>
      </c>
      <c r="H251" s="13">
        <v>1788</v>
      </c>
      <c r="I251" s="13">
        <v>1051</v>
      </c>
      <c r="J251" s="13">
        <v>196</v>
      </c>
    </row>
    <row r="252" spans="1:10" x14ac:dyDescent="0.25">
      <c r="A252" s="11">
        <v>2007</v>
      </c>
      <c r="B252" s="11" t="s">
        <v>264</v>
      </c>
      <c r="C252" s="13">
        <v>12799</v>
      </c>
      <c r="D252" s="13">
        <v>8</v>
      </c>
      <c r="E252" s="13">
        <v>964</v>
      </c>
      <c r="F252" s="13">
        <v>2583</v>
      </c>
      <c r="G252" s="13">
        <v>3292</v>
      </c>
      <c r="H252" s="13">
        <v>3347</v>
      </c>
      <c r="I252" s="13">
        <v>2169</v>
      </c>
      <c r="J252" s="13">
        <v>436</v>
      </c>
    </row>
    <row r="253" spans="1:10" x14ac:dyDescent="0.25">
      <c r="A253" s="11">
        <v>2007</v>
      </c>
      <c r="B253" s="11" t="s">
        <v>242</v>
      </c>
      <c r="C253" s="13">
        <v>3073</v>
      </c>
      <c r="D253" s="13">
        <v>1</v>
      </c>
      <c r="E253" s="13">
        <v>224</v>
      </c>
      <c r="F253" s="13">
        <v>564</v>
      </c>
      <c r="G253" s="13">
        <v>810</v>
      </c>
      <c r="H253" s="13">
        <v>785</v>
      </c>
      <c r="I253" s="13">
        <v>567</v>
      </c>
      <c r="J253" s="13">
        <v>122</v>
      </c>
    </row>
    <row r="254" spans="1:10" x14ac:dyDescent="0.25">
      <c r="A254" s="11">
        <v>2007</v>
      </c>
      <c r="B254" s="11" t="s">
        <v>265</v>
      </c>
      <c r="C254" s="13">
        <v>7497</v>
      </c>
      <c r="D254" s="13">
        <v>9</v>
      </c>
      <c r="E254" s="13">
        <v>596</v>
      </c>
      <c r="F254" s="13">
        <v>1427</v>
      </c>
      <c r="G254" s="13">
        <v>2036</v>
      </c>
      <c r="H254" s="13">
        <v>2012</v>
      </c>
      <c r="I254" s="13">
        <v>1212</v>
      </c>
      <c r="J254" s="13">
        <v>205</v>
      </c>
    </row>
    <row r="255" spans="1:10" x14ac:dyDescent="0.25">
      <c r="A255" s="11">
        <v>2007</v>
      </c>
      <c r="B255" s="11" t="s">
        <v>266</v>
      </c>
      <c r="C255" s="13">
        <v>9378</v>
      </c>
      <c r="D255" s="13">
        <v>20</v>
      </c>
      <c r="E255" s="13">
        <v>593</v>
      </c>
      <c r="F255" s="13">
        <v>1499</v>
      </c>
      <c r="G255" s="13">
        <v>2148</v>
      </c>
      <c r="H255" s="13">
        <v>2758</v>
      </c>
      <c r="I255" s="13">
        <v>1952</v>
      </c>
      <c r="J255" s="13">
        <v>408</v>
      </c>
    </row>
    <row r="256" spans="1:10" x14ac:dyDescent="0.25">
      <c r="A256" s="11">
        <v>2007</v>
      </c>
      <c r="B256" s="11" t="s">
        <v>267</v>
      </c>
      <c r="C256" s="13">
        <v>190</v>
      </c>
      <c r="D256" s="13">
        <v>0</v>
      </c>
      <c r="E256" s="13">
        <v>15</v>
      </c>
      <c r="F256" s="13">
        <v>19</v>
      </c>
      <c r="G256" s="13">
        <v>46</v>
      </c>
      <c r="H256" s="13">
        <v>65</v>
      </c>
      <c r="I256" s="13">
        <v>36</v>
      </c>
      <c r="J256" s="13">
        <v>9</v>
      </c>
    </row>
    <row r="257" spans="1:10" x14ac:dyDescent="0.25">
      <c r="A257" s="11">
        <v>2007</v>
      </c>
      <c r="B257" s="11" t="s">
        <v>268</v>
      </c>
      <c r="C257" s="13">
        <v>244</v>
      </c>
      <c r="D257" s="13">
        <v>1</v>
      </c>
      <c r="E257" s="13">
        <v>11</v>
      </c>
      <c r="F257" s="13">
        <v>27</v>
      </c>
      <c r="G257" s="13">
        <v>66</v>
      </c>
      <c r="H257" s="13">
        <v>77</v>
      </c>
      <c r="I257" s="13">
        <v>54</v>
      </c>
      <c r="J257" s="13">
        <v>8</v>
      </c>
    </row>
    <row r="258" spans="1:10" x14ac:dyDescent="0.25">
      <c r="A258" s="11">
        <v>2007</v>
      </c>
      <c r="B258" s="11" t="s">
        <v>269</v>
      </c>
      <c r="C258" s="13">
        <v>4211</v>
      </c>
      <c r="D258" s="13">
        <v>4</v>
      </c>
      <c r="E258" s="13">
        <v>344</v>
      </c>
      <c r="F258" s="13">
        <v>894</v>
      </c>
      <c r="G258" s="13">
        <v>1151</v>
      </c>
      <c r="H258" s="13">
        <v>1046</v>
      </c>
      <c r="I258" s="13">
        <v>651</v>
      </c>
      <c r="J258" s="13">
        <v>121</v>
      </c>
    </row>
    <row r="259" spans="1:10" x14ac:dyDescent="0.25">
      <c r="A259" s="11">
        <v>2007</v>
      </c>
      <c r="B259" s="11" t="s">
        <v>270</v>
      </c>
      <c r="C259" s="13">
        <v>263</v>
      </c>
      <c r="D259" s="13">
        <v>1</v>
      </c>
      <c r="E259" s="13">
        <v>11</v>
      </c>
      <c r="F259" s="13">
        <v>40</v>
      </c>
      <c r="G259" s="13">
        <v>65</v>
      </c>
      <c r="H259" s="13">
        <v>83</v>
      </c>
      <c r="I259" s="13">
        <v>55</v>
      </c>
      <c r="J259" s="13">
        <v>8</v>
      </c>
    </row>
    <row r="260" spans="1:10" x14ac:dyDescent="0.25">
      <c r="A260" s="11">
        <v>2008</v>
      </c>
      <c r="B260" s="11" t="s">
        <v>11</v>
      </c>
      <c r="C260" s="13">
        <v>60041</v>
      </c>
      <c r="D260" s="13">
        <v>26</v>
      </c>
      <c r="E260" s="13">
        <v>4279</v>
      </c>
      <c r="F260" s="13">
        <v>11373</v>
      </c>
      <c r="G260" s="13">
        <v>16171</v>
      </c>
      <c r="H260" s="13">
        <v>16028</v>
      </c>
      <c r="I260" s="13">
        <v>10025</v>
      </c>
      <c r="J260" s="13">
        <v>2139</v>
      </c>
    </row>
    <row r="261" spans="1:10" x14ac:dyDescent="0.25">
      <c r="A261" s="11">
        <v>2008</v>
      </c>
      <c r="B261" s="11" t="s">
        <v>260</v>
      </c>
      <c r="C261" s="13">
        <v>3919</v>
      </c>
      <c r="D261" s="13">
        <v>2</v>
      </c>
      <c r="E261" s="13">
        <v>367</v>
      </c>
      <c r="F261" s="13">
        <v>846</v>
      </c>
      <c r="G261" s="13">
        <v>1089</v>
      </c>
      <c r="H261" s="13">
        <v>919</v>
      </c>
      <c r="I261" s="13">
        <v>583</v>
      </c>
      <c r="J261" s="13">
        <v>113</v>
      </c>
    </row>
    <row r="262" spans="1:10" x14ac:dyDescent="0.25">
      <c r="A262" s="11">
        <v>2008</v>
      </c>
      <c r="B262" s="11" t="s">
        <v>261</v>
      </c>
      <c r="C262" s="13">
        <v>1138</v>
      </c>
      <c r="D262" s="13">
        <v>1</v>
      </c>
      <c r="E262" s="13">
        <v>61</v>
      </c>
      <c r="F262" s="13">
        <v>179</v>
      </c>
      <c r="G262" s="13">
        <v>278</v>
      </c>
      <c r="H262" s="13">
        <v>331</v>
      </c>
      <c r="I262" s="13">
        <v>240</v>
      </c>
      <c r="J262" s="13">
        <v>48</v>
      </c>
    </row>
    <row r="263" spans="1:10" x14ac:dyDescent="0.25">
      <c r="A263" s="11">
        <v>2008</v>
      </c>
      <c r="B263" s="11" t="s">
        <v>233</v>
      </c>
      <c r="C263" s="13">
        <v>1430</v>
      </c>
      <c r="D263" s="13">
        <v>0</v>
      </c>
      <c r="E263" s="13">
        <v>123</v>
      </c>
      <c r="F263" s="13">
        <v>310</v>
      </c>
      <c r="G263" s="13">
        <v>423</v>
      </c>
      <c r="H263" s="13">
        <v>332</v>
      </c>
      <c r="I263" s="13">
        <v>206</v>
      </c>
      <c r="J263" s="13">
        <v>36</v>
      </c>
    </row>
    <row r="264" spans="1:10" x14ac:dyDescent="0.25">
      <c r="A264" s="11">
        <v>2008</v>
      </c>
      <c r="B264" s="11" t="s">
        <v>240</v>
      </c>
      <c r="C264" s="13">
        <v>4349</v>
      </c>
      <c r="D264" s="13">
        <v>1</v>
      </c>
      <c r="E264" s="13">
        <v>373</v>
      </c>
      <c r="F264" s="13">
        <v>885</v>
      </c>
      <c r="G264" s="13">
        <v>1235</v>
      </c>
      <c r="H264" s="13">
        <v>1092</v>
      </c>
      <c r="I264" s="13">
        <v>615</v>
      </c>
      <c r="J264" s="13">
        <v>148</v>
      </c>
    </row>
    <row r="265" spans="1:10" x14ac:dyDescent="0.25">
      <c r="A265" s="11">
        <v>2008</v>
      </c>
      <c r="B265" s="11" t="s">
        <v>262</v>
      </c>
      <c r="C265" s="13">
        <v>3455</v>
      </c>
      <c r="D265" s="13">
        <v>4</v>
      </c>
      <c r="E265" s="13">
        <v>254</v>
      </c>
      <c r="F265" s="13">
        <v>630</v>
      </c>
      <c r="G265" s="13">
        <v>902</v>
      </c>
      <c r="H265" s="13">
        <v>966</v>
      </c>
      <c r="I265" s="13">
        <v>586</v>
      </c>
      <c r="J265" s="13">
        <v>113</v>
      </c>
    </row>
    <row r="266" spans="1:10" x14ac:dyDescent="0.25">
      <c r="A266" s="11">
        <v>2008</v>
      </c>
      <c r="B266" s="11" t="s">
        <v>263</v>
      </c>
      <c r="C266" s="13">
        <v>6323</v>
      </c>
      <c r="D266" s="13">
        <v>0</v>
      </c>
      <c r="E266" s="13">
        <v>295</v>
      </c>
      <c r="F266" s="13">
        <v>1097</v>
      </c>
      <c r="G266" s="13">
        <v>1787</v>
      </c>
      <c r="H266" s="13">
        <v>1853</v>
      </c>
      <c r="I266" s="13">
        <v>1068</v>
      </c>
      <c r="J266" s="13">
        <v>223</v>
      </c>
    </row>
    <row r="267" spans="1:10" x14ac:dyDescent="0.25">
      <c r="A267" s="11">
        <v>2008</v>
      </c>
      <c r="B267" s="11" t="s">
        <v>264</v>
      </c>
      <c r="C267" s="13">
        <v>13185</v>
      </c>
      <c r="D267" s="13">
        <v>2</v>
      </c>
      <c r="E267" s="13">
        <v>989</v>
      </c>
      <c r="F267" s="13">
        <v>2588</v>
      </c>
      <c r="G267" s="13">
        <v>3627</v>
      </c>
      <c r="H267" s="13">
        <v>3380</v>
      </c>
      <c r="I267" s="13">
        <v>2133</v>
      </c>
      <c r="J267" s="13">
        <v>466</v>
      </c>
    </row>
    <row r="268" spans="1:10" x14ac:dyDescent="0.25">
      <c r="A268" s="11">
        <v>2008</v>
      </c>
      <c r="B268" s="11" t="s">
        <v>242</v>
      </c>
      <c r="C268" s="13">
        <v>3289</v>
      </c>
      <c r="D268" s="13">
        <v>1</v>
      </c>
      <c r="E268" s="13">
        <v>235</v>
      </c>
      <c r="F268" s="13">
        <v>638</v>
      </c>
      <c r="G268" s="13">
        <v>868</v>
      </c>
      <c r="H268" s="13">
        <v>827</v>
      </c>
      <c r="I268" s="13">
        <v>565</v>
      </c>
      <c r="J268" s="13">
        <v>155</v>
      </c>
    </row>
    <row r="269" spans="1:10" x14ac:dyDescent="0.25">
      <c r="A269" s="11">
        <v>2008</v>
      </c>
      <c r="B269" s="11" t="s">
        <v>265</v>
      </c>
      <c r="C269" s="13">
        <v>7871</v>
      </c>
      <c r="D269" s="13">
        <v>7</v>
      </c>
      <c r="E269" s="13">
        <v>567</v>
      </c>
      <c r="F269" s="13">
        <v>1555</v>
      </c>
      <c r="G269" s="13">
        <v>2183</v>
      </c>
      <c r="H269" s="13">
        <v>2087</v>
      </c>
      <c r="I269" s="13">
        <v>1229</v>
      </c>
      <c r="J269" s="13">
        <v>243</v>
      </c>
    </row>
    <row r="270" spans="1:10" x14ac:dyDescent="0.25">
      <c r="A270" s="11">
        <v>2008</v>
      </c>
      <c r="B270" s="11" t="s">
        <v>266</v>
      </c>
      <c r="C270" s="13">
        <v>9895</v>
      </c>
      <c r="D270" s="13">
        <v>3</v>
      </c>
      <c r="E270" s="13">
        <v>572</v>
      </c>
      <c r="F270" s="13">
        <v>1608</v>
      </c>
      <c r="G270" s="13">
        <v>2379</v>
      </c>
      <c r="H270" s="13">
        <v>2916</v>
      </c>
      <c r="I270" s="13">
        <v>1985</v>
      </c>
      <c r="J270" s="13">
        <v>432</v>
      </c>
    </row>
    <row r="271" spans="1:10" x14ac:dyDescent="0.25">
      <c r="A271" s="11">
        <v>2008</v>
      </c>
      <c r="B271" s="11" t="s">
        <v>267</v>
      </c>
      <c r="C271" s="13">
        <v>214</v>
      </c>
      <c r="D271" s="13">
        <v>0</v>
      </c>
      <c r="E271" s="13">
        <v>15</v>
      </c>
      <c r="F271" s="13">
        <v>41</v>
      </c>
      <c r="G271" s="13">
        <v>57</v>
      </c>
      <c r="H271" s="13">
        <v>48</v>
      </c>
      <c r="I271" s="13">
        <v>42</v>
      </c>
      <c r="J271" s="13">
        <v>11</v>
      </c>
    </row>
    <row r="272" spans="1:10" x14ac:dyDescent="0.25">
      <c r="A272" s="11">
        <v>2008</v>
      </c>
      <c r="B272" s="11" t="s">
        <v>268</v>
      </c>
      <c r="C272" s="13">
        <v>278</v>
      </c>
      <c r="D272" s="13">
        <v>0</v>
      </c>
      <c r="E272" s="13">
        <v>12</v>
      </c>
      <c r="F272" s="13">
        <v>45</v>
      </c>
      <c r="G272" s="13">
        <v>66</v>
      </c>
      <c r="H272" s="13">
        <v>95</v>
      </c>
      <c r="I272" s="13">
        <v>54</v>
      </c>
      <c r="J272" s="13">
        <v>6</v>
      </c>
    </row>
    <row r="273" spans="1:10" x14ac:dyDescent="0.25">
      <c r="A273" s="11">
        <v>2008</v>
      </c>
      <c r="B273" s="11" t="s">
        <v>269</v>
      </c>
      <c r="C273" s="13">
        <v>4438</v>
      </c>
      <c r="D273" s="13">
        <v>1</v>
      </c>
      <c r="E273" s="13">
        <v>396</v>
      </c>
      <c r="F273" s="13">
        <v>916</v>
      </c>
      <c r="G273" s="13">
        <v>1219</v>
      </c>
      <c r="H273" s="13">
        <v>1109</v>
      </c>
      <c r="I273" s="13">
        <v>664</v>
      </c>
      <c r="J273" s="13">
        <v>133</v>
      </c>
    </row>
    <row r="274" spans="1:10" x14ac:dyDescent="0.25">
      <c r="A274" s="11">
        <v>2008</v>
      </c>
      <c r="B274" s="11" t="s">
        <v>270</v>
      </c>
      <c r="C274" s="13">
        <v>257</v>
      </c>
      <c r="D274" s="13">
        <v>4</v>
      </c>
      <c r="E274" s="13">
        <v>20</v>
      </c>
      <c r="F274" s="13">
        <v>35</v>
      </c>
      <c r="G274" s="13">
        <v>58</v>
      </c>
      <c r="H274" s="13">
        <v>73</v>
      </c>
      <c r="I274" s="13">
        <v>55</v>
      </c>
      <c r="J274" s="13">
        <v>12</v>
      </c>
    </row>
    <row r="275" spans="1:10" x14ac:dyDescent="0.25">
      <c r="A275" s="11">
        <v>2009</v>
      </c>
      <c r="B275" s="11" t="s">
        <v>11</v>
      </c>
      <c r="C275" s="13">
        <v>59046</v>
      </c>
      <c r="D275" s="13">
        <v>20</v>
      </c>
      <c r="E275" s="13">
        <v>3990</v>
      </c>
      <c r="F275" s="13">
        <v>11188</v>
      </c>
      <c r="G275" s="13">
        <v>16178</v>
      </c>
      <c r="H275" s="13">
        <v>15835</v>
      </c>
      <c r="I275" s="13">
        <v>9695</v>
      </c>
      <c r="J275" s="13">
        <v>2140</v>
      </c>
    </row>
    <row r="276" spans="1:10" x14ac:dyDescent="0.25">
      <c r="A276" s="11">
        <v>2009</v>
      </c>
      <c r="B276" s="11" t="s">
        <v>260</v>
      </c>
      <c r="C276" s="13">
        <v>3914</v>
      </c>
      <c r="D276" s="13">
        <v>2</v>
      </c>
      <c r="E276" s="13">
        <v>369</v>
      </c>
      <c r="F276" s="13">
        <v>910</v>
      </c>
      <c r="G276" s="13">
        <v>1037</v>
      </c>
      <c r="H276" s="13">
        <v>960</v>
      </c>
      <c r="I276" s="13">
        <v>526</v>
      </c>
      <c r="J276" s="13">
        <v>110</v>
      </c>
    </row>
    <row r="277" spans="1:10" x14ac:dyDescent="0.25">
      <c r="A277" s="11">
        <v>2009</v>
      </c>
      <c r="B277" s="11" t="s">
        <v>261</v>
      </c>
      <c r="C277" s="13">
        <v>1159</v>
      </c>
      <c r="D277" s="13">
        <v>2</v>
      </c>
      <c r="E277" s="13">
        <v>78</v>
      </c>
      <c r="F277" s="13">
        <v>194</v>
      </c>
      <c r="G277" s="13">
        <v>304</v>
      </c>
      <c r="H277" s="13">
        <v>303</v>
      </c>
      <c r="I277" s="13">
        <v>223</v>
      </c>
      <c r="J277" s="13">
        <v>55</v>
      </c>
    </row>
    <row r="278" spans="1:10" x14ac:dyDescent="0.25">
      <c r="A278" s="11">
        <v>2009</v>
      </c>
      <c r="B278" s="11" t="s">
        <v>233</v>
      </c>
      <c r="C278" s="13">
        <v>1507</v>
      </c>
      <c r="D278" s="13">
        <v>1</v>
      </c>
      <c r="E278" s="13">
        <v>133</v>
      </c>
      <c r="F278" s="13">
        <v>347</v>
      </c>
      <c r="G278" s="13">
        <v>430</v>
      </c>
      <c r="H278" s="13">
        <v>330</v>
      </c>
      <c r="I278" s="13">
        <v>208</v>
      </c>
      <c r="J278" s="13">
        <v>58</v>
      </c>
    </row>
    <row r="279" spans="1:10" x14ac:dyDescent="0.25">
      <c r="A279" s="11">
        <v>2009</v>
      </c>
      <c r="B279" s="11" t="s">
        <v>240</v>
      </c>
      <c r="C279" s="13">
        <v>4135</v>
      </c>
      <c r="D279" s="13">
        <v>4</v>
      </c>
      <c r="E279" s="13">
        <v>346</v>
      </c>
      <c r="F279" s="13">
        <v>866</v>
      </c>
      <c r="G279" s="13">
        <v>1191</v>
      </c>
      <c r="H279" s="13">
        <v>1052</v>
      </c>
      <c r="I279" s="13">
        <v>550</v>
      </c>
      <c r="J279" s="13">
        <v>126</v>
      </c>
    </row>
    <row r="280" spans="1:10" x14ac:dyDescent="0.25">
      <c r="A280" s="11">
        <v>2009</v>
      </c>
      <c r="B280" s="11" t="s">
        <v>262</v>
      </c>
      <c r="C280" s="13">
        <v>3347</v>
      </c>
      <c r="D280" s="13">
        <v>0</v>
      </c>
      <c r="E280" s="13">
        <v>243</v>
      </c>
      <c r="F280" s="13">
        <v>642</v>
      </c>
      <c r="G280" s="13">
        <v>849</v>
      </c>
      <c r="H280" s="13">
        <v>872</v>
      </c>
      <c r="I280" s="13">
        <v>616</v>
      </c>
      <c r="J280" s="13">
        <v>125</v>
      </c>
    </row>
    <row r="281" spans="1:10" x14ac:dyDescent="0.25">
      <c r="A281" s="11">
        <v>2009</v>
      </c>
      <c r="B281" s="11" t="s">
        <v>263</v>
      </c>
      <c r="C281" s="13">
        <v>6433</v>
      </c>
      <c r="D281" s="13">
        <v>0</v>
      </c>
      <c r="E281" s="13">
        <v>330</v>
      </c>
      <c r="F281" s="13">
        <v>1011</v>
      </c>
      <c r="G281" s="13">
        <v>1828</v>
      </c>
      <c r="H281" s="13">
        <v>1930</v>
      </c>
      <c r="I281" s="13">
        <v>1123</v>
      </c>
      <c r="J281" s="13">
        <v>211</v>
      </c>
    </row>
    <row r="282" spans="1:10" x14ac:dyDescent="0.25">
      <c r="A282" s="11">
        <v>2009</v>
      </c>
      <c r="B282" s="11" t="s">
        <v>264</v>
      </c>
      <c r="C282" s="13">
        <v>13053</v>
      </c>
      <c r="D282" s="13">
        <v>4</v>
      </c>
      <c r="E282" s="13">
        <v>860</v>
      </c>
      <c r="F282" s="13">
        <v>2536</v>
      </c>
      <c r="G282" s="13">
        <v>3602</v>
      </c>
      <c r="H282" s="13">
        <v>3485</v>
      </c>
      <c r="I282" s="13">
        <v>2072</v>
      </c>
      <c r="J282" s="13">
        <v>494</v>
      </c>
    </row>
    <row r="283" spans="1:10" x14ac:dyDescent="0.25">
      <c r="A283" s="11">
        <v>2009</v>
      </c>
      <c r="B283" s="11" t="s">
        <v>242</v>
      </c>
      <c r="C283" s="13">
        <v>3189</v>
      </c>
      <c r="D283" s="13">
        <v>1</v>
      </c>
      <c r="E283" s="13">
        <v>224</v>
      </c>
      <c r="F283" s="13">
        <v>602</v>
      </c>
      <c r="G283" s="13">
        <v>888</v>
      </c>
      <c r="H283" s="13">
        <v>795</v>
      </c>
      <c r="I283" s="13">
        <v>538</v>
      </c>
      <c r="J283" s="13">
        <v>141</v>
      </c>
    </row>
    <row r="284" spans="1:10" x14ac:dyDescent="0.25">
      <c r="A284" s="11">
        <v>2009</v>
      </c>
      <c r="B284" s="11" t="s">
        <v>265</v>
      </c>
      <c r="C284" s="13">
        <v>7534</v>
      </c>
      <c r="D284" s="13">
        <v>4</v>
      </c>
      <c r="E284" s="13">
        <v>515</v>
      </c>
      <c r="F284" s="13">
        <v>1459</v>
      </c>
      <c r="G284" s="13">
        <v>2158</v>
      </c>
      <c r="H284" s="13">
        <v>2017</v>
      </c>
      <c r="I284" s="13">
        <v>1132</v>
      </c>
      <c r="J284" s="13">
        <v>249</v>
      </c>
    </row>
    <row r="285" spans="1:10" x14ac:dyDescent="0.25">
      <c r="A285" s="11">
        <v>2009</v>
      </c>
      <c r="B285" s="11" t="s">
        <v>266</v>
      </c>
      <c r="C285" s="13">
        <v>9718</v>
      </c>
      <c r="D285" s="13">
        <v>2</v>
      </c>
      <c r="E285" s="13">
        <v>518</v>
      </c>
      <c r="F285" s="13">
        <v>1542</v>
      </c>
      <c r="G285" s="13">
        <v>2428</v>
      </c>
      <c r="H285" s="13">
        <v>2880</v>
      </c>
      <c r="I285" s="13">
        <v>1955</v>
      </c>
      <c r="J285" s="13">
        <v>393</v>
      </c>
    </row>
    <row r="286" spans="1:10" x14ac:dyDescent="0.25">
      <c r="A286" s="11">
        <v>2009</v>
      </c>
      <c r="B286" s="11" t="s">
        <v>267</v>
      </c>
      <c r="C286" s="13">
        <v>199</v>
      </c>
      <c r="D286" s="13">
        <v>0</v>
      </c>
      <c r="E286" s="13">
        <v>7</v>
      </c>
      <c r="F286" s="13">
        <v>44</v>
      </c>
      <c r="G286" s="13">
        <v>55</v>
      </c>
      <c r="H286" s="13">
        <v>49</v>
      </c>
      <c r="I286" s="13">
        <v>36</v>
      </c>
      <c r="J286" s="13">
        <v>8</v>
      </c>
    </row>
    <row r="287" spans="1:10" x14ac:dyDescent="0.25">
      <c r="A287" s="11">
        <v>2009</v>
      </c>
      <c r="B287" s="11" t="s">
        <v>268</v>
      </c>
      <c r="C287" s="13">
        <v>273</v>
      </c>
      <c r="D287" s="13">
        <v>0</v>
      </c>
      <c r="E287" s="13">
        <v>7</v>
      </c>
      <c r="F287" s="13">
        <v>51</v>
      </c>
      <c r="G287" s="13">
        <v>76</v>
      </c>
      <c r="H287" s="13">
        <v>89</v>
      </c>
      <c r="I287" s="13">
        <v>42</v>
      </c>
      <c r="J287" s="13">
        <v>8</v>
      </c>
    </row>
    <row r="288" spans="1:10" x14ac:dyDescent="0.25">
      <c r="A288" s="11">
        <v>2009</v>
      </c>
      <c r="B288" s="11" t="s">
        <v>269</v>
      </c>
      <c r="C288" s="13">
        <v>4358</v>
      </c>
      <c r="D288" s="13">
        <v>0</v>
      </c>
      <c r="E288" s="13">
        <v>346</v>
      </c>
      <c r="F288" s="13">
        <v>946</v>
      </c>
      <c r="G288" s="13">
        <v>1272</v>
      </c>
      <c r="H288" s="13">
        <v>1014</v>
      </c>
      <c r="I288" s="13">
        <v>633</v>
      </c>
      <c r="J288" s="13">
        <v>147</v>
      </c>
    </row>
    <row r="289" spans="1:10" x14ac:dyDescent="0.25">
      <c r="A289" s="11">
        <v>2009</v>
      </c>
      <c r="B289" s="11" t="s">
        <v>270</v>
      </c>
      <c r="C289" s="13">
        <v>227</v>
      </c>
      <c r="D289" s="13">
        <v>0</v>
      </c>
      <c r="E289" s="13">
        <v>14</v>
      </c>
      <c r="F289" s="13">
        <v>38</v>
      </c>
      <c r="G289" s="13">
        <v>60</v>
      </c>
      <c r="H289" s="13">
        <v>59</v>
      </c>
      <c r="I289" s="13">
        <v>41</v>
      </c>
      <c r="J289" s="13">
        <v>15</v>
      </c>
    </row>
    <row r="290" spans="1:10" x14ac:dyDescent="0.25">
      <c r="A290" s="11">
        <v>2010</v>
      </c>
      <c r="B290" s="11" t="s">
        <v>11</v>
      </c>
      <c r="C290" s="13">
        <v>58791</v>
      </c>
      <c r="D290" s="13">
        <v>21</v>
      </c>
      <c r="E290" s="13">
        <v>3755</v>
      </c>
      <c r="F290" s="13">
        <v>10660</v>
      </c>
      <c r="G290" s="13">
        <v>16152</v>
      </c>
      <c r="H290" s="13">
        <v>16426</v>
      </c>
      <c r="I290" s="13">
        <v>9599</v>
      </c>
      <c r="J290" s="13">
        <v>2178</v>
      </c>
    </row>
    <row r="291" spans="1:10" x14ac:dyDescent="0.25">
      <c r="A291" s="11">
        <v>2010</v>
      </c>
      <c r="B291" s="11" t="s">
        <v>260</v>
      </c>
      <c r="C291" s="13">
        <v>3819</v>
      </c>
      <c r="D291" s="13">
        <v>3</v>
      </c>
      <c r="E291" s="13">
        <v>340</v>
      </c>
      <c r="F291" s="13">
        <v>791</v>
      </c>
      <c r="G291" s="13">
        <v>1121</v>
      </c>
      <c r="H291" s="13">
        <v>926</v>
      </c>
      <c r="I291" s="13">
        <v>517</v>
      </c>
      <c r="J291" s="13">
        <v>121</v>
      </c>
    </row>
    <row r="292" spans="1:10" x14ac:dyDescent="0.25">
      <c r="A292" s="11">
        <v>2010</v>
      </c>
      <c r="B292" s="11" t="s">
        <v>261</v>
      </c>
      <c r="C292" s="13">
        <v>1161</v>
      </c>
      <c r="D292" s="13">
        <v>0</v>
      </c>
      <c r="E292" s="13">
        <v>63</v>
      </c>
      <c r="F292" s="13">
        <v>217</v>
      </c>
      <c r="G292" s="13">
        <v>279</v>
      </c>
      <c r="H292" s="13">
        <v>317</v>
      </c>
      <c r="I292" s="13">
        <v>235</v>
      </c>
      <c r="J292" s="13">
        <v>50</v>
      </c>
    </row>
    <row r="293" spans="1:10" x14ac:dyDescent="0.25">
      <c r="A293" s="11">
        <v>2010</v>
      </c>
      <c r="B293" s="11" t="s">
        <v>233</v>
      </c>
      <c r="C293" s="13">
        <v>1445</v>
      </c>
      <c r="D293" s="13">
        <v>0</v>
      </c>
      <c r="E293" s="13">
        <v>106</v>
      </c>
      <c r="F293" s="13">
        <v>326</v>
      </c>
      <c r="G293" s="13">
        <v>444</v>
      </c>
      <c r="H293" s="13">
        <v>338</v>
      </c>
      <c r="I293" s="13">
        <v>188</v>
      </c>
      <c r="J293" s="13">
        <v>43</v>
      </c>
    </row>
    <row r="294" spans="1:10" x14ac:dyDescent="0.25">
      <c r="A294" s="11">
        <v>2010</v>
      </c>
      <c r="B294" s="11" t="s">
        <v>240</v>
      </c>
      <c r="C294" s="13">
        <v>4172</v>
      </c>
      <c r="D294" s="13">
        <v>0</v>
      </c>
      <c r="E294" s="13">
        <v>349</v>
      </c>
      <c r="F294" s="13">
        <v>842</v>
      </c>
      <c r="G294" s="13">
        <v>1124</v>
      </c>
      <c r="H294" s="13">
        <v>1102</v>
      </c>
      <c r="I294" s="13">
        <v>634</v>
      </c>
      <c r="J294" s="13">
        <v>121</v>
      </c>
    </row>
    <row r="295" spans="1:10" x14ac:dyDescent="0.25">
      <c r="A295" s="11">
        <v>2010</v>
      </c>
      <c r="B295" s="11" t="s">
        <v>262</v>
      </c>
      <c r="C295" s="13">
        <v>3330</v>
      </c>
      <c r="D295" s="13">
        <v>0</v>
      </c>
      <c r="E295" s="13">
        <v>228</v>
      </c>
      <c r="F295" s="13">
        <v>572</v>
      </c>
      <c r="G295" s="13">
        <v>937</v>
      </c>
      <c r="H295" s="13">
        <v>919</v>
      </c>
      <c r="I295" s="13">
        <v>568</v>
      </c>
      <c r="J295" s="13">
        <v>106</v>
      </c>
    </row>
    <row r="296" spans="1:10" x14ac:dyDescent="0.25">
      <c r="A296" s="11">
        <v>2010</v>
      </c>
      <c r="B296" s="11" t="s">
        <v>263</v>
      </c>
      <c r="C296" s="13">
        <v>6254</v>
      </c>
      <c r="D296" s="13">
        <v>1</v>
      </c>
      <c r="E296" s="13">
        <v>297</v>
      </c>
      <c r="F296" s="13">
        <v>1007</v>
      </c>
      <c r="G296" s="13">
        <v>1814</v>
      </c>
      <c r="H296" s="13">
        <v>1893</v>
      </c>
      <c r="I296" s="13">
        <v>1025</v>
      </c>
      <c r="J296" s="13">
        <v>217</v>
      </c>
    </row>
    <row r="297" spans="1:10" x14ac:dyDescent="0.25">
      <c r="A297" s="11">
        <v>2010</v>
      </c>
      <c r="B297" s="11" t="s">
        <v>264</v>
      </c>
      <c r="C297" s="13">
        <v>13191</v>
      </c>
      <c r="D297" s="13">
        <v>3</v>
      </c>
      <c r="E297" s="13">
        <v>812</v>
      </c>
      <c r="F297" s="13">
        <v>2473</v>
      </c>
      <c r="G297" s="13">
        <v>3668</v>
      </c>
      <c r="H297" s="13">
        <v>3651</v>
      </c>
      <c r="I297" s="13">
        <v>2101</v>
      </c>
      <c r="J297" s="13">
        <v>483</v>
      </c>
    </row>
    <row r="298" spans="1:10" x14ac:dyDescent="0.25">
      <c r="A298" s="11">
        <v>2010</v>
      </c>
      <c r="B298" s="11" t="s">
        <v>242</v>
      </c>
      <c r="C298" s="13">
        <v>3230</v>
      </c>
      <c r="D298" s="13">
        <v>3</v>
      </c>
      <c r="E298" s="13">
        <v>223</v>
      </c>
      <c r="F298" s="13">
        <v>581</v>
      </c>
      <c r="G298" s="13">
        <v>883</v>
      </c>
      <c r="H298" s="13">
        <v>847</v>
      </c>
      <c r="I298" s="13">
        <v>530</v>
      </c>
      <c r="J298" s="13">
        <v>163</v>
      </c>
    </row>
    <row r="299" spans="1:10" x14ac:dyDescent="0.25">
      <c r="A299" s="11">
        <v>2010</v>
      </c>
      <c r="B299" s="11" t="s">
        <v>265</v>
      </c>
      <c r="C299" s="13">
        <v>7347</v>
      </c>
      <c r="D299" s="13">
        <v>0</v>
      </c>
      <c r="E299" s="13">
        <v>462</v>
      </c>
      <c r="F299" s="13">
        <v>1351</v>
      </c>
      <c r="G299" s="13">
        <v>2116</v>
      </c>
      <c r="H299" s="13">
        <v>2037</v>
      </c>
      <c r="I299" s="13">
        <v>1123</v>
      </c>
      <c r="J299" s="13">
        <v>258</v>
      </c>
    </row>
    <row r="300" spans="1:10" x14ac:dyDescent="0.25">
      <c r="A300" s="11">
        <v>2010</v>
      </c>
      <c r="B300" s="11" t="s">
        <v>266</v>
      </c>
      <c r="C300" s="13">
        <v>9837</v>
      </c>
      <c r="D300" s="13">
        <v>8</v>
      </c>
      <c r="E300" s="13">
        <v>516</v>
      </c>
      <c r="F300" s="13">
        <v>1515</v>
      </c>
      <c r="G300" s="13">
        <v>2346</v>
      </c>
      <c r="H300" s="13">
        <v>3086</v>
      </c>
      <c r="I300" s="13">
        <v>1912</v>
      </c>
      <c r="J300" s="13">
        <v>454</v>
      </c>
    </row>
    <row r="301" spans="1:10" x14ac:dyDescent="0.25">
      <c r="A301" s="11">
        <v>2010</v>
      </c>
      <c r="B301" s="11" t="s">
        <v>267</v>
      </c>
      <c r="C301" s="13">
        <v>197</v>
      </c>
      <c r="D301" s="13">
        <v>0</v>
      </c>
      <c r="E301" s="13">
        <v>10</v>
      </c>
      <c r="F301" s="13">
        <v>32</v>
      </c>
      <c r="G301" s="13">
        <v>54</v>
      </c>
      <c r="H301" s="13">
        <v>60</v>
      </c>
      <c r="I301" s="13">
        <v>29</v>
      </c>
      <c r="J301" s="13">
        <v>12</v>
      </c>
    </row>
    <row r="302" spans="1:10" x14ac:dyDescent="0.25">
      <c r="A302" s="11">
        <v>2010</v>
      </c>
      <c r="B302" s="11" t="s">
        <v>268</v>
      </c>
      <c r="C302" s="13">
        <v>266</v>
      </c>
      <c r="D302" s="13">
        <v>0</v>
      </c>
      <c r="E302" s="13">
        <v>14</v>
      </c>
      <c r="F302" s="13">
        <v>49</v>
      </c>
      <c r="G302" s="13">
        <v>62</v>
      </c>
      <c r="H302" s="13">
        <v>87</v>
      </c>
      <c r="I302" s="13">
        <v>48</v>
      </c>
      <c r="J302" s="13">
        <v>6</v>
      </c>
    </row>
    <row r="303" spans="1:10" x14ac:dyDescent="0.25">
      <c r="A303" s="11">
        <v>2010</v>
      </c>
      <c r="B303" s="11" t="s">
        <v>269</v>
      </c>
      <c r="C303" s="13">
        <v>4307</v>
      </c>
      <c r="D303" s="13">
        <v>1</v>
      </c>
      <c r="E303" s="13">
        <v>321</v>
      </c>
      <c r="F303" s="13">
        <v>868</v>
      </c>
      <c r="G303" s="13">
        <v>1266</v>
      </c>
      <c r="H303" s="13">
        <v>1085</v>
      </c>
      <c r="I303" s="13">
        <v>634</v>
      </c>
      <c r="J303" s="13">
        <v>132</v>
      </c>
    </row>
    <row r="304" spans="1:10" x14ac:dyDescent="0.25">
      <c r="A304" s="11">
        <v>2010</v>
      </c>
      <c r="B304" s="11" t="s">
        <v>270</v>
      </c>
      <c r="C304" s="13">
        <v>235</v>
      </c>
      <c r="D304" s="13">
        <v>2</v>
      </c>
      <c r="E304" s="13">
        <v>14</v>
      </c>
      <c r="F304" s="13">
        <v>36</v>
      </c>
      <c r="G304" s="13">
        <v>38</v>
      </c>
      <c r="H304" s="13">
        <v>78</v>
      </c>
      <c r="I304" s="13">
        <v>55</v>
      </c>
      <c r="J304" s="13">
        <v>12</v>
      </c>
    </row>
    <row r="305" spans="1:10" x14ac:dyDescent="0.25">
      <c r="A305" s="11">
        <v>2011</v>
      </c>
      <c r="B305" s="11" t="s">
        <v>11</v>
      </c>
      <c r="C305" s="13">
        <v>58590</v>
      </c>
      <c r="D305" s="13">
        <v>46</v>
      </c>
      <c r="E305" s="13">
        <v>3387</v>
      </c>
      <c r="F305" s="13">
        <v>10619</v>
      </c>
      <c r="G305" s="13">
        <v>15879</v>
      </c>
      <c r="H305" s="13">
        <v>16868</v>
      </c>
      <c r="I305" s="13">
        <v>9513</v>
      </c>
      <c r="J305" s="13">
        <v>2278</v>
      </c>
    </row>
    <row r="306" spans="1:10" x14ac:dyDescent="0.25">
      <c r="A306" s="11">
        <v>2011</v>
      </c>
      <c r="B306" s="11" t="s">
        <v>260</v>
      </c>
      <c r="C306" s="13">
        <v>3887</v>
      </c>
      <c r="D306" s="13">
        <v>3</v>
      </c>
      <c r="E306" s="13">
        <v>325</v>
      </c>
      <c r="F306" s="13">
        <v>855</v>
      </c>
      <c r="G306" s="13">
        <v>1057</v>
      </c>
      <c r="H306" s="13">
        <v>962</v>
      </c>
      <c r="I306" s="13">
        <v>544</v>
      </c>
      <c r="J306" s="13">
        <v>141</v>
      </c>
    </row>
    <row r="307" spans="1:10" x14ac:dyDescent="0.25">
      <c r="A307" s="11">
        <v>2011</v>
      </c>
      <c r="B307" s="11" t="s">
        <v>261</v>
      </c>
      <c r="C307" s="13">
        <v>1108</v>
      </c>
      <c r="D307" s="13">
        <v>1</v>
      </c>
      <c r="E307" s="13">
        <v>63</v>
      </c>
      <c r="F307" s="13">
        <v>197</v>
      </c>
      <c r="G307" s="13">
        <v>302</v>
      </c>
      <c r="H307" s="13">
        <v>302</v>
      </c>
      <c r="I307" s="13">
        <v>187</v>
      </c>
      <c r="J307" s="13">
        <v>56</v>
      </c>
    </row>
    <row r="308" spans="1:10" x14ac:dyDescent="0.25">
      <c r="A308" s="11">
        <v>2011</v>
      </c>
      <c r="B308" s="11" t="s">
        <v>233</v>
      </c>
      <c r="C308" s="13">
        <v>1396</v>
      </c>
      <c r="D308" s="13">
        <v>1</v>
      </c>
      <c r="E308" s="13">
        <v>91</v>
      </c>
      <c r="F308" s="13">
        <v>308</v>
      </c>
      <c r="G308" s="13">
        <v>415</v>
      </c>
      <c r="H308" s="13">
        <v>339</v>
      </c>
      <c r="I308" s="13">
        <v>196</v>
      </c>
      <c r="J308" s="13">
        <v>46</v>
      </c>
    </row>
    <row r="309" spans="1:10" x14ac:dyDescent="0.25">
      <c r="A309" s="11">
        <v>2011</v>
      </c>
      <c r="B309" s="11" t="s">
        <v>240</v>
      </c>
      <c r="C309" s="13">
        <v>4268</v>
      </c>
      <c r="D309" s="13">
        <v>1</v>
      </c>
      <c r="E309" s="13">
        <v>313</v>
      </c>
      <c r="F309" s="13">
        <v>880</v>
      </c>
      <c r="G309" s="13">
        <v>1244</v>
      </c>
      <c r="H309" s="13">
        <v>1116</v>
      </c>
      <c r="I309" s="13">
        <v>598</v>
      </c>
      <c r="J309" s="13">
        <v>116</v>
      </c>
    </row>
    <row r="310" spans="1:10" x14ac:dyDescent="0.25">
      <c r="A310" s="11">
        <v>2011</v>
      </c>
      <c r="B310" s="11" t="s">
        <v>262</v>
      </c>
      <c r="C310" s="13">
        <v>3154</v>
      </c>
      <c r="D310" s="13">
        <v>1</v>
      </c>
      <c r="E310" s="13">
        <v>193</v>
      </c>
      <c r="F310" s="13">
        <v>531</v>
      </c>
      <c r="G310" s="13">
        <v>831</v>
      </c>
      <c r="H310" s="13">
        <v>921</v>
      </c>
      <c r="I310" s="13">
        <v>554</v>
      </c>
      <c r="J310" s="13">
        <v>123</v>
      </c>
    </row>
    <row r="311" spans="1:10" x14ac:dyDescent="0.25">
      <c r="A311" s="11">
        <v>2011</v>
      </c>
      <c r="B311" s="11" t="s">
        <v>263</v>
      </c>
      <c r="C311" s="13">
        <v>6276</v>
      </c>
      <c r="D311" s="13">
        <v>1</v>
      </c>
      <c r="E311" s="13">
        <v>268</v>
      </c>
      <c r="F311" s="13">
        <v>987</v>
      </c>
      <c r="G311" s="13">
        <v>1770</v>
      </c>
      <c r="H311" s="13">
        <v>1999</v>
      </c>
      <c r="I311" s="13">
        <v>1021</v>
      </c>
      <c r="J311" s="13">
        <v>230</v>
      </c>
    </row>
    <row r="312" spans="1:10" x14ac:dyDescent="0.25">
      <c r="A312" s="11">
        <v>2011</v>
      </c>
      <c r="B312" s="11" t="s">
        <v>264</v>
      </c>
      <c r="C312" s="13">
        <v>13068</v>
      </c>
      <c r="D312" s="13">
        <v>10</v>
      </c>
      <c r="E312" s="13">
        <v>734</v>
      </c>
      <c r="F312" s="13">
        <v>2406</v>
      </c>
      <c r="G312" s="13">
        <v>3530</v>
      </c>
      <c r="H312" s="13">
        <v>3781</v>
      </c>
      <c r="I312" s="13">
        <v>2059</v>
      </c>
      <c r="J312" s="13">
        <v>548</v>
      </c>
    </row>
    <row r="313" spans="1:10" x14ac:dyDescent="0.25">
      <c r="A313" s="11">
        <v>2011</v>
      </c>
      <c r="B313" s="11" t="s">
        <v>242</v>
      </c>
      <c r="C313" s="13">
        <v>3090</v>
      </c>
      <c r="D313" s="13">
        <v>13</v>
      </c>
      <c r="E313" s="13">
        <v>210</v>
      </c>
      <c r="F313" s="13">
        <v>527</v>
      </c>
      <c r="G313" s="13">
        <v>810</v>
      </c>
      <c r="H313" s="13">
        <v>864</v>
      </c>
      <c r="I313" s="13">
        <v>524</v>
      </c>
      <c r="J313" s="13">
        <v>142</v>
      </c>
    </row>
    <row r="314" spans="1:10" x14ac:dyDescent="0.25">
      <c r="A314" s="11">
        <v>2011</v>
      </c>
      <c r="B314" s="11" t="s">
        <v>265</v>
      </c>
      <c r="C314" s="13">
        <v>7495</v>
      </c>
      <c r="D314" s="13">
        <v>5</v>
      </c>
      <c r="E314" s="13">
        <v>431</v>
      </c>
      <c r="F314" s="13">
        <v>1334</v>
      </c>
      <c r="G314" s="13">
        <v>2085</v>
      </c>
      <c r="H314" s="13">
        <v>2209</v>
      </c>
      <c r="I314" s="13">
        <v>1177</v>
      </c>
      <c r="J314" s="13">
        <v>254</v>
      </c>
    </row>
    <row r="315" spans="1:10" x14ac:dyDescent="0.25">
      <c r="A315" s="11">
        <v>2011</v>
      </c>
      <c r="B315" s="11" t="s">
        <v>266</v>
      </c>
      <c r="C315" s="13">
        <v>9799</v>
      </c>
      <c r="D315" s="13">
        <v>8</v>
      </c>
      <c r="E315" s="13">
        <v>437</v>
      </c>
      <c r="F315" s="13">
        <v>1599</v>
      </c>
      <c r="G315" s="13">
        <v>2380</v>
      </c>
      <c r="H315" s="13">
        <v>3048</v>
      </c>
      <c r="I315" s="13">
        <v>1889</v>
      </c>
      <c r="J315" s="13">
        <v>438</v>
      </c>
    </row>
    <row r="316" spans="1:10" x14ac:dyDescent="0.25">
      <c r="A316" s="11">
        <v>2011</v>
      </c>
      <c r="B316" s="11" t="s">
        <v>267</v>
      </c>
      <c r="C316" s="13">
        <v>205</v>
      </c>
      <c r="D316" s="13">
        <v>0</v>
      </c>
      <c r="E316" s="13">
        <v>7</v>
      </c>
      <c r="F316" s="13">
        <v>37</v>
      </c>
      <c r="G316" s="13">
        <v>64</v>
      </c>
      <c r="H316" s="13">
        <v>56</v>
      </c>
      <c r="I316" s="13">
        <v>31</v>
      </c>
      <c r="J316" s="13">
        <v>10</v>
      </c>
    </row>
    <row r="317" spans="1:10" x14ac:dyDescent="0.25">
      <c r="A317" s="11">
        <v>2011</v>
      </c>
      <c r="B317" s="11" t="s">
        <v>268</v>
      </c>
      <c r="C317" s="13">
        <v>242</v>
      </c>
      <c r="D317" s="13">
        <v>0</v>
      </c>
      <c r="E317" s="13">
        <v>14</v>
      </c>
      <c r="F317" s="13">
        <v>39</v>
      </c>
      <c r="G317" s="13">
        <v>62</v>
      </c>
      <c r="H317" s="13">
        <v>78</v>
      </c>
      <c r="I317" s="13">
        <v>40</v>
      </c>
      <c r="J317" s="13">
        <v>9</v>
      </c>
    </row>
    <row r="318" spans="1:10" x14ac:dyDescent="0.25">
      <c r="A318" s="11">
        <v>2011</v>
      </c>
      <c r="B318" s="11" t="s">
        <v>269</v>
      </c>
      <c r="C318" s="13">
        <v>4367</v>
      </c>
      <c r="D318" s="13">
        <v>1</v>
      </c>
      <c r="E318" s="13">
        <v>288</v>
      </c>
      <c r="F318" s="13">
        <v>878</v>
      </c>
      <c r="G318" s="13">
        <v>1269</v>
      </c>
      <c r="H318" s="13">
        <v>1131</v>
      </c>
      <c r="I318" s="13">
        <v>649</v>
      </c>
      <c r="J318" s="13">
        <v>151</v>
      </c>
    </row>
    <row r="319" spans="1:10" x14ac:dyDescent="0.25">
      <c r="A319" s="11">
        <v>2011</v>
      </c>
      <c r="B319" s="11" t="s">
        <v>270</v>
      </c>
      <c r="C319" s="13">
        <v>235</v>
      </c>
      <c r="D319" s="13">
        <v>1</v>
      </c>
      <c r="E319" s="13">
        <v>13</v>
      </c>
      <c r="F319" s="13">
        <v>41</v>
      </c>
      <c r="G319" s="13">
        <v>60</v>
      </c>
      <c r="H319" s="13">
        <v>62</v>
      </c>
      <c r="I319" s="13">
        <v>44</v>
      </c>
      <c r="J319" s="13">
        <v>14</v>
      </c>
    </row>
    <row r="320" spans="1:10" x14ac:dyDescent="0.25">
      <c r="A320" s="11">
        <v>2012</v>
      </c>
      <c r="B320" s="11" t="s">
        <v>11</v>
      </c>
      <c r="C320" s="13">
        <v>58027</v>
      </c>
      <c r="D320" s="13">
        <v>45</v>
      </c>
      <c r="E320" s="13">
        <v>3074</v>
      </c>
      <c r="F320" s="13">
        <v>10272</v>
      </c>
      <c r="G320" s="13">
        <v>16028</v>
      </c>
      <c r="H320" s="13">
        <v>17262</v>
      </c>
      <c r="I320" s="13">
        <v>9147</v>
      </c>
      <c r="J320" s="13">
        <v>2199</v>
      </c>
    </row>
    <row r="321" spans="1:10" x14ac:dyDescent="0.25">
      <c r="A321" s="11">
        <v>2012</v>
      </c>
      <c r="B321" s="11" t="s">
        <v>260</v>
      </c>
      <c r="C321" s="13">
        <v>3701</v>
      </c>
      <c r="D321" s="13">
        <v>3</v>
      </c>
      <c r="E321" s="13">
        <v>258</v>
      </c>
      <c r="F321" s="13">
        <v>824</v>
      </c>
      <c r="G321" s="13">
        <v>1036</v>
      </c>
      <c r="H321" s="13">
        <v>961</v>
      </c>
      <c r="I321" s="13">
        <v>515</v>
      </c>
      <c r="J321" s="13">
        <v>104</v>
      </c>
    </row>
    <row r="322" spans="1:10" x14ac:dyDescent="0.25">
      <c r="A322" s="11">
        <v>2012</v>
      </c>
      <c r="B322" s="11" t="s">
        <v>261</v>
      </c>
      <c r="C322" s="13">
        <v>1140</v>
      </c>
      <c r="D322" s="13">
        <v>0</v>
      </c>
      <c r="E322" s="13">
        <v>67</v>
      </c>
      <c r="F322" s="13">
        <v>202</v>
      </c>
      <c r="G322" s="13">
        <v>303</v>
      </c>
      <c r="H322" s="13">
        <v>339</v>
      </c>
      <c r="I322" s="13">
        <v>174</v>
      </c>
      <c r="J322" s="13">
        <v>55</v>
      </c>
    </row>
    <row r="323" spans="1:10" x14ac:dyDescent="0.25">
      <c r="A323" s="11">
        <v>2012</v>
      </c>
      <c r="B323" s="11" t="s">
        <v>233</v>
      </c>
      <c r="C323" s="13">
        <v>1390</v>
      </c>
      <c r="D323" s="13">
        <v>2</v>
      </c>
      <c r="E323" s="13">
        <v>92</v>
      </c>
      <c r="F323" s="13">
        <v>314</v>
      </c>
      <c r="G323" s="13">
        <v>425</v>
      </c>
      <c r="H323" s="13">
        <v>346</v>
      </c>
      <c r="I323" s="13">
        <v>174</v>
      </c>
      <c r="J323" s="13">
        <v>37</v>
      </c>
    </row>
    <row r="324" spans="1:10" x14ac:dyDescent="0.25">
      <c r="A324" s="11">
        <v>2012</v>
      </c>
      <c r="B324" s="11" t="s">
        <v>240</v>
      </c>
      <c r="C324" s="13">
        <v>4019</v>
      </c>
      <c r="D324" s="13">
        <v>2</v>
      </c>
      <c r="E324" s="13">
        <v>270</v>
      </c>
      <c r="F324" s="13">
        <v>817</v>
      </c>
      <c r="G324" s="13">
        <v>1163</v>
      </c>
      <c r="H324" s="13">
        <v>1076</v>
      </c>
      <c r="I324" s="13">
        <v>571</v>
      </c>
      <c r="J324" s="13">
        <v>120</v>
      </c>
    </row>
    <row r="325" spans="1:10" x14ac:dyDescent="0.25">
      <c r="A325" s="11">
        <v>2012</v>
      </c>
      <c r="B325" s="11" t="s">
        <v>262</v>
      </c>
      <c r="C325" s="13">
        <v>3254</v>
      </c>
      <c r="D325" s="13">
        <v>2</v>
      </c>
      <c r="E325" s="13">
        <v>193</v>
      </c>
      <c r="F325" s="13">
        <v>585</v>
      </c>
      <c r="G325" s="13">
        <v>862</v>
      </c>
      <c r="H325" s="13">
        <v>952</v>
      </c>
      <c r="I325" s="13">
        <v>530</v>
      </c>
      <c r="J325" s="13">
        <v>130</v>
      </c>
    </row>
    <row r="326" spans="1:10" x14ac:dyDescent="0.25">
      <c r="A326" s="11">
        <v>2012</v>
      </c>
      <c r="B326" s="11" t="s">
        <v>263</v>
      </c>
      <c r="C326" s="13">
        <v>6470</v>
      </c>
      <c r="D326" s="13">
        <v>0</v>
      </c>
      <c r="E326" s="13">
        <v>287</v>
      </c>
      <c r="F326" s="13">
        <v>991</v>
      </c>
      <c r="G326" s="13">
        <v>1918</v>
      </c>
      <c r="H326" s="13">
        <v>2057</v>
      </c>
      <c r="I326" s="13">
        <v>999</v>
      </c>
      <c r="J326" s="13">
        <v>218</v>
      </c>
    </row>
    <row r="327" spans="1:10" x14ac:dyDescent="0.25">
      <c r="A327" s="11">
        <v>2012</v>
      </c>
      <c r="B327" s="11" t="s">
        <v>264</v>
      </c>
      <c r="C327" s="13">
        <v>13098</v>
      </c>
      <c r="D327" s="13">
        <v>9</v>
      </c>
      <c r="E327" s="13">
        <v>622</v>
      </c>
      <c r="F327" s="13">
        <v>2214</v>
      </c>
      <c r="G327" s="13">
        <v>3646</v>
      </c>
      <c r="H327" s="13">
        <v>4037</v>
      </c>
      <c r="I327" s="13">
        <v>2050</v>
      </c>
      <c r="J327" s="13">
        <v>520</v>
      </c>
    </row>
    <row r="328" spans="1:10" x14ac:dyDescent="0.25">
      <c r="A328" s="11">
        <v>2012</v>
      </c>
      <c r="B328" s="11" t="s">
        <v>242</v>
      </c>
      <c r="C328" s="13">
        <v>3145</v>
      </c>
      <c r="D328" s="13">
        <v>8</v>
      </c>
      <c r="E328" s="13">
        <v>177</v>
      </c>
      <c r="F328" s="13">
        <v>566</v>
      </c>
      <c r="G328" s="13">
        <v>878</v>
      </c>
      <c r="H328" s="13">
        <v>853</v>
      </c>
      <c r="I328" s="13">
        <v>512</v>
      </c>
      <c r="J328" s="13">
        <v>151</v>
      </c>
    </row>
    <row r="329" spans="1:10" x14ac:dyDescent="0.25">
      <c r="A329" s="11">
        <v>2012</v>
      </c>
      <c r="B329" s="11" t="s">
        <v>265</v>
      </c>
      <c r="C329" s="13">
        <v>7115</v>
      </c>
      <c r="D329" s="13">
        <v>14</v>
      </c>
      <c r="E329" s="13">
        <v>409</v>
      </c>
      <c r="F329" s="13">
        <v>1326</v>
      </c>
      <c r="G329" s="13">
        <v>1935</v>
      </c>
      <c r="H329" s="13">
        <v>2202</v>
      </c>
      <c r="I329" s="13">
        <v>986</v>
      </c>
      <c r="J329" s="13">
        <v>243</v>
      </c>
    </row>
    <row r="330" spans="1:10" x14ac:dyDescent="0.25">
      <c r="A330" s="11">
        <v>2012</v>
      </c>
      <c r="B330" s="11" t="s">
        <v>266</v>
      </c>
      <c r="C330" s="13">
        <v>9830</v>
      </c>
      <c r="D330" s="13">
        <v>5</v>
      </c>
      <c r="E330" s="13">
        <v>425</v>
      </c>
      <c r="F330" s="13">
        <v>1491</v>
      </c>
      <c r="G330" s="13">
        <v>2477</v>
      </c>
      <c r="H330" s="13">
        <v>3072</v>
      </c>
      <c r="I330" s="13">
        <v>1927</v>
      </c>
      <c r="J330" s="13">
        <v>433</v>
      </c>
    </row>
    <row r="331" spans="1:10" x14ac:dyDescent="0.25">
      <c r="A331" s="11">
        <v>2012</v>
      </c>
      <c r="B331" s="11" t="s">
        <v>267</v>
      </c>
      <c r="C331" s="13">
        <v>201</v>
      </c>
      <c r="D331" s="13">
        <v>0</v>
      </c>
      <c r="E331" s="13">
        <v>9</v>
      </c>
      <c r="F331" s="13">
        <v>33</v>
      </c>
      <c r="G331" s="13">
        <v>56</v>
      </c>
      <c r="H331" s="13">
        <v>54</v>
      </c>
      <c r="I331" s="13">
        <v>36</v>
      </c>
      <c r="J331" s="13">
        <v>13</v>
      </c>
    </row>
    <row r="332" spans="1:10" x14ac:dyDescent="0.25">
      <c r="A332" s="11">
        <v>2012</v>
      </c>
      <c r="B332" s="11" t="s">
        <v>268</v>
      </c>
      <c r="C332" s="13">
        <v>276</v>
      </c>
      <c r="D332" s="13">
        <v>0</v>
      </c>
      <c r="E332" s="13">
        <v>9</v>
      </c>
      <c r="F332" s="13">
        <v>45</v>
      </c>
      <c r="G332" s="13">
        <v>78</v>
      </c>
      <c r="H332" s="13">
        <v>86</v>
      </c>
      <c r="I332" s="13">
        <v>49</v>
      </c>
      <c r="J332" s="13">
        <v>9</v>
      </c>
    </row>
    <row r="333" spans="1:10" x14ac:dyDescent="0.25">
      <c r="A333" s="11">
        <v>2012</v>
      </c>
      <c r="B333" s="11" t="s">
        <v>269</v>
      </c>
      <c r="C333" s="13">
        <v>4151</v>
      </c>
      <c r="D333" s="13">
        <v>0</v>
      </c>
      <c r="E333" s="13">
        <v>242</v>
      </c>
      <c r="F333" s="13">
        <v>831</v>
      </c>
      <c r="G333" s="13">
        <v>1200</v>
      </c>
      <c r="H333" s="13">
        <v>1150</v>
      </c>
      <c r="I333" s="13">
        <v>569</v>
      </c>
      <c r="J333" s="13">
        <v>159</v>
      </c>
    </row>
    <row r="334" spans="1:10" x14ac:dyDescent="0.25">
      <c r="A334" s="11">
        <v>2012</v>
      </c>
      <c r="B334" s="11" t="s">
        <v>270</v>
      </c>
      <c r="C334" s="13">
        <v>237</v>
      </c>
      <c r="D334" s="13">
        <v>0</v>
      </c>
      <c r="E334" s="13">
        <v>14</v>
      </c>
      <c r="F334" s="13">
        <v>33</v>
      </c>
      <c r="G334" s="13">
        <v>51</v>
      </c>
      <c r="H334" s="13">
        <v>77</v>
      </c>
      <c r="I334" s="13">
        <v>55</v>
      </c>
      <c r="J334" s="13">
        <v>7</v>
      </c>
    </row>
    <row r="335" spans="1:10" x14ac:dyDescent="0.25">
      <c r="A335" s="11">
        <v>2013</v>
      </c>
      <c r="B335" s="11" t="s">
        <v>11</v>
      </c>
      <c r="C335" s="13">
        <v>56014</v>
      </c>
      <c r="D335" s="13">
        <v>17</v>
      </c>
      <c r="E335" s="13">
        <v>2763</v>
      </c>
      <c r="F335" s="13">
        <v>9767</v>
      </c>
      <c r="G335" s="13">
        <v>15228</v>
      </c>
      <c r="H335" s="13">
        <v>17032</v>
      </c>
      <c r="I335" s="13">
        <v>8973</v>
      </c>
      <c r="J335" s="13">
        <v>2234</v>
      </c>
    </row>
    <row r="336" spans="1:10" x14ac:dyDescent="0.25">
      <c r="A336" s="11">
        <v>2013</v>
      </c>
      <c r="B336" s="11" t="s">
        <v>260</v>
      </c>
      <c r="C336" s="13">
        <v>3647</v>
      </c>
      <c r="D336" s="13">
        <v>1</v>
      </c>
      <c r="E336" s="13">
        <v>236</v>
      </c>
      <c r="F336" s="13">
        <v>790</v>
      </c>
      <c r="G336" s="13">
        <v>1024</v>
      </c>
      <c r="H336" s="13">
        <v>959</v>
      </c>
      <c r="I336" s="13">
        <v>493</v>
      </c>
      <c r="J336" s="13">
        <v>144</v>
      </c>
    </row>
    <row r="337" spans="1:10" x14ac:dyDescent="0.25">
      <c r="A337" s="11">
        <v>2013</v>
      </c>
      <c r="B337" s="11" t="s">
        <v>261</v>
      </c>
      <c r="C337" s="13">
        <v>1138</v>
      </c>
      <c r="D337" s="13">
        <v>0</v>
      </c>
      <c r="E337" s="13">
        <v>43</v>
      </c>
      <c r="F337" s="13">
        <v>201</v>
      </c>
      <c r="G337" s="13">
        <v>302</v>
      </c>
      <c r="H337" s="13">
        <v>351</v>
      </c>
      <c r="I337" s="13">
        <v>193</v>
      </c>
      <c r="J337" s="13">
        <v>48</v>
      </c>
    </row>
    <row r="338" spans="1:10" x14ac:dyDescent="0.25">
      <c r="A338" s="11">
        <v>2013</v>
      </c>
      <c r="B338" s="11" t="s">
        <v>233</v>
      </c>
      <c r="C338" s="13">
        <v>1327</v>
      </c>
      <c r="D338" s="13">
        <v>0</v>
      </c>
      <c r="E338" s="13">
        <v>86</v>
      </c>
      <c r="F338" s="13">
        <v>276</v>
      </c>
      <c r="G338" s="13">
        <v>405</v>
      </c>
      <c r="H338" s="13">
        <v>339</v>
      </c>
      <c r="I338" s="13">
        <v>172</v>
      </c>
      <c r="J338" s="13">
        <v>49</v>
      </c>
    </row>
    <row r="339" spans="1:10" x14ac:dyDescent="0.25">
      <c r="A339" s="11">
        <v>2013</v>
      </c>
      <c r="B339" s="11" t="s">
        <v>240</v>
      </c>
      <c r="C339" s="13">
        <v>3872</v>
      </c>
      <c r="D339" s="13">
        <v>3</v>
      </c>
      <c r="E339" s="13">
        <v>240</v>
      </c>
      <c r="F339" s="13">
        <v>777</v>
      </c>
      <c r="G339" s="13">
        <v>1093</v>
      </c>
      <c r="H339" s="13">
        <v>1108</v>
      </c>
      <c r="I339" s="13">
        <v>530</v>
      </c>
      <c r="J339" s="13">
        <v>121</v>
      </c>
    </row>
    <row r="340" spans="1:10" x14ac:dyDescent="0.25">
      <c r="A340" s="11">
        <v>2013</v>
      </c>
      <c r="B340" s="11" t="s">
        <v>262</v>
      </c>
      <c r="C340" s="13">
        <v>3025</v>
      </c>
      <c r="D340" s="13">
        <v>3</v>
      </c>
      <c r="E340" s="13">
        <v>169</v>
      </c>
      <c r="F340" s="13">
        <v>571</v>
      </c>
      <c r="G340" s="13">
        <v>775</v>
      </c>
      <c r="H340" s="13">
        <v>885</v>
      </c>
      <c r="I340" s="13">
        <v>490</v>
      </c>
      <c r="J340" s="13">
        <v>132</v>
      </c>
    </row>
    <row r="341" spans="1:10" x14ac:dyDescent="0.25">
      <c r="A341" s="11">
        <v>2013</v>
      </c>
      <c r="B341" s="11" t="s">
        <v>263</v>
      </c>
      <c r="C341" s="13">
        <v>6153</v>
      </c>
      <c r="D341" s="13">
        <v>1</v>
      </c>
      <c r="E341" s="13">
        <v>261</v>
      </c>
      <c r="F341" s="13">
        <v>947</v>
      </c>
      <c r="G341" s="13">
        <v>1745</v>
      </c>
      <c r="H341" s="13">
        <v>2006</v>
      </c>
      <c r="I341" s="13">
        <v>979</v>
      </c>
      <c r="J341" s="13">
        <v>214</v>
      </c>
    </row>
    <row r="342" spans="1:10" x14ac:dyDescent="0.25">
      <c r="A342" s="11">
        <v>2013</v>
      </c>
      <c r="B342" s="11" t="s">
        <v>264</v>
      </c>
      <c r="C342" s="13">
        <v>12583</v>
      </c>
      <c r="D342" s="13">
        <v>2</v>
      </c>
      <c r="E342" s="13">
        <v>564</v>
      </c>
      <c r="F342" s="13">
        <v>2084</v>
      </c>
      <c r="G342" s="13">
        <v>3450</v>
      </c>
      <c r="H342" s="13">
        <v>3899</v>
      </c>
      <c r="I342" s="13">
        <v>2089</v>
      </c>
      <c r="J342" s="13">
        <v>495</v>
      </c>
    </row>
    <row r="343" spans="1:10" x14ac:dyDescent="0.25">
      <c r="A343" s="11">
        <v>2013</v>
      </c>
      <c r="B343" s="11" t="s">
        <v>242</v>
      </c>
      <c r="C343" s="13">
        <v>2942</v>
      </c>
      <c r="D343" s="13">
        <v>4</v>
      </c>
      <c r="E343" s="13">
        <v>166</v>
      </c>
      <c r="F343" s="13">
        <v>555</v>
      </c>
      <c r="G343" s="13">
        <v>767</v>
      </c>
      <c r="H343" s="13">
        <v>841</v>
      </c>
      <c r="I343" s="13">
        <v>460</v>
      </c>
      <c r="J343" s="13">
        <v>149</v>
      </c>
    </row>
    <row r="344" spans="1:10" x14ac:dyDescent="0.25">
      <c r="A344" s="11">
        <v>2013</v>
      </c>
      <c r="B344" s="11" t="s">
        <v>265</v>
      </c>
      <c r="C344" s="13">
        <v>7010</v>
      </c>
      <c r="D344" s="13">
        <v>0</v>
      </c>
      <c r="E344" s="13">
        <v>374</v>
      </c>
      <c r="F344" s="13">
        <v>1274</v>
      </c>
      <c r="G344" s="13">
        <v>1996</v>
      </c>
      <c r="H344" s="13">
        <v>2141</v>
      </c>
      <c r="I344" s="13">
        <v>987</v>
      </c>
      <c r="J344" s="13">
        <v>238</v>
      </c>
    </row>
    <row r="345" spans="1:10" x14ac:dyDescent="0.25">
      <c r="A345" s="11">
        <v>2013</v>
      </c>
      <c r="B345" s="11" t="s">
        <v>266</v>
      </c>
      <c r="C345" s="13">
        <v>9588</v>
      </c>
      <c r="D345" s="13">
        <v>3</v>
      </c>
      <c r="E345" s="13">
        <v>363</v>
      </c>
      <c r="F345" s="13">
        <v>1394</v>
      </c>
      <c r="G345" s="13">
        <v>2304</v>
      </c>
      <c r="H345" s="13">
        <v>3179</v>
      </c>
      <c r="I345" s="13">
        <v>1880</v>
      </c>
      <c r="J345" s="13">
        <v>465</v>
      </c>
    </row>
    <row r="346" spans="1:10" x14ac:dyDescent="0.25">
      <c r="A346" s="11">
        <v>2013</v>
      </c>
      <c r="B346" s="11" t="s">
        <v>267</v>
      </c>
      <c r="C346" s="13">
        <v>201</v>
      </c>
      <c r="D346" s="13">
        <v>0</v>
      </c>
      <c r="E346" s="13">
        <v>3</v>
      </c>
      <c r="F346" s="13">
        <v>32</v>
      </c>
      <c r="G346" s="13">
        <v>71</v>
      </c>
      <c r="H346" s="13">
        <v>58</v>
      </c>
      <c r="I346" s="13">
        <v>29</v>
      </c>
      <c r="J346" s="13">
        <v>8</v>
      </c>
    </row>
    <row r="347" spans="1:10" x14ac:dyDescent="0.25">
      <c r="A347" s="11">
        <v>2013</v>
      </c>
      <c r="B347" s="11" t="s">
        <v>268</v>
      </c>
      <c r="C347" s="13">
        <v>261</v>
      </c>
      <c r="D347" s="13">
        <v>0</v>
      </c>
      <c r="E347" s="13">
        <v>9</v>
      </c>
      <c r="F347" s="13">
        <v>41</v>
      </c>
      <c r="G347" s="13">
        <v>87</v>
      </c>
      <c r="H347" s="13">
        <v>61</v>
      </c>
      <c r="I347" s="13">
        <v>50</v>
      </c>
      <c r="J347" s="13">
        <v>13</v>
      </c>
    </row>
    <row r="348" spans="1:10" x14ac:dyDescent="0.25">
      <c r="A348" s="11">
        <v>2013</v>
      </c>
      <c r="B348" s="11" t="s">
        <v>269</v>
      </c>
      <c r="C348" s="13">
        <v>4021</v>
      </c>
      <c r="D348" s="13">
        <v>0</v>
      </c>
      <c r="E348" s="13">
        <v>235</v>
      </c>
      <c r="F348" s="13">
        <v>778</v>
      </c>
      <c r="G348" s="13">
        <v>1145</v>
      </c>
      <c r="H348" s="13">
        <v>1137</v>
      </c>
      <c r="I348" s="13">
        <v>581</v>
      </c>
      <c r="J348" s="13">
        <v>145</v>
      </c>
    </row>
    <row r="349" spans="1:10" x14ac:dyDescent="0.25">
      <c r="A349" s="11">
        <v>2013</v>
      </c>
      <c r="B349" s="11" t="s">
        <v>270</v>
      </c>
      <c r="C349" s="13">
        <v>246</v>
      </c>
      <c r="D349" s="13">
        <v>0</v>
      </c>
      <c r="E349" s="13">
        <v>14</v>
      </c>
      <c r="F349" s="13">
        <v>47</v>
      </c>
      <c r="G349" s="13">
        <v>64</v>
      </c>
      <c r="H349" s="13">
        <v>68</v>
      </c>
      <c r="I349" s="13">
        <v>40</v>
      </c>
      <c r="J349" s="13">
        <v>13</v>
      </c>
    </row>
    <row r="350" spans="1:10" x14ac:dyDescent="0.25">
      <c r="A350" s="11">
        <v>2014</v>
      </c>
      <c r="B350" s="11" t="s">
        <v>11</v>
      </c>
      <c r="C350" s="13">
        <v>56725</v>
      </c>
      <c r="D350" s="13">
        <v>60</v>
      </c>
      <c r="E350" s="13">
        <v>2446</v>
      </c>
      <c r="F350" s="13">
        <v>9273</v>
      </c>
      <c r="G350" s="13">
        <v>15731</v>
      </c>
      <c r="H350" s="13">
        <v>17647</v>
      </c>
      <c r="I350" s="13">
        <v>9345</v>
      </c>
      <c r="J350" s="13">
        <v>2223</v>
      </c>
    </row>
    <row r="351" spans="1:10" x14ac:dyDescent="0.25">
      <c r="A351" s="11">
        <v>2014</v>
      </c>
      <c r="B351" s="11" t="s">
        <v>260</v>
      </c>
      <c r="C351" s="13">
        <v>3571</v>
      </c>
      <c r="D351" s="13">
        <v>0</v>
      </c>
      <c r="E351" s="13">
        <v>195</v>
      </c>
      <c r="F351" s="13">
        <v>754</v>
      </c>
      <c r="G351" s="13">
        <v>1026</v>
      </c>
      <c r="H351" s="13">
        <v>942</v>
      </c>
      <c r="I351" s="13">
        <v>515</v>
      </c>
      <c r="J351" s="13">
        <v>139</v>
      </c>
    </row>
    <row r="352" spans="1:10" x14ac:dyDescent="0.25">
      <c r="A352" s="11">
        <v>2014</v>
      </c>
      <c r="B352" s="11" t="s">
        <v>261</v>
      </c>
      <c r="C352" s="13">
        <v>1081</v>
      </c>
      <c r="D352" s="13">
        <v>0</v>
      </c>
      <c r="E352" s="13">
        <v>52</v>
      </c>
      <c r="F352" s="13">
        <v>178</v>
      </c>
      <c r="G352" s="13">
        <v>310</v>
      </c>
      <c r="H352" s="13">
        <v>340</v>
      </c>
      <c r="I352" s="13">
        <v>146</v>
      </c>
      <c r="J352" s="13">
        <v>55</v>
      </c>
    </row>
    <row r="353" spans="1:10" x14ac:dyDescent="0.25">
      <c r="A353" s="11">
        <v>2014</v>
      </c>
      <c r="B353" s="11" t="s">
        <v>233</v>
      </c>
      <c r="C353" s="13">
        <v>1286</v>
      </c>
      <c r="D353" s="13">
        <v>0</v>
      </c>
      <c r="E353" s="13">
        <v>76</v>
      </c>
      <c r="F353" s="13">
        <v>275</v>
      </c>
      <c r="G353" s="13">
        <v>368</v>
      </c>
      <c r="H353" s="13">
        <v>343</v>
      </c>
      <c r="I353" s="13">
        <v>176</v>
      </c>
      <c r="J353" s="13">
        <v>48</v>
      </c>
    </row>
    <row r="354" spans="1:10" x14ac:dyDescent="0.25">
      <c r="A354" s="11">
        <v>2014</v>
      </c>
      <c r="B354" s="11" t="s">
        <v>240</v>
      </c>
      <c r="C354" s="13">
        <v>3889</v>
      </c>
      <c r="D354" s="13">
        <v>0</v>
      </c>
      <c r="E354" s="13">
        <v>239</v>
      </c>
      <c r="F354" s="13">
        <v>761</v>
      </c>
      <c r="G354" s="13">
        <v>1109</v>
      </c>
      <c r="H354" s="13">
        <v>1113</v>
      </c>
      <c r="I354" s="13">
        <v>531</v>
      </c>
      <c r="J354" s="13">
        <v>136</v>
      </c>
    </row>
    <row r="355" spans="1:10" x14ac:dyDescent="0.25">
      <c r="A355" s="11">
        <v>2014</v>
      </c>
      <c r="B355" s="11" t="s">
        <v>262</v>
      </c>
      <c r="C355" s="13">
        <v>3114</v>
      </c>
      <c r="D355" s="13">
        <v>0</v>
      </c>
      <c r="E355" s="13">
        <v>161</v>
      </c>
      <c r="F355" s="13">
        <v>580</v>
      </c>
      <c r="G355" s="13">
        <v>823</v>
      </c>
      <c r="H355" s="13">
        <v>900</v>
      </c>
      <c r="I355" s="13">
        <v>539</v>
      </c>
      <c r="J355" s="13">
        <v>111</v>
      </c>
    </row>
    <row r="356" spans="1:10" x14ac:dyDescent="0.25">
      <c r="A356" s="11">
        <v>2014</v>
      </c>
      <c r="B356" s="11" t="s">
        <v>263</v>
      </c>
      <c r="C356" s="13">
        <v>6332</v>
      </c>
      <c r="D356" s="13">
        <v>0</v>
      </c>
      <c r="E356" s="13">
        <v>191</v>
      </c>
      <c r="F356" s="13">
        <v>896</v>
      </c>
      <c r="G356" s="13">
        <v>1823</v>
      </c>
      <c r="H356" s="13">
        <v>2124</v>
      </c>
      <c r="I356" s="13">
        <v>1062</v>
      </c>
      <c r="J356" s="13">
        <v>236</v>
      </c>
    </row>
    <row r="357" spans="1:10" x14ac:dyDescent="0.25">
      <c r="A357" s="11">
        <v>2014</v>
      </c>
      <c r="B357" s="11" t="s">
        <v>264</v>
      </c>
      <c r="C357" s="13">
        <v>12788</v>
      </c>
      <c r="D357" s="13">
        <v>22</v>
      </c>
      <c r="E357" s="13">
        <v>490</v>
      </c>
      <c r="F357" s="13">
        <v>1944</v>
      </c>
      <c r="G357" s="13">
        <v>3545</v>
      </c>
      <c r="H357" s="13">
        <v>4125</v>
      </c>
      <c r="I357" s="13">
        <v>2160</v>
      </c>
      <c r="J357" s="13">
        <v>502</v>
      </c>
    </row>
    <row r="358" spans="1:10" x14ac:dyDescent="0.25">
      <c r="A358" s="11">
        <v>2014</v>
      </c>
      <c r="B358" s="11" t="s">
        <v>242</v>
      </c>
      <c r="C358" s="13">
        <v>3037</v>
      </c>
      <c r="D358" s="13">
        <v>1</v>
      </c>
      <c r="E358" s="13">
        <v>148</v>
      </c>
      <c r="F358" s="13">
        <v>559</v>
      </c>
      <c r="G358" s="13">
        <v>848</v>
      </c>
      <c r="H358" s="13">
        <v>857</v>
      </c>
      <c r="I358" s="13">
        <v>504</v>
      </c>
      <c r="J358" s="13">
        <v>120</v>
      </c>
    </row>
    <row r="359" spans="1:10" x14ac:dyDescent="0.25">
      <c r="A359" s="11">
        <v>2014</v>
      </c>
      <c r="B359" s="11" t="s">
        <v>265</v>
      </c>
      <c r="C359" s="13">
        <v>7121</v>
      </c>
      <c r="D359" s="13">
        <v>32</v>
      </c>
      <c r="E359" s="13">
        <v>326</v>
      </c>
      <c r="F359" s="13">
        <v>1159</v>
      </c>
      <c r="G359" s="13">
        <v>2053</v>
      </c>
      <c r="H359" s="13">
        <v>2252</v>
      </c>
      <c r="I359" s="13">
        <v>1074</v>
      </c>
      <c r="J359" s="13">
        <v>225</v>
      </c>
    </row>
    <row r="360" spans="1:10" x14ac:dyDescent="0.25">
      <c r="A360" s="11">
        <v>2014</v>
      </c>
      <c r="B360" s="11" t="s">
        <v>266</v>
      </c>
      <c r="C360" s="13">
        <v>9628</v>
      </c>
      <c r="D360" s="13">
        <v>5</v>
      </c>
      <c r="E360" s="13">
        <v>354</v>
      </c>
      <c r="F360" s="13">
        <v>1296</v>
      </c>
      <c r="G360" s="13">
        <v>2352</v>
      </c>
      <c r="H360" s="13">
        <v>3231</v>
      </c>
      <c r="I360" s="13">
        <v>1908</v>
      </c>
      <c r="J360" s="13">
        <v>482</v>
      </c>
    </row>
    <row r="361" spans="1:10" x14ac:dyDescent="0.25">
      <c r="A361" s="11">
        <v>2014</v>
      </c>
      <c r="B361" s="11" t="s">
        <v>267</v>
      </c>
      <c r="C361" s="13">
        <v>181</v>
      </c>
      <c r="D361" s="13">
        <v>0</v>
      </c>
      <c r="E361" s="13">
        <v>6</v>
      </c>
      <c r="F361" s="13">
        <v>28</v>
      </c>
      <c r="G361" s="13">
        <v>55</v>
      </c>
      <c r="H361" s="13">
        <v>57</v>
      </c>
      <c r="I361" s="13">
        <v>31</v>
      </c>
      <c r="J361" s="13">
        <v>4</v>
      </c>
    </row>
    <row r="362" spans="1:10" x14ac:dyDescent="0.25">
      <c r="A362" s="11">
        <v>2014</v>
      </c>
      <c r="B362" s="11" t="s">
        <v>268</v>
      </c>
      <c r="C362" s="13">
        <v>253</v>
      </c>
      <c r="D362" s="13">
        <v>0</v>
      </c>
      <c r="E362" s="13">
        <v>9</v>
      </c>
      <c r="F362" s="13">
        <v>35</v>
      </c>
      <c r="G362" s="13">
        <v>68</v>
      </c>
      <c r="H362" s="13">
        <v>78</v>
      </c>
      <c r="I362" s="13">
        <v>55</v>
      </c>
      <c r="J362" s="13">
        <v>8</v>
      </c>
    </row>
    <row r="363" spans="1:10" x14ac:dyDescent="0.25">
      <c r="A363" s="11">
        <v>2014</v>
      </c>
      <c r="B363" s="11" t="s">
        <v>269</v>
      </c>
      <c r="C363" s="13">
        <v>4218</v>
      </c>
      <c r="D363" s="13">
        <v>0</v>
      </c>
      <c r="E363" s="13">
        <v>192</v>
      </c>
      <c r="F363" s="13">
        <v>782</v>
      </c>
      <c r="G363" s="13">
        <v>1288</v>
      </c>
      <c r="H363" s="13">
        <v>1218</v>
      </c>
      <c r="I363" s="13">
        <v>598</v>
      </c>
      <c r="J363" s="13">
        <v>140</v>
      </c>
    </row>
    <row r="364" spans="1:10" x14ac:dyDescent="0.25">
      <c r="A364" s="11">
        <v>2014</v>
      </c>
      <c r="B364" s="11" t="s">
        <v>270</v>
      </c>
      <c r="C364" s="13">
        <v>226</v>
      </c>
      <c r="D364" s="13">
        <v>0</v>
      </c>
      <c r="E364" s="13">
        <v>7</v>
      </c>
      <c r="F364" s="13">
        <v>26</v>
      </c>
      <c r="G364" s="13">
        <v>63</v>
      </c>
      <c r="H364" s="13">
        <v>67</v>
      </c>
      <c r="I364" s="13">
        <v>46</v>
      </c>
      <c r="J364" s="13">
        <v>17</v>
      </c>
    </row>
    <row r="365" spans="1:10" x14ac:dyDescent="0.25">
      <c r="A365" s="11">
        <v>2015</v>
      </c>
      <c r="B365" s="11" t="s">
        <v>11</v>
      </c>
      <c r="C365" s="13">
        <v>55098</v>
      </c>
      <c r="D365" s="13">
        <v>8</v>
      </c>
      <c r="E365" s="13">
        <v>2126</v>
      </c>
      <c r="F365" s="13">
        <v>8643</v>
      </c>
      <c r="G365" s="13">
        <v>15315</v>
      </c>
      <c r="H365" s="13">
        <v>17453</v>
      </c>
      <c r="I365" s="13">
        <v>9454</v>
      </c>
      <c r="J365" s="13">
        <v>2099</v>
      </c>
    </row>
    <row r="366" spans="1:10" x14ac:dyDescent="0.25">
      <c r="A366" s="11">
        <v>2015</v>
      </c>
      <c r="B366" s="11" t="s">
        <v>260</v>
      </c>
      <c r="C366" s="13">
        <v>3612</v>
      </c>
      <c r="D366" s="13">
        <v>0</v>
      </c>
      <c r="E366" s="13">
        <v>171</v>
      </c>
      <c r="F366" s="13">
        <v>686</v>
      </c>
      <c r="G366" s="13">
        <v>1076</v>
      </c>
      <c r="H366" s="13">
        <v>1024</v>
      </c>
      <c r="I366" s="13">
        <v>545</v>
      </c>
      <c r="J366" s="13">
        <v>110</v>
      </c>
    </row>
    <row r="367" spans="1:10" x14ac:dyDescent="0.25">
      <c r="A367" s="11">
        <v>2015</v>
      </c>
      <c r="B367" s="11" t="s">
        <v>261</v>
      </c>
      <c r="C367" s="13">
        <v>1037</v>
      </c>
      <c r="D367" s="13">
        <v>0</v>
      </c>
      <c r="E367" s="13">
        <v>47</v>
      </c>
      <c r="F367" s="13">
        <v>190</v>
      </c>
      <c r="G367" s="13">
        <v>291</v>
      </c>
      <c r="H367" s="13">
        <v>317</v>
      </c>
      <c r="I367" s="13">
        <v>153</v>
      </c>
      <c r="J367" s="13">
        <v>39</v>
      </c>
    </row>
    <row r="368" spans="1:10" x14ac:dyDescent="0.25">
      <c r="A368" s="11">
        <v>2015</v>
      </c>
      <c r="B368" s="11" t="s">
        <v>233</v>
      </c>
      <c r="C368" s="13">
        <v>1256</v>
      </c>
      <c r="D368" s="13">
        <v>1</v>
      </c>
      <c r="E368" s="13">
        <v>46</v>
      </c>
      <c r="F368" s="13">
        <v>252</v>
      </c>
      <c r="G368" s="13">
        <v>421</v>
      </c>
      <c r="H368" s="13">
        <v>340</v>
      </c>
      <c r="I368" s="13">
        <v>162</v>
      </c>
      <c r="J368" s="13">
        <v>34</v>
      </c>
    </row>
    <row r="369" spans="1:10" x14ac:dyDescent="0.25">
      <c r="A369" s="11">
        <v>2015</v>
      </c>
      <c r="B369" s="11" t="s">
        <v>240</v>
      </c>
      <c r="C369" s="13">
        <v>3755</v>
      </c>
      <c r="D369" s="13">
        <v>1</v>
      </c>
      <c r="E369" s="13">
        <v>195</v>
      </c>
      <c r="F369" s="13">
        <v>717</v>
      </c>
      <c r="G369" s="13">
        <v>1103</v>
      </c>
      <c r="H369" s="13">
        <v>1058</v>
      </c>
      <c r="I369" s="13">
        <v>558</v>
      </c>
      <c r="J369" s="13">
        <v>123</v>
      </c>
    </row>
    <row r="370" spans="1:10" x14ac:dyDescent="0.25">
      <c r="A370" s="11">
        <v>2015</v>
      </c>
      <c r="B370" s="11" t="s">
        <v>262</v>
      </c>
      <c r="C370" s="13">
        <v>2939</v>
      </c>
      <c r="D370" s="13">
        <v>0</v>
      </c>
      <c r="E370" s="13">
        <v>131</v>
      </c>
      <c r="F370" s="13">
        <v>484</v>
      </c>
      <c r="G370" s="13">
        <v>830</v>
      </c>
      <c r="H370" s="13">
        <v>877</v>
      </c>
      <c r="I370" s="13">
        <v>512</v>
      </c>
      <c r="J370" s="13">
        <v>105</v>
      </c>
    </row>
    <row r="371" spans="1:10" x14ac:dyDescent="0.25">
      <c r="A371" s="11">
        <v>2015</v>
      </c>
      <c r="B371" s="11" t="s">
        <v>263</v>
      </c>
      <c r="C371" s="13">
        <v>6405</v>
      </c>
      <c r="D371" s="13">
        <v>0</v>
      </c>
      <c r="E371" s="13">
        <v>176</v>
      </c>
      <c r="F371" s="13">
        <v>860</v>
      </c>
      <c r="G371" s="13">
        <v>1875</v>
      </c>
      <c r="H371" s="13">
        <v>2186</v>
      </c>
      <c r="I371" s="13">
        <v>1082</v>
      </c>
      <c r="J371" s="13">
        <v>226</v>
      </c>
    </row>
    <row r="372" spans="1:10" x14ac:dyDescent="0.25">
      <c r="A372" s="11">
        <v>2015</v>
      </c>
      <c r="B372" s="11" t="s">
        <v>264</v>
      </c>
      <c r="C372" s="13">
        <v>12275</v>
      </c>
      <c r="D372" s="13">
        <v>1</v>
      </c>
      <c r="E372" s="13">
        <v>445</v>
      </c>
      <c r="F372" s="13">
        <v>1819</v>
      </c>
      <c r="G372" s="13">
        <v>3274</v>
      </c>
      <c r="H372" s="13">
        <v>3996</v>
      </c>
      <c r="I372" s="13">
        <v>2191</v>
      </c>
      <c r="J372" s="13">
        <v>549</v>
      </c>
    </row>
    <row r="373" spans="1:10" x14ac:dyDescent="0.25">
      <c r="A373" s="11">
        <v>2015</v>
      </c>
      <c r="B373" s="11" t="s">
        <v>242</v>
      </c>
      <c r="C373" s="13">
        <v>2908</v>
      </c>
      <c r="D373" s="13">
        <v>2</v>
      </c>
      <c r="E373" s="13">
        <v>109</v>
      </c>
      <c r="F373" s="13">
        <v>539</v>
      </c>
      <c r="G373" s="13">
        <v>819</v>
      </c>
      <c r="H373" s="13">
        <v>842</v>
      </c>
      <c r="I373" s="13">
        <v>481</v>
      </c>
      <c r="J373" s="13">
        <v>116</v>
      </c>
    </row>
    <row r="374" spans="1:10" x14ac:dyDescent="0.25">
      <c r="A374" s="11">
        <v>2015</v>
      </c>
      <c r="B374" s="11" t="s">
        <v>265</v>
      </c>
      <c r="C374" s="13">
        <v>6901</v>
      </c>
      <c r="D374" s="13">
        <v>1</v>
      </c>
      <c r="E374" s="13">
        <v>306</v>
      </c>
      <c r="F374" s="13">
        <v>1145</v>
      </c>
      <c r="G374" s="13">
        <v>1940</v>
      </c>
      <c r="H374" s="13">
        <v>2172</v>
      </c>
      <c r="I374" s="13">
        <v>1098</v>
      </c>
      <c r="J374" s="13">
        <v>239</v>
      </c>
    </row>
    <row r="375" spans="1:10" x14ac:dyDescent="0.25">
      <c r="A375" s="11">
        <v>2015</v>
      </c>
      <c r="B375" s="11" t="s">
        <v>266</v>
      </c>
      <c r="C375" s="13">
        <v>9386</v>
      </c>
      <c r="D375" s="13">
        <v>2</v>
      </c>
      <c r="E375" s="13">
        <v>303</v>
      </c>
      <c r="F375" s="13">
        <v>1161</v>
      </c>
      <c r="G375" s="13">
        <v>2384</v>
      </c>
      <c r="H375" s="13">
        <v>3193</v>
      </c>
      <c r="I375" s="13">
        <v>1952</v>
      </c>
      <c r="J375" s="13">
        <v>391</v>
      </c>
    </row>
    <row r="376" spans="1:10" x14ac:dyDescent="0.25">
      <c r="A376" s="11">
        <v>2015</v>
      </c>
      <c r="B376" s="11" t="s">
        <v>267</v>
      </c>
      <c r="C376" s="13">
        <v>191</v>
      </c>
      <c r="D376" s="13">
        <v>0</v>
      </c>
      <c r="E376" s="13">
        <v>3</v>
      </c>
      <c r="F376" s="13">
        <v>26</v>
      </c>
      <c r="G376" s="13">
        <v>54</v>
      </c>
      <c r="H376" s="13">
        <v>62</v>
      </c>
      <c r="I376" s="13">
        <v>34</v>
      </c>
      <c r="J376" s="13">
        <v>12</v>
      </c>
    </row>
    <row r="377" spans="1:10" x14ac:dyDescent="0.25">
      <c r="A377" s="11">
        <v>2015</v>
      </c>
      <c r="B377" s="11" t="s">
        <v>268</v>
      </c>
      <c r="C377" s="13">
        <v>234</v>
      </c>
      <c r="D377" s="13">
        <v>0</v>
      </c>
      <c r="E377" s="13">
        <v>8</v>
      </c>
      <c r="F377" s="13">
        <v>34</v>
      </c>
      <c r="G377" s="13">
        <v>70</v>
      </c>
      <c r="H377" s="13">
        <v>63</v>
      </c>
      <c r="I377" s="13">
        <v>53</v>
      </c>
      <c r="J377" s="13">
        <v>6</v>
      </c>
    </row>
    <row r="378" spans="1:10" x14ac:dyDescent="0.25">
      <c r="A378" s="11">
        <v>2015</v>
      </c>
      <c r="B378" s="11" t="s">
        <v>269</v>
      </c>
      <c r="C378" s="13">
        <v>3977</v>
      </c>
      <c r="D378" s="13">
        <v>0</v>
      </c>
      <c r="E378" s="13">
        <v>174</v>
      </c>
      <c r="F378" s="13">
        <v>696</v>
      </c>
      <c r="G378" s="13">
        <v>1121</v>
      </c>
      <c r="H378" s="13">
        <v>1258</v>
      </c>
      <c r="I378" s="13">
        <v>591</v>
      </c>
      <c r="J378" s="13">
        <v>137</v>
      </c>
    </row>
    <row r="379" spans="1:10" x14ac:dyDescent="0.25">
      <c r="A379" s="11">
        <v>2015</v>
      </c>
      <c r="B379" s="11" t="s">
        <v>270</v>
      </c>
      <c r="C379" s="13">
        <v>222</v>
      </c>
      <c r="D379" s="13">
        <v>0</v>
      </c>
      <c r="E379" s="13">
        <v>12</v>
      </c>
      <c r="F379" s="13">
        <v>34</v>
      </c>
      <c r="G379" s="13">
        <v>57</v>
      </c>
      <c r="H379" s="13">
        <v>65</v>
      </c>
      <c r="I379" s="13">
        <v>42</v>
      </c>
      <c r="J379" s="13">
        <v>12</v>
      </c>
    </row>
    <row r="380" spans="1:10" x14ac:dyDescent="0.25">
      <c r="A380" s="11">
        <v>2016</v>
      </c>
      <c r="B380" s="11" t="s">
        <v>11</v>
      </c>
      <c r="C380" s="13">
        <v>54488</v>
      </c>
      <c r="D380" s="13">
        <v>17</v>
      </c>
      <c r="E380" s="13">
        <v>1974</v>
      </c>
      <c r="F380" s="13">
        <v>8282</v>
      </c>
      <c r="G380" s="13">
        <v>14976</v>
      </c>
      <c r="H380" s="13">
        <v>17490</v>
      </c>
      <c r="I380" s="13">
        <v>9556</v>
      </c>
      <c r="J380" s="13">
        <v>2193</v>
      </c>
    </row>
    <row r="381" spans="1:10" x14ac:dyDescent="0.25">
      <c r="A381" s="11">
        <v>2016</v>
      </c>
      <c r="B381" s="11" t="s">
        <v>260</v>
      </c>
      <c r="C381" s="13">
        <v>3495</v>
      </c>
      <c r="D381" s="13">
        <v>1</v>
      </c>
      <c r="E381" s="13">
        <v>179</v>
      </c>
      <c r="F381" s="13">
        <v>689</v>
      </c>
      <c r="G381" s="13">
        <v>1006</v>
      </c>
      <c r="H381" s="13">
        <v>1011</v>
      </c>
      <c r="I381" s="13">
        <v>496</v>
      </c>
      <c r="J381" s="13">
        <v>113</v>
      </c>
    </row>
    <row r="382" spans="1:10" x14ac:dyDescent="0.25">
      <c r="A382" s="11">
        <v>2016</v>
      </c>
      <c r="B382" s="11" t="s">
        <v>261</v>
      </c>
      <c r="C382" s="13">
        <v>1005</v>
      </c>
      <c r="D382" s="13">
        <v>1</v>
      </c>
      <c r="E382" s="13">
        <v>40</v>
      </c>
      <c r="F382" s="13">
        <v>155</v>
      </c>
      <c r="G382" s="13">
        <v>282</v>
      </c>
      <c r="H382" s="13">
        <v>300</v>
      </c>
      <c r="I382" s="13">
        <v>177</v>
      </c>
      <c r="J382" s="13">
        <v>50</v>
      </c>
    </row>
    <row r="383" spans="1:10" x14ac:dyDescent="0.25">
      <c r="A383" s="11">
        <v>2016</v>
      </c>
      <c r="B383" s="11" t="s">
        <v>233</v>
      </c>
      <c r="C383" s="13">
        <v>1318</v>
      </c>
      <c r="D383" s="13">
        <v>0</v>
      </c>
      <c r="E383" s="13">
        <v>76</v>
      </c>
      <c r="F383" s="13">
        <v>260</v>
      </c>
      <c r="G383" s="13">
        <v>408</v>
      </c>
      <c r="H383" s="13">
        <v>370</v>
      </c>
      <c r="I383" s="13">
        <v>152</v>
      </c>
      <c r="J383" s="13">
        <v>52</v>
      </c>
    </row>
    <row r="384" spans="1:10" x14ac:dyDescent="0.25">
      <c r="A384" s="11">
        <v>2016</v>
      </c>
      <c r="B384" s="11" t="s">
        <v>240</v>
      </c>
      <c r="C384" s="13">
        <v>3739</v>
      </c>
      <c r="D384" s="13">
        <v>1</v>
      </c>
      <c r="E384" s="13">
        <v>187</v>
      </c>
      <c r="F384" s="13">
        <v>690</v>
      </c>
      <c r="G384" s="13">
        <v>1110</v>
      </c>
      <c r="H384" s="13">
        <v>1045</v>
      </c>
      <c r="I384" s="13">
        <v>577</v>
      </c>
      <c r="J384" s="13">
        <v>129</v>
      </c>
    </row>
    <row r="385" spans="1:10" x14ac:dyDescent="0.25">
      <c r="A385" s="11">
        <v>2016</v>
      </c>
      <c r="B385" s="11" t="s">
        <v>262</v>
      </c>
      <c r="C385" s="13">
        <v>2877</v>
      </c>
      <c r="D385" s="13">
        <v>0</v>
      </c>
      <c r="E385" s="13">
        <v>108</v>
      </c>
      <c r="F385" s="13">
        <v>533</v>
      </c>
      <c r="G385" s="13">
        <v>756</v>
      </c>
      <c r="H385" s="13">
        <v>879</v>
      </c>
      <c r="I385" s="13">
        <v>486</v>
      </c>
      <c r="J385" s="13">
        <v>115</v>
      </c>
    </row>
    <row r="386" spans="1:10" x14ac:dyDescent="0.25">
      <c r="A386" s="11">
        <v>2016</v>
      </c>
      <c r="B386" s="11" t="s">
        <v>263</v>
      </c>
      <c r="C386" s="13">
        <v>6271</v>
      </c>
      <c r="D386" s="13">
        <v>1</v>
      </c>
      <c r="E386" s="13">
        <v>178</v>
      </c>
      <c r="F386" s="13">
        <v>871</v>
      </c>
      <c r="G386" s="13">
        <v>1753</v>
      </c>
      <c r="H386" s="13">
        <v>2155</v>
      </c>
      <c r="I386" s="13">
        <v>1069</v>
      </c>
      <c r="J386" s="13">
        <v>244</v>
      </c>
    </row>
    <row r="387" spans="1:10" x14ac:dyDescent="0.25">
      <c r="A387" s="11">
        <v>2016</v>
      </c>
      <c r="B387" s="11" t="s">
        <v>264</v>
      </c>
      <c r="C387" s="13">
        <v>12082</v>
      </c>
      <c r="D387" s="13">
        <v>6</v>
      </c>
      <c r="E387" s="13">
        <v>373</v>
      </c>
      <c r="F387" s="13">
        <v>1655</v>
      </c>
      <c r="G387" s="13">
        <v>3263</v>
      </c>
      <c r="H387" s="13">
        <v>4016</v>
      </c>
      <c r="I387" s="13">
        <v>2258</v>
      </c>
      <c r="J387" s="13">
        <v>511</v>
      </c>
    </row>
    <row r="388" spans="1:10" x14ac:dyDescent="0.25">
      <c r="A388" s="11">
        <v>2016</v>
      </c>
      <c r="B388" s="11" t="s">
        <v>242</v>
      </c>
      <c r="C388" s="13">
        <v>2849</v>
      </c>
      <c r="D388" s="13">
        <v>4</v>
      </c>
      <c r="E388" s="13">
        <v>109</v>
      </c>
      <c r="F388" s="13">
        <v>491</v>
      </c>
      <c r="G388" s="13">
        <v>787</v>
      </c>
      <c r="H388" s="13">
        <v>827</v>
      </c>
      <c r="I388" s="13">
        <v>495</v>
      </c>
      <c r="J388" s="13">
        <v>136</v>
      </c>
    </row>
    <row r="389" spans="1:10" x14ac:dyDescent="0.25">
      <c r="A389" s="11">
        <v>2016</v>
      </c>
      <c r="B389" s="11" t="s">
        <v>265</v>
      </c>
      <c r="C389" s="13">
        <v>6826</v>
      </c>
      <c r="D389" s="13">
        <v>1</v>
      </c>
      <c r="E389" s="13">
        <v>277</v>
      </c>
      <c r="F389" s="13">
        <v>1036</v>
      </c>
      <c r="G389" s="13">
        <v>1912</v>
      </c>
      <c r="H389" s="13">
        <v>2240</v>
      </c>
      <c r="I389" s="13">
        <v>1115</v>
      </c>
      <c r="J389" s="13">
        <v>245</v>
      </c>
    </row>
    <row r="390" spans="1:10" x14ac:dyDescent="0.25">
      <c r="A390" s="11">
        <v>2016</v>
      </c>
      <c r="B390" s="11" t="s">
        <v>266</v>
      </c>
      <c r="C390" s="13">
        <v>9418</v>
      </c>
      <c r="D390" s="13">
        <v>2</v>
      </c>
      <c r="E390" s="13">
        <v>262</v>
      </c>
      <c r="F390" s="13">
        <v>1124</v>
      </c>
      <c r="G390" s="13">
        <v>2371</v>
      </c>
      <c r="H390" s="13">
        <v>3209</v>
      </c>
      <c r="I390" s="13">
        <v>2012</v>
      </c>
      <c r="J390" s="13">
        <v>438</v>
      </c>
    </row>
    <row r="391" spans="1:10" x14ac:dyDescent="0.25">
      <c r="A391" s="11">
        <v>2016</v>
      </c>
      <c r="B391" s="11" t="s">
        <v>267</v>
      </c>
      <c r="C391" s="13">
        <v>178</v>
      </c>
      <c r="D391" s="13">
        <v>0</v>
      </c>
      <c r="E391" s="13">
        <v>5</v>
      </c>
      <c r="F391" s="13">
        <v>34</v>
      </c>
      <c r="G391" s="13">
        <v>58</v>
      </c>
      <c r="H391" s="13">
        <v>48</v>
      </c>
      <c r="I391" s="13">
        <v>26</v>
      </c>
      <c r="J391" s="13">
        <v>7</v>
      </c>
    </row>
    <row r="392" spans="1:10" x14ac:dyDescent="0.25">
      <c r="A392" s="11">
        <v>2016</v>
      </c>
      <c r="B392" s="11" t="s">
        <v>268</v>
      </c>
      <c r="C392" s="13">
        <v>266</v>
      </c>
      <c r="D392" s="13">
        <v>0</v>
      </c>
      <c r="E392" s="13">
        <v>8</v>
      </c>
      <c r="F392" s="13">
        <v>34</v>
      </c>
      <c r="G392" s="13">
        <v>79</v>
      </c>
      <c r="H392" s="13">
        <v>83</v>
      </c>
      <c r="I392" s="13">
        <v>48</v>
      </c>
      <c r="J392" s="13">
        <v>14</v>
      </c>
    </row>
    <row r="393" spans="1:10" x14ac:dyDescent="0.25">
      <c r="A393" s="11">
        <v>2016</v>
      </c>
      <c r="B393" s="11" t="s">
        <v>269</v>
      </c>
      <c r="C393" s="13">
        <v>3926</v>
      </c>
      <c r="D393" s="13">
        <v>0</v>
      </c>
      <c r="E393" s="13">
        <v>163</v>
      </c>
      <c r="F393" s="13">
        <v>678</v>
      </c>
      <c r="G393" s="13">
        <v>1123</v>
      </c>
      <c r="H393" s="13">
        <v>1238</v>
      </c>
      <c r="I393" s="13">
        <v>598</v>
      </c>
      <c r="J393" s="13">
        <v>126</v>
      </c>
    </row>
    <row r="394" spans="1:10" x14ac:dyDescent="0.25">
      <c r="A394" s="11">
        <v>2016</v>
      </c>
      <c r="B394" s="11" t="s">
        <v>270</v>
      </c>
      <c r="C394" s="13">
        <v>238</v>
      </c>
      <c r="D394" s="13">
        <v>0</v>
      </c>
      <c r="E394" s="13">
        <v>9</v>
      </c>
      <c r="F394" s="13">
        <v>32</v>
      </c>
      <c r="G394" s="13">
        <v>68</v>
      </c>
      <c r="H394" s="13">
        <v>69</v>
      </c>
      <c r="I394" s="13">
        <v>47</v>
      </c>
      <c r="J394" s="13">
        <v>13</v>
      </c>
    </row>
    <row r="395" spans="1:10" x14ac:dyDescent="0.25">
      <c r="A395" s="11">
        <v>2017</v>
      </c>
      <c r="B395" s="11" t="s">
        <v>11</v>
      </c>
      <c r="C395" s="13">
        <v>52861</v>
      </c>
      <c r="D395" s="13">
        <v>1</v>
      </c>
      <c r="E395" s="13">
        <v>1838</v>
      </c>
      <c r="F395" s="13">
        <v>7720</v>
      </c>
      <c r="G395" s="13">
        <v>14537</v>
      </c>
      <c r="H395" s="13">
        <v>16955</v>
      </c>
      <c r="I395" s="13">
        <v>9745</v>
      </c>
      <c r="J395" s="13">
        <v>2065</v>
      </c>
    </row>
    <row r="396" spans="1:10" x14ac:dyDescent="0.25">
      <c r="A396" s="11">
        <v>2017</v>
      </c>
      <c r="B396" s="11" t="s">
        <v>260</v>
      </c>
      <c r="C396" s="13">
        <v>3281</v>
      </c>
      <c r="D396" s="13">
        <v>0</v>
      </c>
      <c r="E396" s="13">
        <v>152</v>
      </c>
      <c r="F396" s="13">
        <v>612</v>
      </c>
      <c r="G396" s="13">
        <v>1014</v>
      </c>
      <c r="H396" s="13">
        <v>907</v>
      </c>
      <c r="I396" s="13">
        <v>492</v>
      </c>
      <c r="J396" s="13">
        <v>104</v>
      </c>
    </row>
    <row r="397" spans="1:10" x14ac:dyDescent="0.25">
      <c r="A397" s="11">
        <v>2017</v>
      </c>
      <c r="B397" s="11" t="s">
        <v>261</v>
      </c>
      <c r="C397" s="13">
        <v>989</v>
      </c>
      <c r="D397" s="13">
        <v>0</v>
      </c>
      <c r="E397" s="13">
        <v>31</v>
      </c>
      <c r="F397" s="13">
        <v>141</v>
      </c>
      <c r="G397" s="13">
        <v>289</v>
      </c>
      <c r="H397" s="13">
        <v>328</v>
      </c>
      <c r="I397" s="13">
        <v>157</v>
      </c>
      <c r="J397" s="13">
        <v>43</v>
      </c>
    </row>
    <row r="398" spans="1:10" x14ac:dyDescent="0.25">
      <c r="A398" s="11">
        <v>2017</v>
      </c>
      <c r="B398" s="11" t="s">
        <v>233</v>
      </c>
      <c r="C398" s="13">
        <v>1248</v>
      </c>
      <c r="D398" s="13">
        <v>0</v>
      </c>
      <c r="E398" s="13">
        <v>53</v>
      </c>
      <c r="F398" s="13">
        <v>235</v>
      </c>
      <c r="G398" s="13">
        <v>382</v>
      </c>
      <c r="H398" s="13">
        <v>337</v>
      </c>
      <c r="I398" s="13">
        <v>209</v>
      </c>
      <c r="J398" s="13">
        <v>32</v>
      </c>
    </row>
    <row r="399" spans="1:10" x14ac:dyDescent="0.25">
      <c r="A399" s="11">
        <v>2017</v>
      </c>
      <c r="B399" s="11" t="s">
        <v>240</v>
      </c>
      <c r="C399" s="13">
        <v>3465</v>
      </c>
      <c r="D399" s="13">
        <v>0</v>
      </c>
      <c r="E399" s="13">
        <v>188</v>
      </c>
      <c r="F399" s="13">
        <v>625</v>
      </c>
      <c r="G399" s="13">
        <v>1006</v>
      </c>
      <c r="H399" s="13">
        <v>999</v>
      </c>
      <c r="I399" s="13">
        <v>537</v>
      </c>
      <c r="J399" s="13">
        <v>110</v>
      </c>
    </row>
    <row r="400" spans="1:10" x14ac:dyDescent="0.25">
      <c r="A400" s="11">
        <v>2017</v>
      </c>
      <c r="B400" s="11" t="s">
        <v>262</v>
      </c>
      <c r="C400" s="13">
        <v>2907</v>
      </c>
      <c r="D400" s="13">
        <v>0</v>
      </c>
      <c r="E400" s="13">
        <v>122</v>
      </c>
      <c r="F400" s="13">
        <v>467</v>
      </c>
      <c r="G400" s="13">
        <v>818</v>
      </c>
      <c r="H400" s="13">
        <v>885</v>
      </c>
      <c r="I400" s="13">
        <v>495</v>
      </c>
      <c r="J400" s="13">
        <v>120</v>
      </c>
    </row>
    <row r="401" spans="1:10" x14ac:dyDescent="0.25">
      <c r="A401" s="11">
        <v>2017</v>
      </c>
      <c r="B401" s="11" t="s">
        <v>263</v>
      </c>
      <c r="C401" s="13">
        <v>5917</v>
      </c>
      <c r="D401" s="13">
        <v>0</v>
      </c>
      <c r="E401" s="13">
        <v>156</v>
      </c>
      <c r="F401" s="13">
        <v>779</v>
      </c>
      <c r="G401" s="13">
        <v>1756</v>
      </c>
      <c r="H401" s="13">
        <v>1998</v>
      </c>
      <c r="I401" s="13">
        <v>1026</v>
      </c>
      <c r="J401" s="13">
        <v>202</v>
      </c>
    </row>
    <row r="402" spans="1:10" x14ac:dyDescent="0.25">
      <c r="A402" s="11">
        <v>2017</v>
      </c>
      <c r="B402" s="11" t="s">
        <v>264</v>
      </c>
      <c r="C402" s="13">
        <v>12126</v>
      </c>
      <c r="D402" s="13">
        <v>1</v>
      </c>
      <c r="E402" s="13">
        <v>368</v>
      </c>
      <c r="F402" s="13">
        <v>1628</v>
      </c>
      <c r="G402" s="13">
        <v>3201</v>
      </c>
      <c r="H402" s="13">
        <v>4008</v>
      </c>
      <c r="I402" s="13">
        <v>2420</v>
      </c>
      <c r="J402" s="13">
        <v>500</v>
      </c>
    </row>
    <row r="403" spans="1:10" x14ac:dyDescent="0.25">
      <c r="A403" s="11">
        <v>2017</v>
      </c>
      <c r="B403" s="11" t="s">
        <v>242</v>
      </c>
      <c r="C403" s="13">
        <v>2754</v>
      </c>
      <c r="D403" s="13">
        <v>0</v>
      </c>
      <c r="E403" s="13">
        <v>91</v>
      </c>
      <c r="F403" s="13">
        <v>414</v>
      </c>
      <c r="G403" s="13">
        <v>803</v>
      </c>
      <c r="H403" s="13">
        <v>839</v>
      </c>
      <c r="I403" s="13">
        <v>498</v>
      </c>
      <c r="J403" s="13">
        <v>109</v>
      </c>
    </row>
    <row r="404" spans="1:10" x14ac:dyDescent="0.25">
      <c r="A404" s="11">
        <v>2017</v>
      </c>
      <c r="B404" s="11" t="s">
        <v>265</v>
      </c>
      <c r="C404" s="13">
        <v>6763</v>
      </c>
      <c r="D404" s="13">
        <v>0</v>
      </c>
      <c r="E404" s="13">
        <v>267</v>
      </c>
      <c r="F404" s="13">
        <v>1016</v>
      </c>
      <c r="G404" s="13">
        <v>1886</v>
      </c>
      <c r="H404" s="13">
        <v>2126</v>
      </c>
      <c r="I404" s="13">
        <v>1222</v>
      </c>
      <c r="J404" s="13">
        <v>246</v>
      </c>
    </row>
    <row r="405" spans="1:10" x14ac:dyDescent="0.25">
      <c r="A405" s="11">
        <v>2017</v>
      </c>
      <c r="B405" s="11" t="s">
        <v>266</v>
      </c>
      <c r="C405" s="13">
        <v>9037</v>
      </c>
      <c r="D405" s="13">
        <v>0</v>
      </c>
      <c r="E405" s="13">
        <v>241</v>
      </c>
      <c r="F405" s="13">
        <v>1099</v>
      </c>
      <c r="G405" s="13">
        <v>2150</v>
      </c>
      <c r="H405" s="13">
        <v>3133</v>
      </c>
      <c r="I405" s="13">
        <v>1971</v>
      </c>
      <c r="J405" s="13">
        <v>443</v>
      </c>
    </row>
    <row r="406" spans="1:10" x14ac:dyDescent="0.25">
      <c r="A406" s="11">
        <v>2017</v>
      </c>
      <c r="B406" s="11" t="s">
        <v>267</v>
      </c>
      <c r="C406" s="13">
        <v>184</v>
      </c>
      <c r="D406" s="13">
        <v>0</v>
      </c>
      <c r="E406" s="13">
        <v>3</v>
      </c>
      <c r="F406" s="13">
        <v>18</v>
      </c>
      <c r="G406" s="13">
        <v>50</v>
      </c>
      <c r="H406" s="13">
        <v>71</v>
      </c>
      <c r="I406" s="13">
        <v>29</v>
      </c>
      <c r="J406" s="13">
        <v>13</v>
      </c>
    </row>
    <row r="407" spans="1:10" x14ac:dyDescent="0.25">
      <c r="A407" s="11">
        <v>2017</v>
      </c>
      <c r="B407" s="11" t="s">
        <v>268</v>
      </c>
      <c r="C407" s="13">
        <v>218</v>
      </c>
      <c r="D407" s="13">
        <v>0</v>
      </c>
      <c r="E407" s="13">
        <v>0</v>
      </c>
      <c r="F407" s="13">
        <v>29</v>
      </c>
      <c r="G407" s="13">
        <v>64</v>
      </c>
      <c r="H407" s="13">
        <v>79</v>
      </c>
      <c r="I407" s="13">
        <v>35</v>
      </c>
      <c r="J407" s="13">
        <v>11</v>
      </c>
    </row>
    <row r="408" spans="1:10" x14ac:dyDescent="0.25">
      <c r="A408" s="11">
        <v>2017</v>
      </c>
      <c r="B408" s="11" t="s">
        <v>269</v>
      </c>
      <c r="C408" s="13">
        <v>3757</v>
      </c>
      <c r="D408" s="13">
        <v>0</v>
      </c>
      <c r="E408" s="13">
        <v>160</v>
      </c>
      <c r="F408" s="13">
        <v>638</v>
      </c>
      <c r="G408" s="13">
        <v>1062</v>
      </c>
      <c r="H408" s="13">
        <v>1175</v>
      </c>
      <c r="I408" s="13">
        <v>602</v>
      </c>
      <c r="J408" s="13">
        <v>120</v>
      </c>
    </row>
    <row r="409" spans="1:10" x14ac:dyDescent="0.25">
      <c r="A409" s="11">
        <v>2017</v>
      </c>
      <c r="B409" s="11" t="s">
        <v>270</v>
      </c>
      <c r="C409" s="13">
        <v>215</v>
      </c>
      <c r="D409" s="13">
        <v>0</v>
      </c>
      <c r="E409" s="13">
        <v>6</v>
      </c>
      <c r="F409" s="13">
        <v>19</v>
      </c>
      <c r="G409" s="13">
        <v>56</v>
      </c>
      <c r="H409" s="13">
        <v>70</v>
      </c>
      <c r="I409" s="13">
        <v>52</v>
      </c>
      <c r="J409" s="13">
        <v>12</v>
      </c>
    </row>
    <row r="410" spans="1:10" x14ac:dyDescent="0.25">
      <c r="A410" s="11">
        <v>2018</v>
      </c>
      <c r="B410" s="11" t="s">
        <v>11</v>
      </c>
      <c r="C410" s="13">
        <v>51308</v>
      </c>
      <c r="D410" s="13">
        <v>2</v>
      </c>
      <c r="E410" s="13">
        <v>1614</v>
      </c>
      <c r="F410" s="13">
        <v>7187</v>
      </c>
      <c r="G410" s="13">
        <v>14080</v>
      </c>
      <c r="H410" s="13">
        <v>16658</v>
      </c>
      <c r="I410" s="13">
        <v>9614</v>
      </c>
      <c r="J410" s="13">
        <v>2153</v>
      </c>
    </row>
    <row r="411" spans="1:10" x14ac:dyDescent="0.25">
      <c r="A411" s="11">
        <v>2018</v>
      </c>
      <c r="B411" s="11" t="s">
        <v>260</v>
      </c>
      <c r="C411" s="13">
        <v>3233</v>
      </c>
      <c r="D411" s="13">
        <v>2</v>
      </c>
      <c r="E411" s="13">
        <v>143</v>
      </c>
      <c r="F411" s="13">
        <v>570</v>
      </c>
      <c r="G411" s="13">
        <v>921</v>
      </c>
      <c r="H411" s="13">
        <v>1000</v>
      </c>
      <c r="I411" s="13">
        <v>502</v>
      </c>
      <c r="J411" s="13">
        <v>95</v>
      </c>
    </row>
    <row r="412" spans="1:10" x14ac:dyDescent="0.25">
      <c r="A412" s="11">
        <v>2018</v>
      </c>
      <c r="B412" s="11" t="s">
        <v>261</v>
      </c>
      <c r="C412" s="13">
        <v>984</v>
      </c>
      <c r="D412" s="13">
        <v>0</v>
      </c>
      <c r="E412" s="13">
        <v>23</v>
      </c>
      <c r="F412" s="13">
        <v>136</v>
      </c>
      <c r="G412" s="13">
        <v>292</v>
      </c>
      <c r="H412" s="13">
        <v>304</v>
      </c>
      <c r="I412" s="13">
        <v>190</v>
      </c>
      <c r="J412" s="13">
        <v>39</v>
      </c>
    </row>
    <row r="413" spans="1:10" x14ac:dyDescent="0.25">
      <c r="A413" s="11">
        <v>2018</v>
      </c>
      <c r="B413" s="11" t="s">
        <v>233</v>
      </c>
      <c r="C413" s="13">
        <v>1198</v>
      </c>
      <c r="D413" s="13">
        <v>0</v>
      </c>
      <c r="E413" s="13">
        <v>44</v>
      </c>
      <c r="F413" s="13">
        <v>238</v>
      </c>
      <c r="G413" s="13">
        <v>363</v>
      </c>
      <c r="H413" s="13">
        <v>356</v>
      </c>
      <c r="I413" s="13">
        <v>151</v>
      </c>
      <c r="J413" s="13">
        <v>46</v>
      </c>
    </row>
    <row r="414" spans="1:10" x14ac:dyDescent="0.25">
      <c r="A414" s="11">
        <v>2018</v>
      </c>
      <c r="B414" s="11" t="s">
        <v>240</v>
      </c>
      <c r="C414" s="13">
        <v>3479</v>
      </c>
      <c r="D414" s="13">
        <v>0</v>
      </c>
      <c r="E414" s="13">
        <v>159</v>
      </c>
      <c r="F414" s="13">
        <v>604</v>
      </c>
      <c r="G414" s="13">
        <v>1009</v>
      </c>
      <c r="H414" s="13">
        <v>1041</v>
      </c>
      <c r="I414" s="13">
        <v>552</v>
      </c>
      <c r="J414" s="13">
        <v>114</v>
      </c>
    </row>
    <row r="415" spans="1:10" x14ac:dyDescent="0.25">
      <c r="A415" s="11">
        <v>2018</v>
      </c>
      <c r="B415" s="11" t="s">
        <v>262</v>
      </c>
      <c r="C415" s="13">
        <v>2715</v>
      </c>
      <c r="D415" s="13">
        <v>0</v>
      </c>
      <c r="E415" s="13">
        <v>70</v>
      </c>
      <c r="F415" s="13">
        <v>422</v>
      </c>
      <c r="G415" s="13">
        <v>792</v>
      </c>
      <c r="H415" s="13">
        <v>823</v>
      </c>
      <c r="I415" s="13">
        <v>490</v>
      </c>
      <c r="J415" s="13">
        <v>118</v>
      </c>
    </row>
    <row r="416" spans="1:10" x14ac:dyDescent="0.25">
      <c r="A416" s="11">
        <v>2018</v>
      </c>
      <c r="B416" s="11" t="s">
        <v>263</v>
      </c>
      <c r="C416" s="13">
        <v>5859</v>
      </c>
      <c r="D416" s="13">
        <v>0</v>
      </c>
      <c r="E416" s="13">
        <v>127</v>
      </c>
      <c r="F416" s="13">
        <v>768</v>
      </c>
      <c r="G416" s="13">
        <v>1637</v>
      </c>
      <c r="H416" s="13">
        <v>1973</v>
      </c>
      <c r="I416" s="13">
        <v>1111</v>
      </c>
      <c r="J416" s="13">
        <v>243</v>
      </c>
    </row>
    <row r="417" spans="1:10" x14ac:dyDescent="0.25">
      <c r="A417" s="11">
        <v>2018</v>
      </c>
      <c r="B417" s="11" t="s">
        <v>264</v>
      </c>
      <c r="C417" s="13">
        <v>11623</v>
      </c>
      <c r="D417" s="13">
        <v>0</v>
      </c>
      <c r="E417" s="13">
        <v>338</v>
      </c>
      <c r="F417" s="13">
        <v>1519</v>
      </c>
      <c r="G417" s="13">
        <v>3083</v>
      </c>
      <c r="H417" s="13">
        <v>3898</v>
      </c>
      <c r="I417" s="13">
        <v>2254</v>
      </c>
      <c r="J417" s="13">
        <v>531</v>
      </c>
    </row>
    <row r="418" spans="1:10" x14ac:dyDescent="0.25">
      <c r="A418" s="11">
        <v>2018</v>
      </c>
      <c r="B418" s="11" t="s">
        <v>242</v>
      </c>
      <c r="C418" s="13">
        <v>2653</v>
      </c>
      <c r="D418" s="13">
        <v>0</v>
      </c>
      <c r="E418" s="13">
        <v>91</v>
      </c>
      <c r="F418" s="13">
        <v>414</v>
      </c>
      <c r="G418" s="13">
        <v>768</v>
      </c>
      <c r="H418" s="13">
        <v>785</v>
      </c>
      <c r="I418" s="13">
        <v>494</v>
      </c>
      <c r="J418" s="13">
        <v>101</v>
      </c>
    </row>
    <row r="419" spans="1:10" x14ac:dyDescent="0.25">
      <c r="A419" s="11">
        <v>2018</v>
      </c>
      <c r="B419" s="11" t="s">
        <v>265</v>
      </c>
      <c r="C419" s="13">
        <v>6540</v>
      </c>
      <c r="D419" s="13">
        <v>0</v>
      </c>
      <c r="E419" s="13">
        <v>253</v>
      </c>
      <c r="F419" s="13">
        <v>951</v>
      </c>
      <c r="G419" s="13">
        <v>1876</v>
      </c>
      <c r="H419" s="13">
        <v>2088</v>
      </c>
      <c r="I419" s="13">
        <v>1126</v>
      </c>
      <c r="J419" s="13">
        <v>246</v>
      </c>
    </row>
    <row r="420" spans="1:10" x14ac:dyDescent="0.25">
      <c r="A420" s="11">
        <v>2018</v>
      </c>
      <c r="B420" s="11" t="s">
        <v>266</v>
      </c>
      <c r="C420" s="13">
        <v>8748</v>
      </c>
      <c r="D420" s="13">
        <v>0</v>
      </c>
      <c r="E420" s="13">
        <v>215</v>
      </c>
      <c r="F420" s="13">
        <v>899</v>
      </c>
      <c r="G420" s="13">
        <v>2136</v>
      </c>
      <c r="H420" s="13">
        <v>3058</v>
      </c>
      <c r="I420" s="13">
        <v>1990</v>
      </c>
      <c r="J420" s="13">
        <v>450</v>
      </c>
    </row>
    <row r="421" spans="1:10" x14ac:dyDescent="0.25">
      <c r="A421" s="11">
        <v>2018</v>
      </c>
      <c r="B421" s="11" t="s">
        <v>267</v>
      </c>
      <c r="C421" s="13">
        <v>186</v>
      </c>
      <c r="D421" s="13">
        <v>0</v>
      </c>
      <c r="E421" s="13">
        <v>0</v>
      </c>
      <c r="F421" s="13">
        <v>18</v>
      </c>
      <c r="G421" s="13">
        <v>59</v>
      </c>
      <c r="H421" s="13">
        <v>71</v>
      </c>
      <c r="I421" s="13">
        <v>33</v>
      </c>
      <c r="J421" s="13">
        <v>5</v>
      </c>
    </row>
    <row r="422" spans="1:10" x14ac:dyDescent="0.25">
      <c r="A422" s="11">
        <v>2018</v>
      </c>
      <c r="B422" s="11" t="s">
        <v>268</v>
      </c>
      <c r="C422" s="13">
        <v>215</v>
      </c>
      <c r="D422" s="13">
        <v>0</v>
      </c>
      <c r="E422" s="13">
        <v>3</v>
      </c>
      <c r="F422" s="13">
        <v>32</v>
      </c>
      <c r="G422" s="13">
        <v>58</v>
      </c>
      <c r="H422" s="13">
        <v>66</v>
      </c>
      <c r="I422" s="13">
        <v>43</v>
      </c>
      <c r="J422" s="13">
        <v>13</v>
      </c>
    </row>
    <row r="423" spans="1:10" x14ac:dyDescent="0.25">
      <c r="A423" s="11">
        <v>2018</v>
      </c>
      <c r="B423" s="11" t="s">
        <v>269</v>
      </c>
      <c r="C423" s="13">
        <v>3669</v>
      </c>
      <c r="D423" s="13">
        <v>0</v>
      </c>
      <c r="E423" s="13">
        <v>144</v>
      </c>
      <c r="F423" s="13">
        <v>584</v>
      </c>
      <c r="G423" s="13">
        <v>1045</v>
      </c>
      <c r="H423" s="13">
        <v>1130</v>
      </c>
      <c r="I423" s="13">
        <v>632</v>
      </c>
      <c r="J423" s="13">
        <v>134</v>
      </c>
    </row>
    <row r="424" spans="1:10" x14ac:dyDescent="0.25">
      <c r="A424" s="11">
        <v>2018</v>
      </c>
      <c r="B424" s="11" t="s">
        <v>270</v>
      </c>
      <c r="C424" s="13">
        <v>206</v>
      </c>
      <c r="D424" s="13">
        <v>0</v>
      </c>
      <c r="E424" s="13">
        <v>4</v>
      </c>
      <c r="F424" s="13">
        <v>32</v>
      </c>
      <c r="G424" s="13">
        <v>41</v>
      </c>
      <c r="H424" s="13">
        <v>65</v>
      </c>
      <c r="I424" s="13">
        <v>46</v>
      </c>
      <c r="J424" s="13">
        <v>18</v>
      </c>
    </row>
    <row r="425" spans="1:10" x14ac:dyDescent="0.25">
      <c r="A425" s="11">
        <v>2019</v>
      </c>
      <c r="B425" s="11" t="s">
        <v>11</v>
      </c>
      <c r="C425" s="13">
        <v>49863</v>
      </c>
      <c r="D425" s="13">
        <v>6</v>
      </c>
      <c r="E425" s="13">
        <v>1449</v>
      </c>
      <c r="F425" s="13">
        <v>6707</v>
      </c>
      <c r="G425" s="13">
        <v>13574</v>
      </c>
      <c r="H425" s="13">
        <v>16562</v>
      </c>
      <c r="I425" s="13">
        <v>9479</v>
      </c>
      <c r="J425" s="13">
        <v>2086</v>
      </c>
    </row>
    <row r="426" spans="1:10" x14ac:dyDescent="0.25">
      <c r="A426" s="11">
        <v>2019</v>
      </c>
      <c r="B426" s="11" t="s">
        <v>260</v>
      </c>
      <c r="C426" s="13">
        <v>3137</v>
      </c>
      <c r="D426" s="13">
        <v>0</v>
      </c>
      <c r="E426" s="13">
        <v>131</v>
      </c>
      <c r="F426" s="13">
        <v>545</v>
      </c>
      <c r="G426" s="13">
        <v>949</v>
      </c>
      <c r="H426" s="13">
        <v>952</v>
      </c>
      <c r="I426" s="13">
        <v>457</v>
      </c>
      <c r="J426" s="13">
        <v>103</v>
      </c>
    </row>
    <row r="427" spans="1:10" x14ac:dyDescent="0.25">
      <c r="A427" s="11">
        <v>2019</v>
      </c>
      <c r="B427" s="11" t="s">
        <v>261</v>
      </c>
      <c r="C427" s="13">
        <v>916</v>
      </c>
      <c r="D427" s="13">
        <v>0</v>
      </c>
      <c r="E427" s="13">
        <v>33</v>
      </c>
      <c r="F427" s="13">
        <v>119</v>
      </c>
      <c r="G427" s="13">
        <v>247</v>
      </c>
      <c r="H427" s="13">
        <v>299</v>
      </c>
      <c r="I427" s="13">
        <v>167</v>
      </c>
      <c r="J427" s="13">
        <v>51</v>
      </c>
    </row>
    <row r="428" spans="1:10" x14ac:dyDescent="0.25">
      <c r="A428" s="11">
        <v>2019</v>
      </c>
      <c r="B428" s="11" t="s">
        <v>233</v>
      </c>
      <c r="C428" s="13">
        <v>1153</v>
      </c>
      <c r="D428" s="13">
        <v>0</v>
      </c>
      <c r="E428" s="13">
        <v>36</v>
      </c>
      <c r="F428" s="13">
        <v>215</v>
      </c>
      <c r="G428" s="13">
        <v>370</v>
      </c>
      <c r="H428" s="13">
        <v>341</v>
      </c>
      <c r="I428" s="13">
        <v>157</v>
      </c>
      <c r="J428" s="13">
        <v>34</v>
      </c>
    </row>
    <row r="429" spans="1:10" x14ac:dyDescent="0.25">
      <c r="A429" s="11">
        <v>2019</v>
      </c>
      <c r="B429" s="11" t="s">
        <v>240</v>
      </c>
      <c r="C429" s="13">
        <v>3325</v>
      </c>
      <c r="D429" s="13">
        <v>0</v>
      </c>
      <c r="E429" s="13">
        <v>145</v>
      </c>
      <c r="F429" s="13">
        <v>558</v>
      </c>
      <c r="G429" s="13">
        <v>975</v>
      </c>
      <c r="H429" s="13">
        <v>1016</v>
      </c>
      <c r="I429" s="13">
        <v>525</v>
      </c>
      <c r="J429" s="13">
        <v>106</v>
      </c>
    </row>
    <row r="430" spans="1:10" x14ac:dyDescent="0.25">
      <c r="A430" s="11">
        <v>2019</v>
      </c>
      <c r="B430" s="11" t="s">
        <v>262</v>
      </c>
      <c r="C430" s="13">
        <v>2611</v>
      </c>
      <c r="D430" s="13">
        <v>0</v>
      </c>
      <c r="E430" s="13">
        <v>82</v>
      </c>
      <c r="F430" s="13">
        <v>381</v>
      </c>
      <c r="G430" s="13">
        <v>739</v>
      </c>
      <c r="H430" s="13">
        <v>828</v>
      </c>
      <c r="I430" s="13">
        <v>491</v>
      </c>
      <c r="J430" s="13">
        <v>90</v>
      </c>
    </row>
    <row r="431" spans="1:10" x14ac:dyDescent="0.25">
      <c r="A431" s="11">
        <v>2019</v>
      </c>
      <c r="B431" s="11" t="s">
        <v>263</v>
      </c>
      <c r="C431" s="13">
        <v>5476</v>
      </c>
      <c r="D431" s="13">
        <v>0</v>
      </c>
      <c r="E431" s="13">
        <v>108</v>
      </c>
      <c r="F431" s="13">
        <v>608</v>
      </c>
      <c r="G431" s="13">
        <v>1568</v>
      </c>
      <c r="H431" s="13">
        <v>1919</v>
      </c>
      <c r="I431" s="13">
        <v>1053</v>
      </c>
      <c r="J431" s="13">
        <v>220</v>
      </c>
    </row>
    <row r="432" spans="1:10" x14ac:dyDescent="0.25">
      <c r="A432" s="11">
        <v>2019</v>
      </c>
      <c r="B432" s="11" t="s">
        <v>264</v>
      </c>
      <c r="C432" s="13">
        <v>11424</v>
      </c>
      <c r="D432" s="13">
        <v>4</v>
      </c>
      <c r="E432" s="13">
        <v>285</v>
      </c>
      <c r="F432" s="13">
        <v>1433</v>
      </c>
      <c r="G432" s="13">
        <v>2990</v>
      </c>
      <c r="H432" s="13">
        <v>3935</v>
      </c>
      <c r="I432" s="13">
        <v>2265</v>
      </c>
      <c r="J432" s="13">
        <v>512</v>
      </c>
    </row>
    <row r="433" spans="1:10" x14ac:dyDescent="0.25">
      <c r="A433" s="11">
        <v>2019</v>
      </c>
      <c r="B433" s="11" t="s">
        <v>242</v>
      </c>
      <c r="C433" s="13">
        <v>2597</v>
      </c>
      <c r="D433" s="13">
        <v>1</v>
      </c>
      <c r="E433" s="13">
        <v>77</v>
      </c>
      <c r="F433" s="13">
        <v>393</v>
      </c>
      <c r="G433" s="13">
        <v>726</v>
      </c>
      <c r="H433" s="13">
        <v>800</v>
      </c>
      <c r="I433" s="13">
        <v>489</v>
      </c>
      <c r="J433" s="13">
        <v>111</v>
      </c>
    </row>
    <row r="434" spans="1:10" x14ac:dyDescent="0.25">
      <c r="A434" s="11">
        <v>2019</v>
      </c>
      <c r="B434" s="11" t="s">
        <v>265</v>
      </c>
      <c r="C434" s="13">
        <v>6547</v>
      </c>
      <c r="D434" s="13">
        <v>0</v>
      </c>
      <c r="E434" s="13">
        <v>212</v>
      </c>
      <c r="F434" s="13">
        <v>926</v>
      </c>
      <c r="G434" s="13">
        <v>1809</v>
      </c>
      <c r="H434" s="13">
        <v>2156</v>
      </c>
      <c r="I434" s="13">
        <v>1208</v>
      </c>
      <c r="J434" s="13">
        <v>236</v>
      </c>
    </row>
    <row r="435" spans="1:10" x14ac:dyDescent="0.25">
      <c r="A435" s="11">
        <v>2019</v>
      </c>
      <c r="B435" s="11" t="s">
        <v>266</v>
      </c>
      <c r="C435" s="13">
        <v>8511</v>
      </c>
      <c r="D435" s="13">
        <v>0</v>
      </c>
      <c r="E435" s="13">
        <v>200</v>
      </c>
      <c r="F435" s="13">
        <v>907</v>
      </c>
      <c r="G435" s="13">
        <v>2005</v>
      </c>
      <c r="H435" s="13">
        <v>3019</v>
      </c>
      <c r="I435" s="13">
        <v>1928</v>
      </c>
      <c r="J435" s="13">
        <v>452</v>
      </c>
    </row>
    <row r="436" spans="1:10" x14ac:dyDescent="0.25">
      <c r="A436" s="11">
        <v>2019</v>
      </c>
      <c r="B436" s="11" t="s">
        <v>267</v>
      </c>
      <c r="C436" s="13">
        <v>182</v>
      </c>
      <c r="D436" s="13">
        <v>0</v>
      </c>
      <c r="E436" s="13">
        <v>3</v>
      </c>
      <c r="F436" s="13">
        <v>18</v>
      </c>
      <c r="G436" s="13">
        <v>54</v>
      </c>
      <c r="H436" s="13">
        <v>61</v>
      </c>
      <c r="I436" s="13">
        <v>35</v>
      </c>
      <c r="J436" s="13">
        <v>11</v>
      </c>
    </row>
    <row r="437" spans="1:10" x14ac:dyDescent="0.25">
      <c r="A437" s="11">
        <v>2019</v>
      </c>
      <c r="B437" s="11" t="s">
        <v>268</v>
      </c>
      <c r="C437" s="13">
        <v>205</v>
      </c>
      <c r="D437" s="13">
        <v>0</v>
      </c>
      <c r="E437" s="13">
        <v>5</v>
      </c>
      <c r="F437" s="13">
        <v>26</v>
      </c>
      <c r="G437" s="13">
        <v>59</v>
      </c>
      <c r="H437" s="13">
        <v>64</v>
      </c>
      <c r="I437" s="13">
        <v>42</v>
      </c>
      <c r="J437" s="13">
        <v>9</v>
      </c>
    </row>
    <row r="438" spans="1:10" x14ac:dyDescent="0.25">
      <c r="A438" s="11">
        <v>2019</v>
      </c>
      <c r="B438" s="11" t="s">
        <v>269</v>
      </c>
      <c r="C438" s="13">
        <v>3579</v>
      </c>
      <c r="D438" s="13">
        <v>1</v>
      </c>
      <c r="E438" s="13">
        <v>126</v>
      </c>
      <c r="F438" s="13">
        <v>551</v>
      </c>
      <c r="G438" s="13">
        <v>1022</v>
      </c>
      <c r="H438" s="13">
        <v>1113</v>
      </c>
      <c r="I438" s="13">
        <v>626</v>
      </c>
      <c r="J438" s="13">
        <v>140</v>
      </c>
    </row>
    <row r="439" spans="1:10" x14ac:dyDescent="0.25">
      <c r="A439" s="11">
        <v>2019</v>
      </c>
      <c r="B439" s="11" t="s">
        <v>270</v>
      </c>
      <c r="C439" s="13">
        <v>200</v>
      </c>
      <c r="D439" s="13">
        <v>0</v>
      </c>
      <c r="E439" s="13">
        <v>6</v>
      </c>
      <c r="F439" s="13">
        <v>27</v>
      </c>
      <c r="G439" s="13">
        <v>61</v>
      </c>
      <c r="H439" s="13">
        <v>59</v>
      </c>
      <c r="I439" s="13">
        <v>36</v>
      </c>
      <c r="J439" s="13">
        <v>11</v>
      </c>
    </row>
    <row r="440" spans="1:10" x14ac:dyDescent="0.25">
      <c r="A440" s="11">
        <v>2020</v>
      </c>
      <c r="B440" s="11" t="s">
        <v>11</v>
      </c>
      <c r="C440" s="13">
        <v>46809</v>
      </c>
      <c r="D440" s="13">
        <v>7</v>
      </c>
      <c r="E440" s="13">
        <v>1281</v>
      </c>
      <c r="F440" s="13">
        <v>6201</v>
      </c>
      <c r="G440" s="13">
        <v>12558</v>
      </c>
      <c r="H440" s="13">
        <v>15715</v>
      </c>
      <c r="I440" s="13">
        <v>8979</v>
      </c>
      <c r="J440" s="13">
        <v>2068</v>
      </c>
    </row>
    <row r="441" spans="1:10" x14ac:dyDescent="0.25">
      <c r="A441" s="11">
        <v>2020</v>
      </c>
      <c r="B441" s="11" t="s">
        <v>260</v>
      </c>
      <c r="C441" s="13">
        <v>3037</v>
      </c>
      <c r="D441" s="13">
        <v>0</v>
      </c>
      <c r="E441" s="13">
        <v>105</v>
      </c>
      <c r="F441" s="13">
        <v>552</v>
      </c>
      <c r="G441" s="13">
        <v>867</v>
      </c>
      <c r="H441" s="13">
        <v>927</v>
      </c>
      <c r="I441" s="13">
        <v>473</v>
      </c>
      <c r="J441" s="13">
        <v>113</v>
      </c>
    </row>
    <row r="442" spans="1:10" x14ac:dyDescent="0.25">
      <c r="A442" s="11">
        <v>2020</v>
      </c>
      <c r="B442" s="11" t="s">
        <v>261</v>
      </c>
      <c r="C442" s="13">
        <v>845</v>
      </c>
      <c r="D442" s="13">
        <v>0</v>
      </c>
      <c r="E442" s="13">
        <v>21</v>
      </c>
      <c r="F442" s="13">
        <v>111</v>
      </c>
      <c r="G442" s="13">
        <v>246</v>
      </c>
      <c r="H442" s="13">
        <v>290</v>
      </c>
      <c r="I442" s="13">
        <v>149</v>
      </c>
      <c r="J442" s="13">
        <v>28</v>
      </c>
    </row>
    <row r="443" spans="1:10" x14ac:dyDescent="0.25">
      <c r="A443" s="11">
        <v>2020</v>
      </c>
      <c r="B443" s="11" t="s">
        <v>233</v>
      </c>
      <c r="C443" s="13">
        <v>1137</v>
      </c>
      <c r="D443" s="13">
        <v>1</v>
      </c>
      <c r="E443" s="13">
        <v>43</v>
      </c>
      <c r="F443" s="13">
        <v>186</v>
      </c>
      <c r="G443" s="13">
        <v>356</v>
      </c>
      <c r="H443" s="13">
        <v>330</v>
      </c>
      <c r="I443" s="13">
        <v>182</v>
      </c>
      <c r="J443" s="13">
        <v>39</v>
      </c>
    </row>
    <row r="444" spans="1:10" x14ac:dyDescent="0.25">
      <c r="A444" s="11">
        <v>2020</v>
      </c>
      <c r="B444" s="11" t="s">
        <v>240</v>
      </c>
      <c r="C444" s="13">
        <v>3144</v>
      </c>
      <c r="D444" s="13">
        <v>1</v>
      </c>
      <c r="E444" s="13">
        <v>142</v>
      </c>
      <c r="F444" s="13">
        <v>518</v>
      </c>
      <c r="G444" s="13">
        <v>855</v>
      </c>
      <c r="H444" s="13">
        <v>1014</v>
      </c>
      <c r="I444" s="13">
        <v>493</v>
      </c>
      <c r="J444" s="13">
        <v>121</v>
      </c>
    </row>
    <row r="445" spans="1:10" x14ac:dyDescent="0.25">
      <c r="A445" s="11">
        <v>2020</v>
      </c>
      <c r="B445" s="11" t="s">
        <v>262</v>
      </c>
      <c r="C445" s="13">
        <v>2572</v>
      </c>
      <c r="D445" s="13">
        <v>0</v>
      </c>
      <c r="E445" s="13">
        <v>79</v>
      </c>
      <c r="F445" s="13">
        <v>368</v>
      </c>
      <c r="G445" s="13">
        <v>748</v>
      </c>
      <c r="H445" s="13">
        <v>802</v>
      </c>
      <c r="I445" s="13">
        <v>480</v>
      </c>
      <c r="J445" s="13">
        <v>95</v>
      </c>
    </row>
    <row r="446" spans="1:10" x14ac:dyDescent="0.25">
      <c r="A446" s="11">
        <v>2020</v>
      </c>
      <c r="B446" s="11" t="s">
        <v>263</v>
      </c>
      <c r="C446" s="13">
        <v>5149</v>
      </c>
      <c r="D446" s="13">
        <v>0</v>
      </c>
      <c r="E446" s="13">
        <v>124</v>
      </c>
      <c r="F446" s="13">
        <v>592</v>
      </c>
      <c r="G446" s="13">
        <v>1478</v>
      </c>
      <c r="H446" s="13">
        <v>1784</v>
      </c>
      <c r="I446" s="13">
        <v>956</v>
      </c>
      <c r="J446" s="13">
        <v>215</v>
      </c>
    </row>
    <row r="447" spans="1:10" x14ac:dyDescent="0.25">
      <c r="A447" s="11">
        <v>2020</v>
      </c>
      <c r="B447" s="11" t="s">
        <v>264</v>
      </c>
      <c r="C447" s="13">
        <v>10473</v>
      </c>
      <c r="D447" s="13">
        <v>2</v>
      </c>
      <c r="E447" s="13">
        <v>257</v>
      </c>
      <c r="F447" s="13">
        <v>1274</v>
      </c>
      <c r="G447" s="13">
        <v>2713</v>
      </c>
      <c r="H447" s="13">
        <v>3605</v>
      </c>
      <c r="I447" s="13">
        <v>2127</v>
      </c>
      <c r="J447" s="13">
        <v>495</v>
      </c>
    </row>
    <row r="448" spans="1:10" x14ac:dyDescent="0.25">
      <c r="A448" s="11">
        <v>2020</v>
      </c>
      <c r="B448" s="11" t="s">
        <v>242</v>
      </c>
      <c r="C448" s="13">
        <v>2457</v>
      </c>
      <c r="D448" s="13">
        <v>0</v>
      </c>
      <c r="E448" s="13">
        <v>60</v>
      </c>
      <c r="F448" s="13">
        <v>336</v>
      </c>
      <c r="G448" s="13">
        <v>695</v>
      </c>
      <c r="H448" s="13">
        <v>779</v>
      </c>
      <c r="I448" s="13">
        <v>455</v>
      </c>
      <c r="J448" s="13">
        <v>132</v>
      </c>
    </row>
    <row r="449" spans="1:10" x14ac:dyDescent="0.25">
      <c r="A449" s="11">
        <v>2020</v>
      </c>
      <c r="B449" s="11" t="s">
        <v>265</v>
      </c>
      <c r="C449" s="13">
        <v>5969</v>
      </c>
      <c r="D449" s="13">
        <v>2</v>
      </c>
      <c r="E449" s="13">
        <v>180</v>
      </c>
      <c r="F449" s="13">
        <v>871</v>
      </c>
      <c r="G449" s="13">
        <v>1697</v>
      </c>
      <c r="H449" s="13">
        <v>1926</v>
      </c>
      <c r="I449" s="13">
        <v>1096</v>
      </c>
      <c r="J449" s="13">
        <v>197</v>
      </c>
    </row>
    <row r="450" spans="1:10" x14ac:dyDescent="0.25">
      <c r="A450" s="11">
        <v>2020</v>
      </c>
      <c r="B450" s="11" t="s">
        <v>266</v>
      </c>
      <c r="C450" s="13">
        <v>8151</v>
      </c>
      <c r="D450" s="13">
        <v>1</v>
      </c>
      <c r="E450" s="13">
        <v>151</v>
      </c>
      <c r="F450" s="13">
        <v>802</v>
      </c>
      <c r="G450" s="13">
        <v>1808</v>
      </c>
      <c r="H450" s="13">
        <v>3004</v>
      </c>
      <c r="I450" s="13">
        <v>1907</v>
      </c>
      <c r="J450" s="13">
        <v>478</v>
      </c>
    </row>
    <row r="451" spans="1:10" x14ac:dyDescent="0.25">
      <c r="A451" s="11">
        <v>2020</v>
      </c>
      <c r="B451" s="11" t="s">
        <v>267</v>
      </c>
      <c r="C451" s="13">
        <v>183</v>
      </c>
      <c r="D451" s="13">
        <v>0</v>
      </c>
      <c r="E451" s="13">
        <v>1</v>
      </c>
      <c r="F451" s="13">
        <v>17</v>
      </c>
      <c r="G451" s="13">
        <v>51</v>
      </c>
      <c r="H451" s="13">
        <v>68</v>
      </c>
      <c r="I451" s="13">
        <v>39</v>
      </c>
      <c r="J451" s="13">
        <v>7</v>
      </c>
    </row>
    <row r="452" spans="1:10" x14ac:dyDescent="0.25">
      <c r="A452" s="11">
        <v>2020</v>
      </c>
      <c r="B452" s="11" t="s">
        <v>268</v>
      </c>
      <c r="C452" s="13">
        <v>176</v>
      </c>
      <c r="D452" s="13">
        <v>0</v>
      </c>
      <c r="E452" s="13">
        <v>3</v>
      </c>
      <c r="F452" s="13">
        <v>16</v>
      </c>
      <c r="G452" s="13">
        <v>60</v>
      </c>
      <c r="H452" s="13">
        <v>67</v>
      </c>
      <c r="I452" s="13">
        <v>22</v>
      </c>
      <c r="J452" s="13">
        <v>8</v>
      </c>
    </row>
    <row r="453" spans="1:10" x14ac:dyDescent="0.25">
      <c r="A453" s="11">
        <v>2020</v>
      </c>
      <c r="B453" s="11" t="s">
        <v>269</v>
      </c>
      <c r="C453" s="13">
        <v>3333</v>
      </c>
      <c r="D453" s="13">
        <v>0</v>
      </c>
      <c r="E453" s="13">
        <v>111</v>
      </c>
      <c r="F453" s="13">
        <v>529</v>
      </c>
      <c r="G453" s="13">
        <v>949</v>
      </c>
      <c r="H453" s="13">
        <v>1055</v>
      </c>
      <c r="I453" s="13">
        <v>566</v>
      </c>
      <c r="J453" s="13">
        <v>123</v>
      </c>
    </row>
    <row r="454" spans="1:10" x14ac:dyDescent="0.25">
      <c r="A454" s="11">
        <v>2020</v>
      </c>
      <c r="B454" s="11" t="s">
        <v>270</v>
      </c>
      <c r="C454" s="13">
        <v>183</v>
      </c>
      <c r="D454" s="13">
        <v>0</v>
      </c>
      <c r="E454" s="13">
        <v>4</v>
      </c>
      <c r="F454" s="13">
        <v>29</v>
      </c>
      <c r="G454" s="13">
        <v>35</v>
      </c>
      <c r="H454" s="13">
        <v>64</v>
      </c>
      <c r="I454" s="13">
        <v>34</v>
      </c>
      <c r="J454" s="13">
        <v>17</v>
      </c>
    </row>
    <row r="455" spans="1:10" x14ac:dyDescent="0.25">
      <c r="A455" s="11">
        <v>2021</v>
      </c>
      <c r="B455" s="11" t="s">
        <v>11</v>
      </c>
      <c r="C455" s="13">
        <v>47786</v>
      </c>
      <c r="D455" s="13">
        <v>4</v>
      </c>
      <c r="E455" s="13">
        <v>1043</v>
      </c>
      <c r="F455" s="13">
        <v>5605</v>
      </c>
      <c r="G455" s="13">
        <v>12835</v>
      </c>
      <c r="H455" s="13">
        <v>16563</v>
      </c>
      <c r="I455" s="13">
        <v>9671</v>
      </c>
      <c r="J455" s="13">
        <v>2065</v>
      </c>
    </row>
    <row r="456" spans="1:10" x14ac:dyDescent="0.25">
      <c r="A456" s="11">
        <v>2021</v>
      </c>
      <c r="B456" s="11" t="s">
        <v>260</v>
      </c>
      <c r="C456" s="13">
        <v>2965</v>
      </c>
      <c r="D456" s="13">
        <v>0</v>
      </c>
      <c r="E456" s="13">
        <v>87</v>
      </c>
      <c r="F456" s="13">
        <v>469</v>
      </c>
      <c r="G456" s="13">
        <v>858</v>
      </c>
      <c r="H456" s="13">
        <v>967</v>
      </c>
      <c r="I456" s="13">
        <v>499</v>
      </c>
      <c r="J456" s="13">
        <v>85</v>
      </c>
    </row>
    <row r="457" spans="1:10" x14ac:dyDescent="0.25">
      <c r="A457" s="11">
        <v>2021</v>
      </c>
      <c r="B457" s="11" t="s">
        <v>261</v>
      </c>
      <c r="C457" s="13">
        <v>852</v>
      </c>
      <c r="D457" s="13">
        <v>1</v>
      </c>
      <c r="E457" s="13">
        <v>22</v>
      </c>
      <c r="F457" s="13">
        <v>102</v>
      </c>
      <c r="G457" s="13">
        <v>234</v>
      </c>
      <c r="H457" s="13">
        <v>306</v>
      </c>
      <c r="I457" s="13">
        <v>157</v>
      </c>
      <c r="J457" s="13">
        <v>30</v>
      </c>
    </row>
    <row r="458" spans="1:10" x14ac:dyDescent="0.25">
      <c r="A458" s="11">
        <v>2021</v>
      </c>
      <c r="B458" s="11" t="s">
        <v>233</v>
      </c>
      <c r="C458" s="13">
        <v>1083</v>
      </c>
      <c r="D458" s="13">
        <v>0</v>
      </c>
      <c r="E458" s="13">
        <v>28</v>
      </c>
      <c r="F458" s="13">
        <v>140</v>
      </c>
      <c r="G458" s="13">
        <v>367</v>
      </c>
      <c r="H458" s="13">
        <v>353</v>
      </c>
      <c r="I458" s="13">
        <v>159</v>
      </c>
      <c r="J458" s="13">
        <v>36</v>
      </c>
    </row>
    <row r="459" spans="1:10" x14ac:dyDescent="0.25">
      <c r="A459" s="11">
        <v>2021</v>
      </c>
      <c r="B459" s="11" t="s">
        <v>240</v>
      </c>
      <c r="C459" s="13">
        <v>3157</v>
      </c>
      <c r="D459" s="13">
        <v>0</v>
      </c>
      <c r="E459" s="13">
        <v>105</v>
      </c>
      <c r="F459" s="13">
        <v>474</v>
      </c>
      <c r="G459" s="13">
        <v>967</v>
      </c>
      <c r="H459" s="13">
        <v>969</v>
      </c>
      <c r="I459" s="13">
        <v>514</v>
      </c>
      <c r="J459" s="13">
        <v>128</v>
      </c>
    </row>
    <row r="460" spans="1:10" x14ac:dyDescent="0.25">
      <c r="A460" s="11">
        <v>2021</v>
      </c>
      <c r="B460" s="11" t="s">
        <v>262</v>
      </c>
      <c r="C460" s="13">
        <v>2634</v>
      </c>
      <c r="D460" s="13">
        <v>0</v>
      </c>
      <c r="E460" s="13">
        <v>65</v>
      </c>
      <c r="F460" s="13">
        <v>326</v>
      </c>
      <c r="G460" s="13">
        <v>764</v>
      </c>
      <c r="H460" s="13">
        <v>908</v>
      </c>
      <c r="I460" s="13">
        <v>484</v>
      </c>
      <c r="J460" s="13">
        <v>87</v>
      </c>
    </row>
    <row r="461" spans="1:10" x14ac:dyDescent="0.25">
      <c r="A461" s="11">
        <v>2021</v>
      </c>
      <c r="B461" s="11" t="s">
        <v>263</v>
      </c>
      <c r="C461" s="13">
        <v>5226</v>
      </c>
      <c r="D461" s="13">
        <v>0</v>
      </c>
      <c r="E461" s="13">
        <v>98</v>
      </c>
      <c r="F461" s="13">
        <v>568</v>
      </c>
      <c r="G461" s="13">
        <v>1466</v>
      </c>
      <c r="H461" s="13">
        <v>1821</v>
      </c>
      <c r="I461" s="13">
        <v>1038</v>
      </c>
      <c r="J461" s="13">
        <v>235</v>
      </c>
    </row>
    <row r="462" spans="1:10" x14ac:dyDescent="0.25">
      <c r="A462" s="11">
        <v>2021</v>
      </c>
      <c r="B462" s="11" t="s">
        <v>264</v>
      </c>
      <c r="C462" s="13">
        <v>10638</v>
      </c>
      <c r="D462" s="13">
        <v>1</v>
      </c>
      <c r="E462" s="13">
        <v>232</v>
      </c>
      <c r="F462" s="13">
        <v>1108</v>
      </c>
      <c r="G462" s="13">
        <v>2688</v>
      </c>
      <c r="H462" s="13">
        <v>3811</v>
      </c>
      <c r="I462" s="13">
        <v>2302</v>
      </c>
      <c r="J462" s="13">
        <v>496</v>
      </c>
    </row>
    <row r="463" spans="1:10" x14ac:dyDescent="0.25">
      <c r="A463" s="11">
        <v>2021</v>
      </c>
      <c r="B463" s="11" t="s">
        <v>242</v>
      </c>
      <c r="C463" s="13">
        <v>2484</v>
      </c>
      <c r="D463" s="13">
        <v>0</v>
      </c>
      <c r="E463" s="13">
        <v>54</v>
      </c>
      <c r="F463" s="13">
        <v>321</v>
      </c>
      <c r="G463" s="13">
        <v>719</v>
      </c>
      <c r="H463" s="13">
        <v>766</v>
      </c>
      <c r="I463" s="13">
        <v>483</v>
      </c>
      <c r="J463" s="13">
        <v>141</v>
      </c>
    </row>
    <row r="464" spans="1:10" x14ac:dyDescent="0.25">
      <c r="A464" s="11">
        <v>2021</v>
      </c>
      <c r="B464" s="11" t="s">
        <v>265</v>
      </c>
      <c r="C464" s="13">
        <v>6405</v>
      </c>
      <c r="D464" s="13">
        <v>1</v>
      </c>
      <c r="E464" s="13">
        <v>127</v>
      </c>
      <c r="F464" s="13">
        <v>853</v>
      </c>
      <c r="G464" s="13">
        <v>1774</v>
      </c>
      <c r="H464" s="13">
        <v>2180</v>
      </c>
      <c r="I464" s="13">
        <v>1220</v>
      </c>
      <c r="J464" s="13">
        <v>250</v>
      </c>
    </row>
    <row r="465" spans="1:10" x14ac:dyDescent="0.25">
      <c r="A465" s="11">
        <v>2021</v>
      </c>
      <c r="B465" s="11" t="s">
        <v>266</v>
      </c>
      <c r="C465" s="13">
        <v>8426</v>
      </c>
      <c r="D465" s="13">
        <v>1</v>
      </c>
      <c r="E465" s="13">
        <v>135</v>
      </c>
      <c r="F465" s="13">
        <v>708</v>
      </c>
      <c r="G465" s="13">
        <v>1836</v>
      </c>
      <c r="H465" s="13">
        <v>3217</v>
      </c>
      <c r="I465" s="13">
        <v>2107</v>
      </c>
      <c r="J465" s="13">
        <v>422</v>
      </c>
    </row>
    <row r="466" spans="1:10" x14ac:dyDescent="0.25">
      <c r="A466" s="11">
        <v>2021</v>
      </c>
      <c r="B466" s="11" t="s">
        <v>267</v>
      </c>
      <c r="C466" s="13">
        <v>171</v>
      </c>
      <c r="D466" s="13">
        <v>0</v>
      </c>
      <c r="E466" s="13">
        <v>2</v>
      </c>
      <c r="F466" s="13">
        <v>10</v>
      </c>
      <c r="G466" s="13">
        <v>58</v>
      </c>
      <c r="H466" s="13">
        <v>54</v>
      </c>
      <c r="I466" s="13">
        <v>35</v>
      </c>
      <c r="J466" s="13">
        <v>12</v>
      </c>
    </row>
    <row r="467" spans="1:10" x14ac:dyDescent="0.25">
      <c r="A467" s="11">
        <v>2021</v>
      </c>
      <c r="B467" s="11" t="s">
        <v>268</v>
      </c>
      <c r="C467" s="13">
        <v>200</v>
      </c>
      <c r="D467" s="13">
        <v>0</v>
      </c>
      <c r="E467" s="13">
        <v>4</v>
      </c>
      <c r="F467" s="13">
        <v>21</v>
      </c>
      <c r="G467" s="13">
        <v>62</v>
      </c>
      <c r="H467" s="13">
        <v>63</v>
      </c>
      <c r="I467" s="13">
        <v>38</v>
      </c>
      <c r="J467" s="13">
        <v>12</v>
      </c>
    </row>
    <row r="468" spans="1:10" x14ac:dyDescent="0.25">
      <c r="A468" s="11">
        <v>2021</v>
      </c>
      <c r="B468" s="11" t="s">
        <v>269</v>
      </c>
      <c r="C468" s="13">
        <v>3364</v>
      </c>
      <c r="D468" s="13">
        <v>0</v>
      </c>
      <c r="E468" s="13">
        <v>79</v>
      </c>
      <c r="F468" s="13">
        <v>485</v>
      </c>
      <c r="G468" s="13">
        <v>999</v>
      </c>
      <c r="H468" s="13">
        <v>1082</v>
      </c>
      <c r="I468" s="13">
        <v>599</v>
      </c>
      <c r="J468" s="13">
        <v>120</v>
      </c>
    </row>
    <row r="469" spans="1:10" x14ac:dyDescent="0.25">
      <c r="A469" s="11">
        <v>2021</v>
      </c>
      <c r="B469" s="11" t="s">
        <v>270</v>
      </c>
      <c r="C469" s="13">
        <v>181</v>
      </c>
      <c r="D469" s="13">
        <v>0</v>
      </c>
      <c r="E469" s="13">
        <v>5</v>
      </c>
      <c r="F469" s="13">
        <v>20</v>
      </c>
      <c r="G469" s="13">
        <v>43</v>
      </c>
      <c r="H469" s="13">
        <v>66</v>
      </c>
      <c r="I469" s="13">
        <v>36</v>
      </c>
      <c r="J469" s="13">
        <v>11</v>
      </c>
    </row>
    <row r="470" spans="1:10" x14ac:dyDescent="0.25">
      <c r="A470" s="11">
        <v>2022</v>
      </c>
      <c r="B470" s="11" t="s">
        <v>11</v>
      </c>
      <c r="C470" s="13">
        <v>46959</v>
      </c>
      <c r="D470" s="13">
        <v>3</v>
      </c>
      <c r="E470" s="13">
        <v>1090</v>
      </c>
      <c r="F470" s="13">
        <v>5534</v>
      </c>
      <c r="G470" s="13">
        <v>12303</v>
      </c>
      <c r="H470" s="13">
        <v>16273</v>
      </c>
      <c r="I470" s="13">
        <v>9537</v>
      </c>
      <c r="J470" s="13">
        <v>2219</v>
      </c>
    </row>
    <row r="471" spans="1:10" x14ac:dyDescent="0.25">
      <c r="A471" s="11">
        <v>2022</v>
      </c>
      <c r="B471" s="11" t="s">
        <v>260</v>
      </c>
      <c r="C471" s="13">
        <v>2812</v>
      </c>
      <c r="D471" s="13">
        <v>0</v>
      </c>
      <c r="E471" s="13">
        <v>92</v>
      </c>
      <c r="F471" s="13">
        <v>412</v>
      </c>
      <c r="G471" s="13">
        <v>819</v>
      </c>
      <c r="H471" s="13">
        <v>924</v>
      </c>
      <c r="I471" s="13">
        <v>465</v>
      </c>
      <c r="J471" s="13">
        <v>100</v>
      </c>
    </row>
    <row r="472" spans="1:10" x14ac:dyDescent="0.25">
      <c r="A472" s="11">
        <v>2022</v>
      </c>
      <c r="B472" s="11" t="s">
        <v>261</v>
      </c>
      <c r="C472" s="13">
        <v>847</v>
      </c>
      <c r="D472" s="13">
        <v>0</v>
      </c>
      <c r="E472" s="13">
        <v>20</v>
      </c>
      <c r="F472" s="13">
        <v>112</v>
      </c>
      <c r="G472" s="13">
        <v>212</v>
      </c>
      <c r="H472" s="13">
        <v>294</v>
      </c>
      <c r="I472" s="13">
        <v>166</v>
      </c>
      <c r="J472" s="13">
        <v>43</v>
      </c>
    </row>
    <row r="473" spans="1:10" x14ac:dyDescent="0.25">
      <c r="A473" s="11">
        <v>2022</v>
      </c>
      <c r="B473" s="11" t="s">
        <v>233</v>
      </c>
      <c r="C473" s="13">
        <v>1093</v>
      </c>
      <c r="D473" s="13">
        <v>0</v>
      </c>
      <c r="E473" s="13">
        <v>29</v>
      </c>
      <c r="F473" s="13">
        <v>152</v>
      </c>
      <c r="G473" s="13">
        <v>341</v>
      </c>
      <c r="H473" s="13">
        <v>379</v>
      </c>
      <c r="I473" s="13">
        <v>159</v>
      </c>
      <c r="J473" s="13">
        <v>33</v>
      </c>
    </row>
    <row r="474" spans="1:10" x14ac:dyDescent="0.25">
      <c r="A474" s="11">
        <v>2022</v>
      </c>
      <c r="B474" s="11" t="s">
        <v>240</v>
      </c>
      <c r="C474" s="13">
        <v>2990</v>
      </c>
      <c r="D474" s="13">
        <v>0</v>
      </c>
      <c r="E474" s="13">
        <v>96</v>
      </c>
      <c r="F474" s="13">
        <v>445</v>
      </c>
      <c r="G474" s="13">
        <v>861</v>
      </c>
      <c r="H474" s="13">
        <v>942</v>
      </c>
      <c r="I474" s="13">
        <v>530</v>
      </c>
      <c r="J474" s="13">
        <v>116</v>
      </c>
    </row>
    <row r="475" spans="1:10" x14ac:dyDescent="0.25">
      <c r="A475" s="11">
        <v>2022</v>
      </c>
      <c r="B475" s="11" t="s">
        <v>262</v>
      </c>
      <c r="C475" s="13">
        <v>2530</v>
      </c>
      <c r="D475" s="13">
        <v>0</v>
      </c>
      <c r="E475" s="13">
        <v>67</v>
      </c>
      <c r="F475" s="13">
        <v>330</v>
      </c>
      <c r="G475" s="13">
        <v>690</v>
      </c>
      <c r="H475" s="13">
        <v>845</v>
      </c>
      <c r="I475" s="13">
        <v>481</v>
      </c>
      <c r="J475" s="13">
        <v>117</v>
      </c>
    </row>
    <row r="476" spans="1:10" x14ac:dyDescent="0.25">
      <c r="A476" s="11">
        <v>2022</v>
      </c>
      <c r="B476" s="11" t="s">
        <v>263</v>
      </c>
      <c r="C476" s="13">
        <v>4834</v>
      </c>
      <c r="D476" s="13">
        <v>1</v>
      </c>
      <c r="E476" s="13">
        <v>70</v>
      </c>
      <c r="F476" s="13">
        <v>499</v>
      </c>
      <c r="G476" s="13">
        <v>1282</v>
      </c>
      <c r="H476" s="13">
        <v>1789</v>
      </c>
      <c r="I476" s="13">
        <v>979</v>
      </c>
      <c r="J476" s="13">
        <v>214</v>
      </c>
    </row>
    <row r="477" spans="1:10" x14ac:dyDescent="0.25">
      <c r="A477" s="11">
        <v>2022</v>
      </c>
      <c r="B477" s="11" t="s">
        <v>264</v>
      </c>
      <c r="C477" s="13">
        <v>10966</v>
      </c>
      <c r="D477" s="13">
        <v>2</v>
      </c>
      <c r="E477" s="13">
        <v>248</v>
      </c>
      <c r="F477" s="13">
        <v>1226</v>
      </c>
      <c r="G477" s="13">
        <v>2860</v>
      </c>
      <c r="H477" s="13">
        <v>3746</v>
      </c>
      <c r="I477" s="13">
        <v>2320</v>
      </c>
      <c r="J477" s="13">
        <v>564</v>
      </c>
    </row>
    <row r="478" spans="1:10" x14ac:dyDescent="0.25">
      <c r="A478" s="11">
        <v>2022</v>
      </c>
      <c r="B478" s="11" t="s">
        <v>242</v>
      </c>
      <c r="C478" s="13">
        <v>2488</v>
      </c>
      <c r="D478" s="13">
        <v>0</v>
      </c>
      <c r="E478" s="13">
        <v>55</v>
      </c>
      <c r="F478" s="13">
        <v>293</v>
      </c>
      <c r="G478" s="13">
        <v>680</v>
      </c>
      <c r="H478" s="13">
        <v>812</v>
      </c>
      <c r="I478" s="13">
        <v>527</v>
      </c>
      <c r="J478" s="13">
        <v>121</v>
      </c>
    </row>
    <row r="479" spans="1:10" x14ac:dyDescent="0.25">
      <c r="A479" s="11">
        <v>2022</v>
      </c>
      <c r="B479" s="11" t="s">
        <v>265</v>
      </c>
      <c r="C479" s="13">
        <v>6309</v>
      </c>
      <c r="D479" s="13">
        <v>0</v>
      </c>
      <c r="E479" s="13">
        <v>148</v>
      </c>
      <c r="F479" s="13">
        <v>819</v>
      </c>
      <c r="G479" s="13">
        <v>1752</v>
      </c>
      <c r="H479" s="13">
        <v>2151</v>
      </c>
      <c r="I479" s="13">
        <v>1186</v>
      </c>
      <c r="J479" s="13">
        <v>253</v>
      </c>
    </row>
    <row r="480" spans="1:10" x14ac:dyDescent="0.25">
      <c r="A480" s="11">
        <v>2022</v>
      </c>
      <c r="B480" s="11" t="s">
        <v>266</v>
      </c>
      <c r="C480" s="13">
        <v>8127</v>
      </c>
      <c r="D480" s="13">
        <v>0</v>
      </c>
      <c r="E480" s="13">
        <v>143</v>
      </c>
      <c r="F480" s="13">
        <v>738</v>
      </c>
      <c r="G480" s="13">
        <v>1728</v>
      </c>
      <c r="H480" s="13">
        <v>3005</v>
      </c>
      <c r="I480" s="13">
        <v>2011</v>
      </c>
      <c r="J480" s="13">
        <v>502</v>
      </c>
    </row>
    <row r="481" spans="1:10" x14ac:dyDescent="0.25">
      <c r="A481" s="11">
        <v>2022</v>
      </c>
      <c r="B481" s="11" t="s">
        <v>267</v>
      </c>
      <c r="C481" s="13">
        <v>163</v>
      </c>
      <c r="D481" s="13">
        <v>0</v>
      </c>
      <c r="E481" s="13">
        <v>2</v>
      </c>
      <c r="F481" s="13">
        <v>19</v>
      </c>
      <c r="G481" s="13">
        <v>36</v>
      </c>
      <c r="H481" s="13">
        <v>62</v>
      </c>
      <c r="I481" s="13">
        <v>33</v>
      </c>
      <c r="J481" s="13">
        <v>11</v>
      </c>
    </row>
    <row r="482" spans="1:10" x14ac:dyDescent="0.25">
      <c r="A482" s="11">
        <v>2022</v>
      </c>
      <c r="B482" s="11" t="s">
        <v>268</v>
      </c>
      <c r="C482" s="13">
        <v>207</v>
      </c>
      <c r="D482" s="13">
        <v>0</v>
      </c>
      <c r="E482" s="13">
        <v>4</v>
      </c>
      <c r="F482" s="13">
        <v>23</v>
      </c>
      <c r="G482" s="13">
        <v>64</v>
      </c>
      <c r="H482" s="13">
        <v>73</v>
      </c>
      <c r="I482" s="13">
        <v>37</v>
      </c>
      <c r="J482" s="13">
        <v>6</v>
      </c>
    </row>
    <row r="483" spans="1:10" x14ac:dyDescent="0.25">
      <c r="A483" s="11">
        <v>2022</v>
      </c>
      <c r="B483" s="11" t="s">
        <v>269</v>
      </c>
      <c r="C483" s="13">
        <v>3411</v>
      </c>
      <c r="D483" s="13">
        <v>0</v>
      </c>
      <c r="E483" s="13">
        <v>109</v>
      </c>
      <c r="F483" s="13">
        <v>453</v>
      </c>
      <c r="G483" s="13">
        <v>933</v>
      </c>
      <c r="H483" s="13">
        <v>1170</v>
      </c>
      <c r="I483" s="13">
        <v>612</v>
      </c>
      <c r="J483" s="13">
        <v>134</v>
      </c>
    </row>
    <row r="484" spans="1:10" x14ac:dyDescent="0.25">
      <c r="A484" s="11">
        <v>2022</v>
      </c>
      <c r="B484" s="11" t="s">
        <v>270</v>
      </c>
      <c r="C484" s="13">
        <v>182</v>
      </c>
      <c r="D484" s="13">
        <v>0</v>
      </c>
      <c r="E484" s="13">
        <v>7</v>
      </c>
      <c r="F484" s="13">
        <v>13</v>
      </c>
      <c r="G484" s="13">
        <v>45</v>
      </c>
      <c r="H484" s="13">
        <v>81</v>
      </c>
      <c r="I484" s="13">
        <v>31</v>
      </c>
      <c r="J484" s="13">
        <v>5</v>
      </c>
    </row>
    <row r="485" spans="1:10" x14ac:dyDescent="0.25">
      <c r="A485" s="11">
        <v>2023</v>
      </c>
      <c r="B485" s="11" t="s">
        <v>11</v>
      </c>
      <c r="C485" s="13">
        <v>45935</v>
      </c>
      <c r="D485" s="13">
        <v>7</v>
      </c>
      <c r="E485" s="13">
        <v>1139</v>
      </c>
      <c r="F485" s="13">
        <v>5283</v>
      </c>
      <c r="G485" s="13">
        <v>11765</v>
      </c>
      <c r="H485" s="13">
        <v>16238</v>
      </c>
      <c r="I485" s="13">
        <v>9330</v>
      </c>
      <c r="J485" s="13">
        <v>2173</v>
      </c>
    </row>
    <row r="486" spans="1:10" x14ac:dyDescent="0.25">
      <c r="A486" s="11">
        <v>2023</v>
      </c>
      <c r="B486" s="11" t="s">
        <v>260</v>
      </c>
      <c r="C486" s="13">
        <v>2843</v>
      </c>
      <c r="D486" s="13">
        <v>2</v>
      </c>
      <c r="E486" s="13">
        <v>101</v>
      </c>
      <c r="F486" s="13">
        <v>420</v>
      </c>
      <c r="G486" s="13">
        <v>784</v>
      </c>
      <c r="H486" s="13">
        <v>944</v>
      </c>
      <c r="I486" s="13">
        <v>497</v>
      </c>
      <c r="J486" s="13">
        <v>95</v>
      </c>
    </row>
    <row r="487" spans="1:10" x14ac:dyDescent="0.25">
      <c r="A487" s="11">
        <v>2023</v>
      </c>
      <c r="B487" s="11" t="s">
        <v>261</v>
      </c>
      <c r="C487" s="13">
        <v>825</v>
      </c>
      <c r="D487" s="13">
        <v>0</v>
      </c>
      <c r="E487" s="13">
        <v>18</v>
      </c>
      <c r="F487" s="13">
        <v>104</v>
      </c>
      <c r="G487" s="13">
        <v>210</v>
      </c>
      <c r="H487" s="13">
        <v>278</v>
      </c>
      <c r="I487" s="13">
        <v>180</v>
      </c>
      <c r="J487" s="13">
        <v>35</v>
      </c>
    </row>
    <row r="488" spans="1:10" x14ac:dyDescent="0.25">
      <c r="A488" s="11">
        <v>2023</v>
      </c>
      <c r="B488" s="11" t="s">
        <v>233</v>
      </c>
      <c r="C488" s="13">
        <v>1123</v>
      </c>
      <c r="D488" s="13">
        <v>0</v>
      </c>
      <c r="E488" s="13">
        <v>38</v>
      </c>
      <c r="F488" s="13">
        <v>155</v>
      </c>
      <c r="G488" s="13">
        <v>345</v>
      </c>
      <c r="H488" s="13">
        <v>378</v>
      </c>
      <c r="I488" s="13">
        <v>160</v>
      </c>
      <c r="J488" s="13">
        <v>47</v>
      </c>
    </row>
    <row r="489" spans="1:10" x14ac:dyDescent="0.25">
      <c r="A489" s="11">
        <v>2023</v>
      </c>
      <c r="B489" s="11" t="s">
        <v>240</v>
      </c>
      <c r="C489" s="13">
        <v>2939</v>
      </c>
      <c r="D489" s="13">
        <v>1</v>
      </c>
      <c r="E489" s="13">
        <v>101</v>
      </c>
      <c r="F489" s="13">
        <v>418</v>
      </c>
      <c r="G489" s="13">
        <v>840</v>
      </c>
      <c r="H489" s="13">
        <v>952</v>
      </c>
      <c r="I489" s="13">
        <v>519</v>
      </c>
      <c r="J489" s="13">
        <v>108</v>
      </c>
    </row>
    <row r="490" spans="1:10" x14ac:dyDescent="0.25">
      <c r="A490" s="11">
        <v>2023</v>
      </c>
      <c r="B490" s="11" t="s">
        <v>262</v>
      </c>
      <c r="C490" s="13">
        <v>2414</v>
      </c>
      <c r="D490" s="13">
        <v>1</v>
      </c>
      <c r="E490" s="13">
        <v>68</v>
      </c>
      <c r="F490" s="13">
        <v>301</v>
      </c>
      <c r="G490" s="13">
        <v>647</v>
      </c>
      <c r="H490" s="13">
        <v>838</v>
      </c>
      <c r="I490" s="13">
        <v>455</v>
      </c>
      <c r="J490" s="13">
        <v>104</v>
      </c>
    </row>
    <row r="491" spans="1:10" x14ac:dyDescent="0.25">
      <c r="A491" s="11">
        <v>2023</v>
      </c>
      <c r="B491" s="11" t="s">
        <v>263</v>
      </c>
      <c r="C491" s="13">
        <v>4924</v>
      </c>
      <c r="D491" s="13">
        <v>1</v>
      </c>
      <c r="E491" s="13">
        <v>95</v>
      </c>
      <c r="F491" s="13">
        <v>500</v>
      </c>
      <c r="G491" s="13">
        <v>1298</v>
      </c>
      <c r="H491" s="13">
        <v>1824</v>
      </c>
      <c r="I491" s="13">
        <v>968</v>
      </c>
      <c r="J491" s="13">
        <v>238</v>
      </c>
    </row>
    <row r="492" spans="1:10" x14ac:dyDescent="0.25">
      <c r="A492" s="11">
        <v>2023</v>
      </c>
      <c r="B492" s="11" t="s">
        <v>264</v>
      </c>
      <c r="C492" s="13">
        <v>10666</v>
      </c>
      <c r="D492" s="13">
        <v>1</v>
      </c>
      <c r="E492" s="13">
        <v>237</v>
      </c>
      <c r="F492" s="13">
        <v>1127</v>
      </c>
      <c r="G492" s="13">
        <v>2615</v>
      </c>
      <c r="H492" s="13">
        <v>3842</v>
      </c>
      <c r="I492" s="13">
        <v>2273</v>
      </c>
      <c r="J492" s="13">
        <v>571</v>
      </c>
    </row>
    <row r="493" spans="1:10" x14ac:dyDescent="0.25">
      <c r="A493" s="11">
        <v>2023</v>
      </c>
      <c r="B493" s="11" t="s">
        <v>242</v>
      </c>
      <c r="C493" s="13">
        <v>2367</v>
      </c>
      <c r="D493" s="13">
        <v>0</v>
      </c>
      <c r="E493" s="13">
        <v>60</v>
      </c>
      <c r="F493" s="13">
        <v>295</v>
      </c>
      <c r="G493" s="13">
        <v>621</v>
      </c>
      <c r="H493" s="13">
        <v>800</v>
      </c>
      <c r="I493" s="13">
        <v>466</v>
      </c>
      <c r="J493" s="13">
        <v>125</v>
      </c>
    </row>
    <row r="494" spans="1:10" x14ac:dyDescent="0.25">
      <c r="A494" s="11">
        <v>2023</v>
      </c>
      <c r="B494" s="11" t="s">
        <v>265</v>
      </c>
      <c r="C494" s="13">
        <v>6121</v>
      </c>
      <c r="D494" s="13">
        <v>0</v>
      </c>
      <c r="E494" s="13">
        <v>137</v>
      </c>
      <c r="F494" s="13">
        <v>745</v>
      </c>
      <c r="G494" s="13">
        <v>1708</v>
      </c>
      <c r="H494" s="13">
        <v>2078</v>
      </c>
      <c r="I494" s="13">
        <v>1200</v>
      </c>
      <c r="J494" s="13">
        <v>253</v>
      </c>
    </row>
    <row r="495" spans="1:10" x14ac:dyDescent="0.25">
      <c r="A495" s="11">
        <v>2023</v>
      </c>
      <c r="B495" s="11" t="s">
        <v>266</v>
      </c>
      <c r="C495" s="13">
        <v>7931</v>
      </c>
      <c r="D495" s="13">
        <v>1</v>
      </c>
      <c r="E495" s="13">
        <v>164</v>
      </c>
      <c r="F495" s="13">
        <v>718</v>
      </c>
      <c r="G495" s="13">
        <v>1646</v>
      </c>
      <c r="H495" s="13">
        <v>3015</v>
      </c>
      <c r="I495" s="13">
        <v>1948</v>
      </c>
      <c r="J495" s="13">
        <v>439</v>
      </c>
    </row>
    <row r="496" spans="1:10" x14ac:dyDescent="0.25">
      <c r="A496" s="11">
        <v>2023</v>
      </c>
      <c r="B496" s="11" t="s">
        <v>267</v>
      </c>
      <c r="C496" s="13">
        <v>162</v>
      </c>
      <c r="D496" s="13">
        <v>0</v>
      </c>
      <c r="E496" s="13">
        <v>4</v>
      </c>
      <c r="F496" s="13">
        <v>19</v>
      </c>
      <c r="G496" s="13">
        <v>36</v>
      </c>
      <c r="H496" s="13">
        <v>67</v>
      </c>
      <c r="I496" s="13">
        <v>30</v>
      </c>
      <c r="J496" s="13">
        <v>6</v>
      </c>
    </row>
    <row r="497" spans="1:10" x14ac:dyDescent="0.25">
      <c r="A497" s="11">
        <v>2023</v>
      </c>
      <c r="B497" s="11" t="s">
        <v>268</v>
      </c>
      <c r="C497" s="13">
        <v>177</v>
      </c>
      <c r="D497" s="13">
        <v>0</v>
      </c>
      <c r="E497" s="13">
        <v>1</v>
      </c>
      <c r="F497" s="13">
        <v>25</v>
      </c>
      <c r="G497" s="13">
        <v>50</v>
      </c>
      <c r="H497" s="13">
        <v>59</v>
      </c>
      <c r="I497" s="13">
        <v>32</v>
      </c>
      <c r="J497" s="13">
        <v>10</v>
      </c>
    </row>
    <row r="498" spans="1:10" x14ac:dyDescent="0.25">
      <c r="A498" s="11">
        <v>2023</v>
      </c>
      <c r="B498" s="11" t="s">
        <v>269</v>
      </c>
      <c r="C498" s="13">
        <v>3269</v>
      </c>
      <c r="D498" s="13">
        <v>0</v>
      </c>
      <c r="E498" s="13">
        <v>113</v>
      </c>
      <c r="F498" s="13">
        <v>440</v>
      </c>
      <c r="G498" s="13">
        <v>921</v>
      </c>
      <c r="H498" s="13">
        <v>1100</v>
      </c>
      <c r="I498" s="13">
        <v>567</v>
      </c>
      <c r="J498" s="13">
        <v>128</v>
      </c>
    </row>
    <row r="499" spans="1:10" x14ac:dyDescent="0.25">
      <c r="A499" s="11">
        <v>2023</v>
      </c>
      <c r="B499" s="11" t="s">
        <v>270</v>
      </c>
      <c r="C499" s="13">
        <v>174</v>
      </c>
      <c r="D499" s="13">
        <v>0</v>
      </c>
      <c r="E499" s="13">
        <v>2</v>
      </c>
      <c r="F499" s="13">
        <v>16</v>
      </c>
      <c r="G499" s="13">
        <v>44</v>
      </c>
      <c r="H499" s="13">
        <v>63</v>
      </c>
      <c r="I499" s="13">
        <v>35</v>
      </c>
      <c r="J499" s="13">
        <v>14</v>
      </c>
    </row>
    <row r="500" spans="1:10" x14ac:dyDescent="0.25">
      <c r="A500" s="11">
        <v>2024</v>
      </c>
      <c r="B500" s="11" t="s">
        <v>11</v>
      </c>
      <c r="C500" s="13">
        <v>45763</v>
      </c>
      <c r="D500" s="13">
        <v>3</v>
      </c>
      <c r="E500" s="13">
        <v>1094</v>
      </c>
      <c r="F500" s="13">
        <v>5131</v>
      </c>
      <c r="G500" s="13">
        <v>11568</v>
      </c>
      <c r="H500" s="13">
        <v>16324</v>
      </c>
      <c r="I500" s="13">
        <v>9379</v>
      </c>
      <c r="J500" s="13">
        <v>2264</v>
      </c>
    </row>
    <row r="501" spans="1:10" x14ac:dyDescent="0.25">
      <c r="A501" s="11">
        <v>2024</v>
      </c>
      <c r="B501" s="11" t="s">
        <v>260</v>
      </c>
      <c r="C501" s="13">
        <v>2812</v>
      </c>
      <c r="D501" s="13">
        <v>0</v>
      </c>
      <c r="E501" s="13">
        <v>96</v>
      </c>
      <c r="F501" s="13">
        <v>437</v>
      </c>
      <c r="G501" s="13">
        <v>761</v>
      </c>
      <c r="H501" s="13">
        <v>940</v>
      </c>
      <c r="I501" s="13">
        <v>477</v>
      </c>
      <c r="J501" s="13">
        <v>101</v>
      </c>
    </row>
    <row r="502" spans="1:10" x14ac:dyDescent="0.25">
      <c r="A502" s="11">
        <v>2024</v>
      </c>
      <c r="B502" s="11" t="s">
        <v>261</v>
      </c>
      <c r="C502" s="13">
        <v>835</v>
      </c>
      <c r="D502" s="13">
        <v>0</v>
      </c>
      <c r="E502" s="13">
        <v>21</v>
      </c>
      <c r="F502" s="13">
        <v>127</v>
      </c>
      <c r="G502" s="13">
        <v>208</v>
      </c>
      <c r="H502" s="13">
        <v>295</v>
      </c>
      <c r="I502" s="13">
        <v>138</v>
      </c>
      <c r="J502" s="13">
        <v>46</v>
      </c>
    </row>
    <row r="503" spans="1:10" x14ac:dyDescent="0.25">
      <c r="A503" s="11">
        <v>2024</v>
      </c>
      <c r="B503" s="11" t="s">
        <v>233</v>
      </c>
      <c r="C503" s="13">
        <v>1054</v>
      </c>
      <c r="D503" s="13">
        <v>1</v>
      </c>
      <c r="E503" s="13">
        <v>41</v>
      </c>
      <c r="F503" s="13">
        <v>142</v>
      </c>
      <c r="G503" s="13">
        <v>304</v>
      </c>
      <c r="H503" s="13">
        <v>353</v>
      </c>
      <c r="I503" s="13">
        <v>171</v>
      </c>
      <c r="J503" s="13">
        <v>42</v>
      </c>
    </row>
    <row r="504" spans="1:10" x14ac:dyDescent="0.25">
      <c r="A504" s="11">
        <v>2024</v>
      </c>
      <c r="B504" s="11" t="s">
        <v>240</v>
      </c>
      <c r="C504" s="13">
        <v>2815</v>
      </c>
      <c r="D504" s="13">
        <v>1</v>
      </c>
      <c r="E504" s="13">
        <v>87</v>
      </c>
      <c r="F504" s="13">
        <v>394</v>
      </c>
      <c r="G504" s="13">
        <v>740</v>
      </c>
      <c r="H504" s="13">
        <v>927</v>
      </c>
      <c r="I504" s="13">
        <v>553</v>
      </c>
      <c r="J504" s="13">
        <v>113</v>
      </c>
    </row>
    <row r="505" spans="1:10" x14ac:dyDescent="0.25">
      <c r="A505" s="11">
        <v>2024</v>
      </c>
      <c r="B505" s="11" t="s">
        <v>262</v>
      </c>
      <c r="C505" s="13">
        <v>2382</v>
      </c>
      <c r="D505" s="13">
        <v>1</v>
      </c>
      <c r="E505" s="13">
        <v>67</v>
      </c>
      <c r="F505" s="13">
        <v>289</v>
      </c>
      <c r="G505" s="13">
        <v>624</v>
      </c>
      <c r="H505" s="13">
        <v>812</v>
      </c>
      <c r="I505" s="13">
        <v>462</v>
      </c>
      <c r="J505" s="13">
        <v>127</v>
      </c>
    </row>
    <row r="506" spans="1:10" x14ac:dyDescent="0.25">
      <c r="A506" s="11">
        <v>2024</v>
      </c>
      <c r="B506" s="11" t="s">
        <v>263</v>
      </c>
      <c r="C506" s="13">
        <v>4478</v>
      </c>
      <c r="D506" s="13">
        <v>0</v>
      </c>
      <c r="E506" s="13">
        <v>80</v>
      </c>
      <c r="F506" s="13">
        <v>448</v>
      </c>
      <c r="G506" s="13">
        <v>1171</v>
      </c>
      <c r="H506" s="13">
        <v>1661</v>
      </c>
      <c r="I506" s="13">
        <v>899</v>
      </c>
      <c r="J506" s="13">
        <v>219</v>
      </c>
    </row>
    <row r="507" spans="1:10" x14ac:dyDescent="0.25">
      <c r="A507" s="11">
        <v>2024</v>
      </c>
      <c r="B507" s="11" t="s">
        <v>264</v>
      </c>
      <c r="C507" s="13">
        <v>10852</v>
      </c>
      <c r="D507" s="13">
        <v>0</v>
      </c>
      <c r="E507" s="13">
        <v>226</v>
      </c>
      <c r="F507" s="13">
        <v>1112</v>
      </c>
      <c r="G507" s="13">
        <v>2684</v>
      </c>
      <c r="H507" s="13">
        <v>3903</v>
      </c>
      <c r="I507" s="13">
        <v>2377</v>
      </c>
      <c r="J507" s="13">
        <v>550</v>
      </c>
    </row>
    <row r="508" spans="1:10" x14ac:dyDescent="0.25">
      <c r="A508" s="11">
        <v>2024</v>
      </c>
      <c r="B508" s="11" t="s">
        <v>242</v>
      </c>
      <c r="C508" s="13">
        <v>2297</v>
      </c>
      <c r="D508" s="13">
        <v>0</v>
      </c>
      <c r="E508" s="13">
        <v>66</v>
      </c>
      <c r="F508" s="13">
        <v>262</v>
      </c>
      <c r="G508" s="13">
        <v>596</v>
      </c>
      <c r="H508" s="13">
        <v>792</v>
      </c>
      <c r="I508" s="13">
        <v>440</v>
      </c>
      <c r="J508" s="13">
        <v>141</v>
      </c>
    </row>
    <row r="509" spans="1:10" x14ac:dyDescent="0.25">
      <c r="A509" s="11">
        <v>2024</v>
      </c>
      <c r="B509" s="11" t="s">
        <v>265</v>
      </c>
      <c r="C509" s="13">
        <v>6206</v>
      </c>
      <c r="D509" s="13">
        <v>0</v>
      </c>
      <c r="E509" s="13">
        <v>153</v>
      </c>
      <c r="F509" s="13">
        <v>749</v>
      </c>
      <c r="G509" s="13">
        <v>1711</v>
      </c>
      <c r="H509" s="13">
        <v>2195</v>
      </c>
      <c r="I509" s="13">
        <v>1146</v>
      </c>
      <c r="J509" s="13">
        <v>252</v>
      </c>
    </row>
    <row r="510" spans="1:10" x14ac:dyDescent="0.25">
      <c r="A510" s="11">
        <v>2024</v>
      </c>
      <c r="B510" s="11" t="s">
        <v>266</v>
      </c>
      <c r="C510" s="13">
        <v>8191</v>
      </c>
      <c r="D510" s="13">
        <v>0</v>
      </c>
      <c r="E510" s="13">
        <v>147</v>
      </c>
      <c r="F510" s="13">
        <v>699</v>
      </c>
      <c r="G510" s="13">
        <v>1704</v>
      </c>
      <c r="H510" s="13">
        <v>3127</v>
      </c>
      <c r="I510" s="13">
        <v>2008</v>
      </c>
      <c r="J510" s="13">
        <v>506</v>
      </c>
    </row>
    <row r="511" spans="1:10" x14ac:dyDescent="0.25">
      <c r="A511" s="11">
        <v>2024</v>
      </c>
      <c r="B511" s="11" t="s">
        <v>267</v>
      </c>
      <c r="C511" s="13">
        <v>146</v>
      </c>
      <c r="D511" s="13">
        <v>0</v>
      </c>
      <c r="E511" s="13">
        <v>2</v>
      </c>
      <c r="F511" s="13">
        <v>17</v>
      </c>
      <c r="G511" s="13">
        <v>41</v>
      </c>
      <c r="H511" s="13">
        <v>58</v>
      </c>
      <c r="I511" s="13">
        <v>20</v>
      </c>
      <c r="J511" s="13">
        <v>8</v>
      </c>
    </row>
    <row r="512" spans="1:10" x14ac:dyDescent="0.25">
      <c r="A512" s="11">
        <v>2024</v>
      </c>
      <c r="B512" s="11" t="s">
        <v>268</v>
      </c>
      <c r="C512" s="13">
        <v>166</v>
      </c>
      <c r="D512" s="13">
        <v>0</v>
      </c>
      <c r="E512" s="13">
        <v>3</v>
      </c>
      <c r="F512" s="13">
        <v>15</v>
      </c>
      <c r="G512" s="13">
        <v>54</v>
      </c>
      <c r="H512" s="13">
        <v>51</v>
      </c>
      <c r="I512" s="13">
        <v>37</v>
      </c>
      <c r="J512" s="13">
        <v>6</v>
      </c>
    </row>
    <row r="513" spans="1:10" x14ac:dyDescent="0.25">
      <c r="A513" s="11">
        <v>2024</v>
      </c>
      <c r="B513" s="11" t="s">
        <v>269</v>
      </c>
      <c r="C513" s="13">
        <v>3353</v>
      </c>
      <c r="D513" s="13">
        <v>0</v>
      </c>
      <c r="E513" s="13">
        <v>102</v>
      </c>
      <c r="F513" s="13">
        <v>421</v>
      </c>
      <c r="G513" s="13">
        <v>921</v>
      </c>
      <c r="H513" s="13">
        <v>1149</v>
      </c>
      <c r="I513" s="13">
        <v>613</v>
      </c>
      <c r="J513" s="13">
        <v>147</v>
      </c>
    </row>
    <row r="514" spans="1:10" x14ac:dyDescent="0.25">
      <c r="A514" s="11">
        <v>2024</v>
      </c>
      <c r="B514" s="11" t="s">
        <v>270</v>
      </c>
      <c r="C514" s="13">
        <v>176</v>
      </c>
      <c r="D514" s="13">
        <v>0</v>
      </c>
      <c r="E514" s="13">
        <v>3</v>
      </c>
      <c r="F514" s="13">
        <v>19</v>
      </c>
      <c r="G514" s="13">
        <v>49</v>
      </c>
      <c r="H514" s="13">
        <v>61</v>
      </c>
      <c r="I514" s="13">
        <v>38</v>
      </c>
      <c r="J514" s="13">
        <v>6</v>
      </c>
    </row>
  </sheetData>
  <pageMargins left="0.7" right="0.7" top="0.75" bottom="0.75" header="0.3" footer="0.3"/>
  <pageSetup paperSize="9" orientation="portrait" horizontalDpi="300" verticalDpi="300"/>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127"/>
  <sheetViews>
    <sheetView workbookViewId="0"/>
  </sheetViews>
  <sheetFormatPr defaultColWidth="11.6328125" defaultRowHeight="15" x14ac:dyDescent="0.25"/>
  <cols>
    <col min="1" max="1" width="10.6328125" bestFit="1" customWidth="1"/>
    <col min="2" max="2" width="21.6328125" bestFit="1" customWidth="1"/>
    <col min="3" max="6" width="18.7265625" customWidth="1"/>
  </cols>
  <sheetData>
    <row r="1" spans="1:6" ht="21" x14ac:dyDescent="0.4">
      <c r="A1" s="5" t="s">
        <v>277</v>
      </c>
    </row>
    <row r="2" spans="1:6" x14ac:dyDescent="0.25">
      <c r="A2" t="s">
        <v>29</v>
      </c>
    </row>
    <row r="3" spans="1:6" x14ac:dyDescent="0.25">
      <c r="A3" t="s">
        <v>278</v>
      </c>
    </row>
    <row r="4" spans="1:6" x14ac:dyDescent="0.25">
      <c r="A4" s="16" t="str">
        <f>HYPERLINK("#'Contents'!A1", "back to contents")</f>
        <v>back to contents</v>
      </c>
    </row>
    <row r="5" spans="1:6" ht="46.8" x14ac:dyDescent="0.3">
      <c r="A5" s="10" t="s">
        <v>69</v>
      </c>
      <c r="B5" s="10" t="s">
        <v>279</v>
      </c>
      <c r="C5" s="14" t="s">
        <v>280</v>
      </c>
      <c r="D5" s="12" t="s">
        <v>281</v>
      </c>
      <c r="E5" s="14" t="s">
        <v>334</v>
      </c>
      <c r="F5" s="14" t="s">
        <v>335</v>
      </c>
    </row>
    <row r="6" spans="1:6" x14ac:dyDescent="0.25">
      <c r="A6" s="11">
        <v>1991</v>
      </c>
      <c r="B6" s="11" t="s">
        <v>11</v>
      </c>
      <c r="C6" s="18">
        <v>13.2</v>
      </c>
      <c r="D6" s="18">
        <v>13.2</v>
      </c>
      <c r="E6" s="18">
        <v>59.8</v>
      </c>
      <c r="F6" s="15">
        <v>1.7</v>
      </c>
    </row>
    <row r="7" spans="1:6" x14ac:dyDescent="0.25">
      <c r="A7" s="11">
        <v>1991</v>
      </c>
      <c r="B7" s="11" t="s">
        <v>227</v>
      </c>
      <c r="C7" s="18">
        <v>12.6</v>
      </c>
      <c r="D7" s="18">
        <v>11.3</v>
      </c>
      <c r="E7" s="18">
        <v>53.3</v>
      </c>
      <c r="F7" s="15">
        <v>1.47</v>
      </c>
    </row>
    <row r="8" spans="1:6" x14ac:dyDescent="0.25">
      <c r="A8" s="11">
        <v>1991</v>
      </c>
      <c r="B8" s="11" t="s">
        <v>228</v>
      </c>
      <c r="C8" s="18">
        <v>13.5</v>
      </c>
      <c r="D8" s="18">
        <v>14.6</v>
      </c>
      <c r="E8" s="18">
        <v>61.8</v>
      </c>
      <c r="F8" s="15">
        <v>1.89</v>
      </c>
    </row>
    <row r="9" spans="1:6" x14ac:dyDescent="0.25">
      <c r="A9" s="11">
        <v>1991</v>
      </c>
      <c r="B9" s="11" t="s">
        <v>229</v>
      </c>
      <c r="C9" s="18">
        <v>12.3</v>
      </c>
      <c r="D9" s="18">
        <v>14</v>
      </c>
      <c r="E9" s="18">
        <v>59.7</v>
      </c>
      <c r="F9" s="15">
        <v>1.82</v>
      </c>
    </row>
    <row r="10" spans="1:6" x14ac:dyDescent="0.25">
      <c r="A10" s="11">
        <v>1991</v>
      </c>
      <c r="B10" s="11" t="s">
        <v>230</v>
      </c>
      <c r="C10" s="18">
        <v>13</v>
      </c>
      <c r="D10" s="18">
        <v>15.4</v>
      </c>
      <c r="E10" s="18">
        <v>66.599999999999994</v>
      </c>
      <c r="F10" s="15">
        <v>1.99</v>
      </c>
    </row>
    <row r="11" spans="1:6" x14ac:dyDescent="0.25">
      <c r="A11" s="11">
        <v>1991</v>
      </c>
      <c r="B11" s="11" t="s">
        <v>231</v>
      </c>
      <c r="C11" s="18">
        <v>13</v>
      </c>
      <c r="D11" s="18">
        <v>11.5</v>
      </c>
      <c r="E11" s="18">
        <v>54.8</v>
      </c>
      <c r="F11" s="15">
        <v>1.51</v>
      </c>
    </row>
    <row r="12" spans="1:6" x14ac:dyDescent="0.25">
      <c r="A12" s="11">
        <v>1991</v>
      </c>
      <c r="B12" s="11" t="s">
        <v>232</v>
      </c>
      <c r="C12" s="18">
        <v>13.8</v>
      </c>
      <c r="D12" s="18">
        <v>14.3</v>
      </c>
      <c r="E12" s="18">
        <v>62.6</v>
      </c>
      <c r="F12" s="15">
        <v>1.85</v>
      </c>
    </row>
    <row r="13" spans="1:6" x14ac:dyDescent="0.25">
      <c r="A13" s="11">
        <v>1991</v>
      </c>
      <c r="B13" s="11" t="s">
        <v>233</v>
      </c>
      <c r="C13" s="18">
        <v>12.1</v>
      </c>
      <c r="D13" s="18">
        <v>13.8</v>
      </c>
      <c r="E13" s="18">
        <v>60.4</v>
      </c>
      <c r="F13" s="15">
        <v>1.78</v>
      </c>
    </row>
    <row r="14" spans="1:6" x14ac:dyDescent="0.25">
      <c r="A14" s="11">
        <v>1991</v>
      </c>
      <c r="B14" s="11" t="s">
        <v>234</v>
      </c>
      <c r="C14" s="18">
        <v>13</v>
      </c>
      <c r="D14" s="18">
        <v>12.5</v>
      </c>
      <c r="E14" s="18">
        <v>58.2</v>
      </c>
      <c r="F14" s="15">
        <v>1.59</v>
      </c>
    </row>
    <row r="15" spans="1:6" x14ac:dyDescent="0.25">
      <c r="A15" s="11">
        <v>1991</v>
      </c>
      <c r="B15" s="11" t="s">
        <v>235</v>
      </c>
      <c r="C15" s="18">
        <v>13.9</v>
      </c>
      <c r="D15" s="18">
        <v>14.3</v>
      </c>
      <c r="E15" s="18">
        <v>63.8</v>
      </c>
      <c r="F15" s="15">
        <v>1.83</v>
      </c>
    </row>
    <row r="16" spans="1:6" x14ac:dyDescent="0.25">
      <c r="A16" s="11">
        <v>1991</v>
      </c>
      <c r="B16" s="11" t="s">
        <v>236</v>
      </c>
      <c r="C16" s="18">
        <v>12.4</v>
      </c>
      <c r="D16" s="18">
        <v>13.8</v>
      </c>
      <c r="E16" s="18">
        <v>57</v>
      </c>
      <c r="F16" s="15">
        <v>1.77</v>
      </c>
    </row>
    <row r="17" spans="1:6" x14ac:dyDescent="0.25">
      <c r="A17" s="11">
        <v>1991</v>
      </c>
      <c r="B17" s="11" t="s">
        <v>237</v>
      </c>
      <c r="C17" s="18">
        <v>13.2</v>
      </c>
      <c r="D17" s="18">
        <v>14.3</v>
      </c>
      <c r="E17" s="18">
        <v>62.9</v>
      </c>
      <c r="F17" s="15">
        <v>1.83</v>
      </c>
    </row>
    <row r="18" spans="1:6" x14ac:dyDescent="0.25">
      <c r="A18" s="11">
        <v>1991</v>
      </c>
      <c r="B18" s="11" t="s">
        <v>238</v>
      </c>
      <c r="C18" s="18">
        <v>13.1</v>
      </c>
      <c r="D18" s="18">
        <v>14.2</v>
      </c>
      <c r="E18" s="18">
        <v>59.8</v>
      </c>
      <c r="F18" s="15">
        <v>1.76</v>
      </c>
    </row>
    <row r="19" spans="1:6" x14ac:dyDescent="0.25">
      <c r="A19" s="11">
        <v>1991</v>
      </c>
      <c r="B19" s="11" t="s">
        <v>239</v>
      </c>
      <c r="C19" s="18">
        <v>13.6</v>
      </c>
      <c r="D19" s="18">
        <v>13.6</v>
      </c>
      <c r="E19" s="18">
        <v>61</v>
      </c>
      <c r="F19" s="15">
        <v>1.73</v>
      </c>
    </row>
    <row r="20" spans="1:6" x14ac:dyDescent="0.25">
      <c r="A20" s="11">
        <v>1991</v>
      </c>
      <c r="B20" s="11" t="s">
        <v>240</v>
      </c>
      <c r="C20" s="18">
        <v>12.6</v>
      </c>
      <c r="D20" s="18">
        <v>13</v>
      </c>
      <c r="E20" s="18">
        <v>58</v>
      </c>
      <c r="F20" s="15">
        <v>1.67</v>
      </c>
    </row>
    <row r="21" spans="1:6" x14ac:dyDescent="0.25">
      <c r="A21" s="11">
        <v>1991</v>
      </c>
      <c r="B21" s="11" t="s">
        <v>241</v>
      </c>
      <c r="C21" s="18">
        <v>14.3</v>
      </c>
      <c r="D21" s="18">
        <v>12.7</v>
      </c>
      <c r="E21" s="18">
        <v>63.1</v>
      </c>
      <c r="F21" s="15">
        <v>1.66</v>
      </c>
    </row>
    <row r="22" spans="1:6" x14ac:dyDescent="0.25">
      <c r="A22" s="11">
        <v>1991</v>
      </c>
      <c r="B22" s="11" t="s">
        <v>242</v>
      </c>
      <c r="C22" s="18">
        <v>13</v>
      </c>
      <c r="D22" s="18">
        <v>14.3</v>
      </c>
      <c r="E22" s="18">
        <v>62.3</v>
      </c>
      <c r="F22" s="15">
        <v>1.86</v>
      </c>
    </row>
    <row r="23" spans="1:6" x14ac:dyDescent="0.25">
      <c r="A23" s="11">
        <v>1991</v>
      </c>
      <c r="B23" s="11" t="s">
        <v>243</v>
      </c>
      <c r="C23" s="18">
        <v>13</v>
      </c>
      <c r="D23" s="18">
        <v>13.2</v>
      </c>
      <c r="E23" s="18">
        <v>60.2</v>
      </c>
      <c r="F23" s="15">
        <v>1.7</v>
      </c>
    </row>
    <row r="24" spans="1:6" x14ac:dyDescent="0.25">
      <c r="A24" s="11">
        <v>1991</v>
      </c>
      <c r="B24" s="11" t="s">
        <v>244</v>
      </c>
      <c r="C24" s="18">
        <v>13.6</v>
      </c>
      <c r="D24" s="18">
        <v>14.1</v>
      </c>
      <c r="E24" s="18">
        <v>60.6</v>
      </c>
      <c r="F24" s="15">
        <v>1.82</v>
      </c>
    </row>
    <row r="25" spans="1:6" x14ac:dyDescent="0.25">
      <c r="A25" s="11">
        <v>1991</v>
      </c>
      <c r="B25" s="11" t="s">
        <v>245</v>
      </c>
      <c r="C25" s="18">
        <v>13.8</v>
      </c>
      <c r="D25" s="18">
        <v>15.4</v>
      </c>
      <c r="E25" s="18">
        <v>66.7</v>
      </c>
      <c r="F25" s="15">
        <v>2</v>
      </c>
    </row>
    <row r="26" spans="1:6" x14ac:dyDescent="0.25">
      <c r="A26" s="11">
        <v>1991</v>
      </c>
      <c r="B26" s="11" t="s">
        <v>282</v>
      </c>
      <c r="C26" s="18">
        <v>11.2</v>
      </c>
      <c r="D26" s="18">
        <v>14.5</v>
      </c>
      <c r="E26" s="18">
        <v>61.2</v>
      </c>
      <c r="F26" s="15">
        <v>1.9</v>
      </c>
    </row>
    <row r="27" spans="1:6" x14ac:dyDescent="0.25">
      <c r="A27" s="11">
        <v>1991</v>
      </c>
      <c r="B27" s="11" t="s">
        <v>247</v>
      </c>
      <c r="C27" s="18">
        <v>14</v>
      </c>
      <c r="D27" s="18">
        <v>14.4</v>
      </c>
      <c r="E27" s="18">
        <v>63.6</v>
      </c>
      <c r="F27" s="15">
        <v>1.82</v>
      </c>
    </row>
    <row r="28" spans="1:6" x14ac:dyDescent="0.25">
      <c r="A28" s="11">
        <v>1991</v>
      </c>
      <c r="B28" s="11" t="s">
        <v>248</v>
      </c>
      <c r="C28" s="18">
        <v>13.7</v>
      </c>
      <c r="D28" s="18">
        <v>13.3</v>
      </c>
      <c r="E28" s="18">
        <v>60.4</v>
      </c>
      <c r="F28" s="15">
        <v>1.7</v>
      </c>
    </row>
    <row r="29" spans="1:6" x14ac:dyDescent="0.25">
      <c r="A29" s="11">
        <v>1991</v>
      </c>
      <c r="B29" s="11" t="s">
        <v>249</v>
      </c>
      <c r="C29" s="18">
        <v>12.1</v>
      </c>
      <c r="D29" s="18">
        <v>14.4</v>
      </c>
      <c r="E29" s="18">
        <v>61.4</v>
      </c>
      <c r="F29" s="15">
        <v>1.88</v>
      </c>
    </row>
    <row r="30" spans="1:6" x14ac:dyDescent="0.25">
      <c r="A30" s="11">
        <v>1991</v>
      </c>
      <c r="B30" s="11" t="s">
        <v>250</v>
      </c>
      <c r="C30" s="18">
        <v>12.2</v>
      </c>
      <c r="D30" s="18">
        <v>14.3</v>
      </c>
      <c r="E30" s="18">
        <v>60.8</v>
      </c>
      <c r="F30" s="15">
        <v>1.85</v>
      </c>
    </row>
    <row r="31" spans="1:6" x14ac:dyDescent="0.25">
      <c r="A31" s="11">
        <v>1991</v>
      </c>
      <c r="B31" s="11" t="s">
        <v>251</v>
      </c>
      <c r="C31" s="18">
        <v>12.6</v>
      </c>
      <c r="D31" s="18">
        <v>12.5</v>
      </c>
      <c r="E31" s="18">
        <v>56.6</v>
      </c>
      <c r="F31" s="15">
        <v>1.61</v>
      </c>
    </row>
    <row r="32" spans="1:6" x14ac:dyDescent="0.25">
      <c r="A32" s="11">
        <v>1991</v>
      </c>
      <c r="B32" s="11" t="s">
        <v>252</v>
      </c>
      <c r="C32" s="18">
        <v>12.1</v>
      </c>
      <c r="D32" s="18">
        <v>14</v>
      </c>
      <c r="E32" s="18">
        <v>60.3</v>
      </c>
      <c r="F32" s="15">
        <v>1.8</v>
      </c>
    </row>
    <row r="33" spans="1:6" x14ac:dyDescent="0.25">
      <c r="A33" s="11">
        <v>1991</v>
      </c>
      <c r="B33" s="11" t="s">
        <v>253</v>
      </c>
      <c r="C33" s="18">
        <v>14.4</v>
      </c>
      <c r="D33" s="18">
        <v>16.3</v>
      </c>
      <c r="E33" s="18">
        <v>70.3</v>
      </c>
      <c r="F33" s="15">
        <v>2.13</v>
      </c>
    </row>
    <row r="34" spans="1:6" x14ac:dyDescent="0.25">
      <c r="A34" s="11">
        <v>1991</v>
      </c>
      <c r="B34" s="11" t="s">
        <v>254</v>
      </c>
      <c r="C34" s="18">
        <v>10.9</v>
      </c>
      <c r="D34" s="18">
        <v>12.5</v>
      </c>
      <c r="E34" s="18">
        <v>53.5</v>
      </c>
      <c r="F34" s="15">
        <v>1.61</v>
      </c>
    </row>
    <row r="35" spans="1:6" x14ac:dyDescent="0.25">
      <c r="A35" s="11">
        <v>1991</v>
      </c>
      <c r="B35" s="11" t="s">
        <v>255</v>
      </c>
      <c r="C35" s="18">
        <v>13.4</v>
      </c>
      <c r="D35" s="18">
        <v>13.4</v>
      </c>
      <c r="E35" s="18">
        <v>59.8</v>
      </c>
      <c r="F35" s="15">
        <v>1.72</v>
      </c>
    </row>
    <row r="36" spans="1:6" x14ac:dyDescent="0.25">
      <c r="A36" s="11">
        <v>1991</v>
      </c>
      <c r="B36" s="11" t="s">
        <v>256</v>
      </c>
      <c r="C36" s="18">
        <v>12</v>
      </c>
      <c r="D36" s="18">
        <v>12.3</v>
      </c>
      <c r="E36" s="18">
        <v>54</v>
      </c>
      <c r="F36" s="15">
        <v>1.61</v>
      </c>
    </row>
    <row r="37" spans="1:6" x14ac:dyDescent="0.25">
      <c r="A37" s="11">
        <v>1991</v>
      </c>
      <c r="B37" s="11" t="s">
        <v>257</v>
      </c>
      <c r="C37" s="18">
        <v>13.1</v>
      </c>
      <c r="D37" s="18">
        <v>12.9</v>
      </c>
      <c r="E37" s="18">
        <v>59.2</v>
      </c>
      <c r="F37" s="15">
        <v>1.66</v>
      </c>
    </row>
    <row r="38" spans="1:6" x14ac:dyDescent="0.25">
      <c r="A38" s="11">
        <v>1991</v>
      </c>
      <c r="B38" s="11" t="s">
        <v>258</v>
      </c>
      <c r="C38" s="18">
        <v>14.4</v>
      </c>
      <c r="D38" s="18">
        <v>13.3</v>
      </c>
      <c r="E38" s="18">
        <v>60</v>
      </c>
      <c r="F38" s="15">
        <v>1.7</v>
      </c>
    </row>
    <row r="39" spans="1:6" x14ac:dyDescent="0.25">
      <c r="A39" s="11">
        <v>1992</v>
      </c>
      <c r="B39" s="11" t="s">
        <v>11</v>
      </c>
      <c r="C39" s="18">
        <v>12.9</v>
      </c>
      <c r="D39" s="18">
        <v>12.9</v>
      </c>
      <c r="E39" s="18">
        <v>59.3</v>
      </c>
      <c r="F39" s="15">
        <v>1.68</v>
      </c>
    </row>
    <row r="40" spans="1:6" x14ac:dyDescent="0.25">
      <c r="A40" s="11">
        <v>1992</v>
      </c>
      <c r="B40" s="11" t="s">
        <v>227</v>
      </c>
      <c r="C40" s="18">
        <v>12.3</v>
      </c>
      <c r="D40" s="18">
        <v>11</v>
      </c>
      <c r="E40" s="18">
        <v>52.6</v>
      </c>
      <c r="F40" s="15">
        <v>1.45</v>
      </c>
    </row>
    <row r="41" spans="1:6" x14ac:dyDescent="0.25">
      <c r="A41" s="11">
        <v>1992</v>
      </c>
      <c r="B41" s="11" t="s">
        <v>228</v>
      </c>
      <c r="C41" s="18">
        <v>13.7</v>
      </c>
      <c r="D41" s="18">
        <v>14.7</v>
      </c>
      <c r="E41" s="18">
        <v>63.3</v>
      </c>
      <c r="F41" s="15">
        <v>1.91</v>
      </c>
    </row>
    <row r="42" spans="1:6" x14ac:dyDescent="0.25">
      <c r="A42" s="11">
        <v>1992</v>
      </c>
      <c r="B42" s="11" t="s">
        <v>229</v>
      </c>
      <c r="C42" s="18">
        <v>12.5</v>
      </c>
      <c r="D42" s="18">
        <v>14.1</v>
      </c>
      <c r="E42" s="18">
        <v>61.5</v>
      </c>
      <c r="F42" s="15">
        <v>1.84</v>
      </c>
    </row>
    <row r="43" spans="1:6" x14ac:dyDescent="0.25">
      <c r="A43" s="11">
        <v>1992</v>
      </c>
      <c r="B43" s="11" t="s">
        <v>230</v>
      </c>
      <c r="C43" s="18">
        <v>12.2</v>
      </c>
      <c r="D43" s="18">
        <v>14.5</v>
      </c>
      <c r="E43" s="18">
        <v>63.5</v>
      </c>
      <c r="F43" s="15">
        <v>1.88</v>
      </c>
    </row>
    <row r="44" spans="1:6" x14ac:dyDescent="0.25">
      <c r="A44" s="11">
        <v>1992</v>
      </c>
      <c r="B44" s="11" t="s">
        <v>231</v>
      </c>
      <c r="C44" s="18">
        <v>12.5</v>
      </c>
      <c r="D44" s="18">
        <v>11</v>
      </c>
      <c r="E44" s="18">
        <v>53.4</v>
      </c>
      <c r="F44" s="15">
        <v>1.46</v>
      </c>
    </row>
    <row r="45" spans="1:6" x14ac:dyDescent="0.25">
      <c r="A45" s="11">
        <v>1992</v>
      </c>
      <c r="B45" s="11" t="s">
        <v>232</v>
      </c>
      <c r="C45" s="18">
        <v>14.1</v>
      </c>
      <c r="D45" s="18">
        <v>14.5</v>
      </c>
      <c r="E45" s="18">
        <v>65</v>
      </c>
      <c r="F45" s="15">
        <v>1.9</v>
      </c>
    </row>
    <row r="46" spans="1:6" x14ac:dyDescent="0.25">
      <c r="A46" s="11">
        <v>1992</v>
      </c>
      <c r="B46" s="11" t="s">
        <v>233</v>
      </c>
      <c r="C46" s="18">
        <v>11.9</v>
      </c>
      <c r="D46" s="18">
        <v>13.5</v>
      </c>
      <c r="E46" s="18">
        <v>60</v>
      </c>
      <c r="F46" s="15">
        <v>1.77</v>
      </c>
    </row>
    <row r="47" spans="1:6" x14ac:dyDescent="0.25">
      <c r="A47" s="11">
        <v>1992</v>
      </c>
      <c r="B47" s="11" t="s">
        <v>234</v>
      </c>
      <c r="C47" s="18">
        <v>12.8</v>
      </c>
      <c r="D47" s="18">
        <v>12.3</v>
      </c>
      <c r="E47" s="18">
        <v>58.1</v>
      </c>
      <c r="F47" s="15">
        <v>1.59</v>
      </c>
    </row>
    <row r="48" spans="1:6" x14ac:dyDescent="0.25">
      <c r="A48" s="11">
        <v>1992</v>
      </c>
      <c r="B48" s="11" t="s">
        <v>235</v>
      </c>
      <c r="C48" s="18">
        <v>13.4</v>
      </c>
      <c r="D48" s="18">
        <v>13.7</v>
      </c>
      <c r="E48" s="18">
        <v>62.5</v>
      </c>
      <c r="F48" s="15">
        <v>1.78</v>
      </c>
    </row>
    <row r="49" spans="1:6" x14ac:dyDescent="0.25">
      <c r="A49" s="11">
        <v>1992</v>
      </c>
      <c r="B49" s="11" t="s">
        <v>236</v>
      </c>
      <c r="C49" s="18">
        <v>11.5</v>
      </c>
      <c r="D49" s="18">
        <v>12.8</v>
      </c>
      <c r="E49" s="18">
        <v>53.7</v>
      </c>
      <c r="F49" s="15">
        <v>1.64</v>
      </c>
    </row>
    <row r="50" spans="1:6" x14ac:dyDescent="0.25">
      <c r="A50" s="11">
        <v>1992</v>
      </c>
      <c r="B50" s="11" t="s">
        <v>237</v>
      </c>
      <c r="C50" s="18">
        <v>13.6</v>
      </c>
      <c r="D50" s="18">
        <v>14.7</v>
      </c>
      <c r="E50" s="18">
        <v>65.599999999999994</v>
      </c>
      <c r="F50" s="15">
        <v>1.89</v>
      </c>
    </row>
    <row r="51" spans="1:6" x14ac:dyDescent="0.25">
      <c r="A51" s="11">
        <v>1992</v>
      </c>
      <c r="B51" s="11" t="s">
        <v>238</v>
      </c>
      <c r="C51" s="18">
        <v>13.1</v>
      </c>
      <c r="D51" s="18">
        <v>14.3</v>
      </c>
      <c r="E51" s="18">
        <v>61</v>
      </c>
      <c r="F51" s="15">
        <v>1.79</v>
      </c>
    </row>
    <row r="52" spans="1:6" x14ac:dyDescent="0.25">
      <c r="A52" s="11">
        <v>1992</v>
      </c>
      <c r="B52" s="11" t="s">
        <v>239</v>
      </c>
      <c r="C52" s="18">
        <v>12.9</v>
      </c>
      <c r="D52" s="18">
        <v>13</v>
      </c>
      <c r="E52" s="18">
        <v>59.1</v>
      </c>
      <c r="F52" s="15">
        <v>1.67</v>
      </c>
    </row>
    <row r="53" spans="1:6" x14ac:dyDescent="0.25">
      <c r="A53" s="11">
        <v>1992</v>
      </c>
      <c r="B53" s="11" t="s">
        <v>240</v>
      </c>
      <c r="C53" s="18">
        <v>12.4</v>
      </c>
      <c r="D53" s="18">
        <v>12.8</v>
      </c>
      <c r="E53" s="18">
        <v>57.7</v>
      </c>
      <c r="F53" s="15">
        <v>1.66</v>
      </c>
    </row>
    <row r="54" spans="1:6" x14ac:dyDescent="0.25">
      <c r="A54" s="11">
        <v>1992</v>
      </c>
      <c r="B54" s="11" t="s">
        <v>241</v>
      </c>
      <c r="C54" s="18">
        <v>14</v>
      </c>
      <c r="D54" s="18">
        <v>12.4</v>
      </c>
      <c r="E54" s="18">
        <v>61.9</v>
      </c>
      <c r="F54" s="15">
        <v>1.63</v>
      </c>
    </row>
    <row r="55" spans="1:6" x14ac:dyDescent="0.25">
      <c r="A55" s="11">
        <v>1992</v>
      </c>
      <c r="B55" s="11" t="s">
        <v>242</v>
      </c>
      <c r="C55" s="18">
        <v>13.1</v>
      </c>
      <c r="D55" s="18">
        <v>14.4</v>
      </c>
      <c r="E55" s="18">
        <v>63.4</v>
      </c>
      <c r="F55" s="15">
        <v>1.88</v>
      </c>
    </row>
    <row r="56" spans="1:6" x14ac:dyDescent="0.25">
      <c r="A56" s="11">
        <v>1992</v>
      </c>
      <c r="B56" s="11" t="s">
        <v>243</v>
      </c>
      <c r="C56" s="18">
        <v>12.7</v>
      </c>
      <c r="D56" s="18">
        <v>13</v>
      </c>
      <c r="E56" s="18">
        <v>59.8</v>
      </c>
      <c r="F56" s="15">
        <v>1.69</v>
      </c>
    </row>
    <row r="57" spans="1:6" x14ac:dyDescent="0.25">
      <c r="A57" s="11">
        <v>1992</v>
      </c>
      <c r="B57" s="11" t="s">
        <v>244</v>
      </c>
      <c r="C57" s="18">
        <v>13.6</v>
      </c>
      <c r="D57" s="18">
        <v>14.2</v>
      </c>
      <c r="E57" s="18">
        <v>62.1</v>
      </c>
      <c r="F57" s="15">
        <v>1.84</v>
      </c>
    </row>
    <row r="58" spans="1:6" x14ac:dyDescent="0.25">
      <c r="A58" s="11">
        <v>1992</v>
      </c>
      <c r="B58" s="11" t="s">
        <v>245</v>
      </c>
      <c r="C58" s="18">
        <v>13.7</v>
      </c>
      <c r="D58" s="18">
        <v>15</v>
      </c>
      <c r="E58" s="18">
        <v>66.599999999999994</v>
      </c>
      <c r="F58" s="15">
        <v>1.96</v>
      </c>
    </row>
    <row r="59" spans="1:6" x14ac:dyDescent="0.25">
      <c r="A59" s="11">
        <v>1992</v>
      </c>
      <c r="B59" s="11" t="s">
        <v>282</v>
      </c>
      <c r="C59" s="18">
        <v>11.4</v>
      </c>
      <c r="D59" s="18">
        <v>14.6</v>
      </c>
      <c r="E59" s="18">
        <v>62.4</v>
      </c>
      <c r="F59" s="15">
        <v>1.93</v>
      </c>
    </row>
    <row r="60" spans="1:6" x14ac:dyDescent="0.25">
      <c r="A60" s="11">
        <v>1992</v>
      </c>
      <c r="B60" s="11" t="s">
        <v>247</v>
      </c>
      <c r="C60" s="18">
        <v>13.1</v>
      </c>
      <c r="D60" s="18">
        <v>13.4</v>
      </c>
      <c r="E60" s="18">
        <v>60.4</v>
      </c>
      <c r="F60" s="15">
        <v>1.76</v>
      </c>
    </row>
    <row r="61" spans="1:6" x14ac:dyDescent="0.25">
      <c r="A61" s="11">
        <v>1992</v>
      </c>
      <c r="B61" s="11" t="s">
        <v>248</v>
      </c>
      <c r="C61" s="18">
        <v>13.3</v>
      </c>
      <c r="D61" s="18">
        <v>12.9</v>
      </c>
      <c r="E61" s="18">
        <v>59.3</v>
      </c>
      <c r="F61" s="15">
        <v>1.67</v>
      </c>
    </row>
    <row r="62" spans="1:6" x14ac:dyDescent="0.25">
      <c r="A62" s="11">
        <v>1992</v>
      </c>
      <c r="B62" s="11" t="s">
        <v>249</v>
      </c>
      <c r="C62" s="18">
        <v>12.2</v>
      </c>
      <c r="D62" s="18">
        <v>14.4</v>
      </c>
      <c r="E62" s="18">
        <v>61.8</v>
      </c>
      <c r="F62" s="15">
        <v>1.9</v>
      </c>
    </row>
    <row r="63" spans="1:6" x14ac:dyDescent="0.25">
      <c r="A63" s="11">
        <v>1992</v>
      </c>
      <c r="B63" s="11" t="s">
        <v>250</v>
      </c>
      <c r="C63" s="18">
        <v>11.8</v>
      </c>
      <c r="D63" s="18">
        <v>13.6</v>
      </c>
      <c r="E63" s="18">
        <v>59.5</v>
      </c>
      <c r="F63" s="15">
        <v>1.76</v>
      </c>
    </row>
    <row r="64" spans="1:6" x14ac:dyDescent="0.25">
      <c r="A64" s="11">
        <v>1992</v>
      </c>
      <c r="B64" s="11" t="s">
        <v>251</v>
      </c>
      <c r="C64" s="18">
        <v>13.1</v>
      </c>
      <c r="D64" s="18">
        <v>13</v>
      </c>
      <c r="E64" s="18">
        <v>59.7</v>
      </c>
      <c r="F64" s="15">
        <v>1.68</v>
      </c>
    </row>
    <row r="65" spans="1:6" x14ac:dyDescent="0.25">
      <c r="A65" s="11">
        <v>1992</v>
      </c>
      <c r="B65" s="11" t="s">
        <v>252</v>
      </c>
      <c r="C65" s="18">
        <v>11.4</v>
      </c>
      <c r="D65" s="18">
        <v>13.2</v>
      </c>
      <c r="E65" s="18">
        <v>57.9</v>
      </c>
      <c r="F65" s="15">
        <v>1.71</v>
      </c>
    </row>
    <row r="66" spans="1:6" x14ac:dyDescent="0.25">
      <c r="A66" s="11">
        <v>1992</v>
      </c>
      <c r="B66" s="11" t="s">
        <v>253</v>
      </c>
      <c r="C66" s="18">
        <v>14.4</v>
      </c>
      <c r="D66" s="18">
        <v>16.100000000000001</v>
      </c>
      <c r="E66" s="18">
        <v>70</v>
      </c>
      <c r="F66" s="15">
        <v>2.12</v>
      </c>
    </row>
    <row r="67" spans="1:6" x14ac:dyDescent="0.25">
      <c r="A67" s="11">
        <v>1992</v>
      </c>
      <c r="B67" s="11" t="s">
        <v>254</v>
      </c>
      <c r="C67" s="18">
        <v>11.2</v>
      </c>
      <c r="D67" s="18">
        <v>12.9</v>
      </c>
      <c r="E67" s="18">
        <v>55.9</v>
      </c>
      <c r="F67" s="15">
        <v>1.67</v>
      </c>
    </row>
    <row r="68" spans="1:6" x14ac:dyDescent="0.25">
      <c r="A68" s="11">
        <v>1992</v>
      </c>
      <c r="B68" s="11" t="s">
        <v>255</v>
      </c>
      <c r="C68" s="18">
        <v>12.8</v>
      </c>
      <c r="D68" s="18">
        <v>12.8</v>
      </c>
      <c r="E68" s="18">
        <v>57.9</v>
      </c>
      <c r="F68" s="15">
        <v>1.66</v>
      </c>
    </row>
    <row r="69" spans="1:6" x14ac:dyDescent="0.25">
      <c r="A69" s="11">
        <v>1992</v>
      </c>
      <c r="B69" s="11" t="s">
        <v>256</v>
      </c>
      <c r="C69" s="18">
        <v>11.5</v>
      </c>
      <c r="D69" s="18">
        <v>11.9</v>
      </c>
      <c r="E69" s="18">
        <v>52.7</v>
      </c>
      <c r="F69" s="15">
        <v>1.56</v>
      </c>
    </row>
    <row r="70" spans="1:6" x14ac:dyDescent="0.25">
      <c r="A70" s="11">
        <v>1992</v>
      </c>
      <c r="B70" s="11" t="s">
        <v>257</v>
      </c>
      <c r="C70" s="18">
        <v>13.6</v>
      </c>
      <c r="D70" s="18">
        <v>13.4</v>
      </c>
      <c r="E70" s="18">
        <v>62.1</v>
      </c>
      <c r="F70" s="15">
        <v>1.74</v>
      </c>
    </row>
    <row r="71" spans="1:6" x14ac:dyDescent="0.25">
      <c r="A71" s="11">
        <v>1992</v>
      </c>
      <c r="B71" s="11" t="s">
        <v>258</v>
      </c>
      <c r="C71" s="18">
        <v>14.5</v>
      </c>
      <c r="D71" s="18">
        <v>13.3</v>
      </c>
      <c r="E71" s="18">
        <v>61.3</v>
      </c>
      <c r="F71" s="15">
        <v>1.72</v>
      </c>
    </row>
    <row r="72" spans="1:6" x14ac:dyDescent="0.25">
      <c r="A72" s="11">
        <v>1993</v>
      </c>
      <c r="B72" s="11" t="s">
        <v>11</v>
      </c>
      <c r="C72" s="18">
        <v>12.4</v>
      </c>
      <c r="D72" s="18">
        <v>12.4</v>
      </c>
      <c r="E72" s="18">
        <v>57.4</v>
      </c>
      <c r="F72" s="15">
        <v>1.62</v>
      </c>
    </row>
    <row r="73" spans="1:6" x14ac:dyDescent="0.25">
      <c r="A73" s="11">
        <v>1993</v>
      </c>
      <c r="B73" s="11" t="s">
        <v>227</v>
      </c>
      <c r="C73" s="18">
        <v>12</v>
      </c>
      <c r="D73" s="18">
        <v>10.7</v>
      </c>
      <c r="E73" s="18">
        <v>51.3</v>
      </c>
      <c r="F73" s="15">
        <v>1.41</v>
      </c>
    </row>
    <row r="74" spans="1:6" x14ac:dyDescent="0.25">
      <c r="A74" s="11">
        <v>1993</v>
      </c>
      <c r="B74" s="11" t="s">
        <v>228</v>
      </c>
      <c r="C74" s="18">
        <v>12.8</v>
      </c>
      <c r="D74" s="18">
        <v>13.6</v>
      </c>
      <c r="E74" s="18">
        <v>59.4</v>
      </c>
      <c r="F74" s="15">
        <v>1.77</v>
      </c>
    </row>
    <row r="75" spans="1:6" x14ac:dyDescent="0.25">
      <c r="A75" s="11">
        <v>1993</v>
      </c>
      <c r="B75" s="11" t="s">
        <v>229</v>
      </c>
      <c r="C75" s="18">
        <v>12.3</v>
      </c>
      <c r="D75" s="18">
        <v>13.8</v>
      </c>
      <c r="E75" s="18">
        <v>61.2</v>
      </c>
      <c r="F75" s="15">
        <v>1.81</v>
      </c>
    </row>
    <row r="76" spans="1:6" x14ac:dyDescent="0.25">
      <c r="A76" s="11">
        <v>1993</v>
      </c>
      <c r="B76" s="11" t="s">
        <v>230</v>
      </c>
      <c r="C76" s="18">
        <v>11.1</v>
      </c>
      <c r="D76" s="18">
        <v>13.1</v>
      </c>
      <c r="E76" s="18">
        <v>57.9</v>
      </c>
      <c r="F76" s="15">
        <v>1.7</v>
      </c>
    </row>
    <row r="77" spans="1:6" x14ac:dyDescent="0.25">
      <c r="A77" s="11">
        <v>1993</v>
      </c>
      <c r="B77" s="11" t="s">
        <v>231</v>
      </c>
      <c r="C77" s="18">
        <v>11.9</v>
      </c>
      <c r="D77" s="18">
        <v>10.5</v>
      </c>
      <c r="E77" s="18">
        <v>51</v>
      </c>
      <c r="F77" s="15">
        <v>1.39</v>
      </c>
    </row>
    <row r="78" spans="1:6" x14ac:dyDescent="0.25">
      <c r="A78" s="11">
        <v>1993</v>
      </c>
      <c r="B78" s="11" t="s">
        <v>232</v>
      </c>
      <c r="C78" s="18">
        <v>13.1</v>
      </c>
      <c r="D78" s="18">
        <v>13.6</v>
      </c>
      <c r="E78" s="18">
        <v>61.2</v>
      </c>
      <c r="F78" s="15">
        <v>1.8</v>
      </c>
    </row>
    <row r="79" spans="1:6" x14ac:dyDescent="0.25">
      <c r="A79" s="11">
        <v>1993</v>
      </c>
      <c r="B79" s="11" t="s">
        <v>233</v>
      </c>
      <c r="C79" s="18">
        <v>11.6</v>
      </c>
      <c r="D79" s="18">
        <v>13.2</v>
      </c>
      <c r="E79" s="18">
        <v>59.1</v>
      </c>
      <c r="F79" s="15">
        <v>1.73</v>
      </c>
    </row>
    <row r="80" spans="1:6" x14ac:dyDescent="0.25">
      <c r="A80" s="11">
        <v>1993</v>
      </c>
      <c r="B80" s="11" t="s">
        <v>234</v>
      </c>
      <c r="C80" s="18">
        <v>12.3</v>
      </c>
      <c r="D80" s="18">
        <v>12</v>
      </c>
      <c r="E80" s="18">
        <v>56.4</v>
      </c>
      <c r="F80" s="15">
        <v>1.56</v>
      </c>
    </row>
    <row r="81" spans="1:6" x14ac:dyDescent="0.25">
      <c r="A81" s="11">
        <v>1993</v>
      </c>
      <c r="B81" s="11" t="s">
        <v>235</v>
      </c>
      <c r="C81" s="18">
        <v>12.8</v>
      </c>
      <c r="D81" s="18">
        <v>13.2</v>
      </c>
      <c r="E81" s="18">
        <v>60.8</v>
      </c>
      <c r="F81" s="15">
        <v>1.74</v>
      </c>
    </row>
    <row r="82" spans="1:6" x14ac:dyDescent="0.25">
      <c r="A82" s="11">
        <v>1993</v>
      </c>
      <c r="B82" s="11" t="s">
        <v>236</v>
      </c>
      <c r="C82" s="18">
        <v>11.3</v>
      </c>
      <c r="D82" s="18">
        <v>12.5</v>
      </c>
      <c r="E82" s="18">
        <v>52.8</v>
      </c>
      <c r="F82" s="15">
        <v>1.61</v>
      </c>
    </row>
    <row r="83" spans="1:6" x14ac:dyDescent="0.25">
      <c r="A83" s="11">
        <v>1993</v>
      </c>
      <c r="B83" s="11" t="s">
        <v>237</v>
      </c>
      <c r="C83" s="18">
        <v>12.9</v>
      </c>
      <c r="D83" s="18">
        <v>14.1</v>
      </c>
      <c r="E83" s="18">
        <v>63.4</v>
      </c>
      <c r="F83" s="15">
        <v>1.83</v>
      </c>
    </row>
    <row r="84" spans="1:6" x14ac:dyDescent="0.25">
      <c r="A84" s="11">
        <v>1993</v>
      </c>
      <c r="B84" s="11" t="s">
        <v>238</v>
      </c>
      <c r="C84" s="18">
        <v>13.3</v>
      </c>
      <c r="D84" s="18">
        <v>14.5</v>
      </c>
      <c r="E84" s="18">
        <v>62.4</v>
      </c>
      <c r="F84" s="15">
        <v>1.82</v>
      </c>
    </row>
    <row r="85" spans="1:6" x14ac:dyDescent="0.25">
      <c r="A85" s="11">
        <v>1993</v>
      </c>
      <c r="B85" s="11" t="s">
        <v>239</v>
      </c>
      <c r="C85" s="18">
        <v>12.6</v>
      </c>
      <c r="D85" s="18">
        <v>12.7</v>
      </c>
      <c r="E85" s="18">
        <v>58.2</v>
      </c>
      <c r="F85" s="15">
        <v>1.64</v>
      </c>
    </row>
    <row r="86" spans="1:6" x14ac:dyDescent="0.25">
      <c r="A86" s="11">
        <v>1993</v>
      </c>
      <c r="B86" s="11" t="s">
        <v>240</v>
      </c>
      <c r="C86" s="18">
        <v>12.2</v>
      </c>
      <c r="D86" s="18">
        <v>12.7</v>
      </c>
      <c r="E86" s="18">
        <v>57.7</v>
      </c>
      <c r="F86" s="15">
        <v>1.65</v>
      </c>
    </row>
    <row r="87" spans="1:6" x14ac:dyDescent="0.25">
      <c r="A87" s="11">
        <v>1993</v>
      </c>
      <c r="B87" s="11" t="s">
        <v>241</v>
      </c>
      <c r="C87" s="18">
        <v>13.4</v>
      </c>
      <c r="D87" s="18">
        <v>11.8</v>
      </c>
      <c r="E87" s="18">
        <v>58.9</v>
      </c>
      <c r="F87" s="15">
        <v>1.56</v>
      </c>
    </row>
    <row r="88" spans="1:6" x14ac:dyDescent="0.25">
      <c r="A88" s="11">
        <v>1993</v>
      </c>
      <c r="B88" s="11" t="s">
        <v>242</v>
      </c>
      <c r="C88" s="18">
        <v>12.3</v>
      </c>
      <c r="D88" s="18">
        <v>13.6</v>
      </c>
      <c r="E88" s="18">
        <v>60.2</v>
      </c>
      <c r="F88" s="15">
        <v>1.79</v>
      </c>
    </row>
    <row r="89" spans="1:6" x14ac:dyDescent="0.25">
      <c r="A89" s="11">
        <v>1993</v>
      </c>
      <c r="B89" s="11" t="s">
        <v>243</v>
      </c>
      <c r="C89" s="18">
        <v>12.2</v>
      </c>
      <c r="D89" s="18">
        <v>12.5</v>
      </c>
      <c r="E89" s="18">
        <v>57.8</v>
      </c>
      <c r="F89" s="15">
        <v>1.63</v>
      </c>
    </row>
    <row r="90" spans="1:6" x14ac:dyDescent="0.25">
      <c r="A90" s="11">
        <v>1993</v>
      </c>
      <c r="B90" s="11" t="s">
        <v>244</v>
      </c>
      <c r="C90" s="18">
        <v>12.4</v>
      </c>
      <c r="D90" s="18">
        <v>13</v>
      </c>
      <c r="E90" s="18">
        <v>57.5</v>
      </c>
      <c r="F90" s="15">
        <v>1.69</v>
      </c>
    </row>
    <row r="91" spans="1:6" x14ac:dyDescent="0.25">
      <c r="A91" s="11">
        <v>1993</v>
      </c>
      <c r="B91" s="11" t="s">
        <v>245</v>
      </c>
      <c r="C91" s="18">
        <v>13.3</v>
      </c>
      <c r="D91" s="18">
        <v>14.5</v>
      </c>
      <c r="E91" s="18">
        <v>65</v>
      </c>
      <c r="F91" s="15">
        <v>1.9</v>
      </c>
    </row>
    <row r="92" spans="1:6" x14ac:dyDescent="0.25">
      <c r="A92" s="11">
        <v>1993</v>
      </c>
      <c r="B92" s="11" t="s">
        <v>282</v>
      </c>
      <c r="C92" s="18">
        <v>9.6999999999999993</v>
      </c>
      <c r="D92" s="18">
        <v>12.1</v>
      </c>
      <c r="E92" s="18">
        <v>52.4</v>
      </c>
      <c r="F92" s="15">
        <v>1.6</v>
      </c>
    </row>
    <row r="93" spans="1:6" x14ac:dyDescent="0.25">
      <c r="A93" s="11">
        <v>1993</v>
      </c>
      <c r="B93" s="11" t="s">
        <v>247</v>
      </c>
      <c r="C93" s="18">
        <v>12.6</v>
      </c>
      <c r="D93" s="18">
        <v>13.1</v>
      </c>
      <c r="E93" s="18">
        <v>59.1</v>
      </c>
      <c r="F93" s="15">
        <v>1.73</v>
      </c>
    </row>
    <row r="94" spans="1:6" x14ac:dyDescent="0.25">
      <c r="A94" s="11">
        <v>1993</v>
      </c>
      <c r="B94" s="11" t="s">
        <v>248</v>
      </c>
      <c r="C94" s="18">
        <v>12.9</v>
      </c>
      <c r="D94" s="18">
        <v>12.5</v>
      </c>
      <c r="E94" s="18">
        <v>57.7</v>
      </c>
      <c r="F94" s="15">
        <v>1.62</v>
      </c>
    </row>
    <row r="95" spans="1:6" x14ac:dyDescent="0.25">
      <c r="A95" s="11">
        <v>1993</v>
      </c>
      <c r="B95" s="11" t="s">
        <v>249</v>
      </c>
      <c r="C95" s="18">
        <v>12</v>
      </c>
      <c r="D95" s="18">
        <v>14.2</v>
      </c>
      <c r="E95" s="18">
        <v>61.6</v>
      </c>
      <c r="F95" s="15">
        <v>1.89</v>
      </c>
    </row>
    <row r="96" spans="1:6" x14ac:dyDescent="0.25">
      <c r="A96" s="11">
        <v>1993</v>
      </c>
      <c r="B96" s="11" t="s">
        <v>250</v>
      </c>
      <c r="C96" s="18">
        <v>11.4</v>
      </c>
      <c r="D96" s="18">
        <v>13.1</v>
      </c>
      <c r="E96" s="18">
        <v>57.9</v>
      </c>
      <c r="F96" s="15">
        <v>1.72</v>
      </c>
    </row>
    <row r="97" spans="1:6" x14ac:dyDescent="0.25">
      <c r="A97" s="11">
        <v>1993</v>
      </c>
      <c r="B97" s="11" t="s">
        <v>251</v>
      </c>
      <c r="C97" s="18">
        <v>12.2</v>
      </c>
      <c r="D97" s="18">
        <v>12</v>
      </c>
      <c r="E97" s="18">
        <v>55.8</v>
      </c>
      <c r="F97" s="15">
        <v>1.57</v>
      </c>
    </row>
    <row r="98" spans="1:6" x14ac:dyDescent="0.25">
      <c r="A98" s="11">
        <v>1993</v>
      </c>
      <c r="B98" s="11" t="s">
        <v>252</v>
      </c>
      <c r="C98" s="18">
        <v>10.8</v>
      </c>
      <c r="D98" s="18">
        <v>12.5</v>
      </c>
      <c r="E98" s="18">
        <v>55.2</v>
      </c>
      <c r="F98" s="15">
        <v>1.61</v>
      </c>
    </row>
    <row r="99" spans="1:6" x14ac:dyDescent="0.25">
      <c r="A99" s="11">
        <v>1993</v>
      </c>
      <c r="B99" s="11" t="s">
        <v>253</v>
      </c>
      <c r="C99" s="18">
        <v>13.8</v>
      </c>
      <c r="D99" s="18">
        <v>15.2</v>
      </c>
      <c r="E99" s="18">
        <v>67.099999999999994</v>
      </c>
      <c r="F99" s="15">
        <v>2</v>
      </c>
    </row>
    <row r="100" spans="1:6" x14ac:dyDescent="0.25">
      <c r="A100" s="11">
        <v>1993</v>
      </c>
      <c r="B100" s="11" t="s">
        <v>254</v>
      </c>
      <c r="C100" s="18">
        <v>11</v>
      </c>
      <c r="D100" s="18">
        <v>12.7</v>
      </c>
      <c r="E100" s="18">
        <v>55.4</v>
      </c>
      <c r="F100" s="15">
        <v>1.66</v>
      </c>
    </row>
    <row r="101" spans="1:6" x14ac:dyDescent="0.25">
      <c r="A101" s="11">
        <v>1993</v>
      </c>
      <c r="B101" s="11" t="s">
        <v>255</v>
      </c>
      <c r="C101" s="18">
        <v>12.9</v>
      </c>
      <c r="D101" s="18">
        <v>12.9</v>
      </c>
      <c r="E101" s="18">
        <v>58.6</v>
      </c>
      <c r="F101" s="15">
        <v>1.68</v>
      </c>
    </row>
    <row r="102" spans="1:6" x14ac:dyDescent="0.25">
      <c r="A102" s="11">
        <v>1993</v>
      </c>
      <c r="B102" s="11" t="s">
        <v>256</v>
      </c>
      <c r="C102" s="18">
        <v>11.3</v>
      </c>
      <c r="D102" s="18">
        <v>11.6</v>
      </c>
      <c r="E102" s="18">
        <v>51.8</v>
      </c>
      <c r="F102" s="15">
        <v>1.52</v>
      </c>
    </row>
    <row r="103" spans="1:6" x14ac:dyDescent="0.25">
      <c r="A103" s="11">
        <v>1993</v>
      </c>
      <c r="B103" s="11" t="s">
        <v>257</v>
      </c>
      <c r="C103" s="18">
        <v>12.9</v>
      </c>
      <c r="D103" s="18">
        <v>12.7</v>
      </c>
      <c r="E103" s="18">
        <v>59.3</v>
      </c>
      <c r="F103" s="15">
        <v>1.66</v>
      </c>
    </row>
    <row r="104" spans="1:6" x14ac:dyDescent="0.25">
      <c r="A104" s="11">
        <v>1993</v>
      </c>
      <c r="B104" s="11" t="s">
        <v>258</v>
      </c>
      <c r="C104" s="18">
        <v>14</v>
      </c>
      <c r="D104" s="18">
        <v>12.9</v>
      </c>
      <c r="E104" s="18">
        <v>60</v>
      </c>
      <c r="F104" s="15">
        <v>1.69</v>
      </c>
    </row>
    <row r="105" spans="1:6" x14ac:dyDescent="0.25">
      <c r="A105" s="11">
        <v>1994</v>
      </c>
      <c r="B105" s="11" t="s">
        <v>11</v>
      </c>
      <c r="C105" s="18">
        <v>12.1</v>
      </c>
      <c r="D105" s="18">
        <v>12.1</v>
      </c>
      <c r="E105" s="18">
        <v>56</v>
      </c>
      <c r="F105" s="15">
        <v>1.58</v>
      </c>
    </row>
    <row r="106" spans="1:6" x14ac:dyDescent="0.25">
      <c r="A106" s="11">
        <v>1994</v>
      </c>
      <c r="B106" s="11" t="s">
        <v>227</v>
      </c>
      <c r="C106" s="18">
        <v>12</v>
      </c>
      <c r="D106" s="18">
        <v>10.7</v>
      </c>
      <c r="E106" s="18">
        <v>51</v>
      </c>
      <c r="F106" s="15">
        <v>1.41</v>
      </c>
    </row>
    <row r="107" spans="1:6" x14ac:dyDescent="0.25">
      <c r="A107" s="11">
        <v>1994</v>
      </c>
      <c r="B107" s="11" t="s">
        <v>228</v>
      </c>
      <c r="C107" s="18">
        <v>12.7</v>
      </c>
      <c r="D107" s="18">
        <v>13.5</v>
      </c>
      <c r="E107" s="18">
        <v>59.1</v>
      </c>
      <c r="F107" s="15">
        <v>1.77</v>
      </c>
    </row>
    <row r="108" spans="1:6" x14ac:dyDescent="0.25">
      <c r="A108" s="11">
        <v>1994</v>
      </c>
      <c r="B108" s="11" t="s">
        <v>229</v>
      </c>
      <c r="C108" s="18">
        <v>11.4</v>
      </c>
      <c r="D108" s="18">
        <v>12.8</v>
      </c>
      <c r="E108" s="18">
        <v>57.4</v>
      </c>
      <c r="F108" s="15">
        <v>1.69</v>
      </c>
    </row>
    <row r="109" spans="1:6" x14ac:dyDescent="0.25">
      <c r="A109" s="11">
        <v>1994</v>
      </c>
      <c r="B109" s="11" t="s">
        <v>230</v>
      </c>
      <c r="C109" s="18">
        <v>11.2</v>
      </c>
      <c r="D109" s="18">
        <v>13.3</v>
      </c>
      <c r="E109" s="18">
        <v>59.3</v>
      </c>
      <c r="F109" s="15">
        <v>1.74</v>
      </c>
    </row>
    <row r="110" spans="1:6" x14ac:dyDescent="0.25">
      <c r="A110" s="11">
        <v>1994</v>
      </c>
      <c r="B110" s="11" t="s">
        <v>231</v>
      </c>
      <c r="C110" s="18">
        <v>12</v>
      </c>
      <c r="D110" s="18">
        <v>10.5</v>
      </c>
      <c r="E110" s="18">
        <v>51.4</v>
      </c>
      <c r="F110" s="15">
        <v>1.4</v>
      </c>
    </row>
    <row r="111" spans="1:6" x14ac:dyDescent="0.25">
      <c r="A111" s="11">
        <v>1994</v>
      </c>
      <c r="B111" s="11" t="s">
        <v>232</v>
      </c>
      <c r="C111" s="18">
        <v>12.5</v>
      </c>
      <c r="D111" s="18">
        <v>12.9</v>
      </c>
      <c r="E111" s="18">
        <v>58.8</v>
      </c>
      <c r="F111" s="15">
        <v>1.72</v>
      </c>
    </row>
    <row r="112" spans="1:6" x14ac:dyDescent="0.25">
      <c r="A112" s="11">
        <v>1994</v>
      </c>
      <c r="B112" s="11" t="s">
        <v>233</v>
      </c>
      <c r="C112" s="18">
        <v>11.8</v>
      </c>
      <c r="D112" s="18">
        <v>13.5</v>
      </c>
      <c r="E112" s="18">
        <v>60.8</v>
      </c>
      <c r="F112" s="15">
        <v>1.81</v>
      </c>
    </row>
    <row r="113" spans="1:6" x14ac:dyDescent="0.25">
      <c r="A113" s="11">
        <v>1994</v>
      </c>
      <c r="B113" s="11" t="s">
        <v>234</v>
      </c>
      <c r="C113" s="18">
        <v>11.5</v>
      </c>
      <c r="D113" s="18">
        <v>11.3</v>
      </c>
      <c r="E113" s="18">
        <v>53</v>
      </c>
      <c r="F113" s="15">
        <v>1.48</v>
      </c>
    </row>
    <row r="114" spans="1:6" x14ac:dyDescent="0.25">
      <c r="A114" s="11">
        <v>1994</v>
      </c>
      <c r="B114" s="11" t="s">
        <v>235</v>
      </c>
      <c r="C114" s="18">
        <v>11.9</v>
      </c>
      <c r="D114" s="18">
        <v>12.3</v>
      </c>
      <c r="E114" s="18">
        <v>57.1</v>
      </c>
      <c r="F114" s="15">
        <v>1.64</v>
      </c>
    </row>
    <row r="115" spans="1:6" x14ac:dyDescent="0.25">
      <c r="A115" s="11">
        <v>1994</v>
      </c>
      <c r="B115" s="11" t="s">
        <v>236</v>
      </c>
      <c r="C115" s="18">
        <v>11.2</v>
      </c>
      <c r="D115" s="18">
        <v>12.4</v>
      </c>
      <c r="E115" s="18">
        <v>53</v>
      </c>
      <c r="F115" s="15">
        <v>1.59</v>
      </c>
    </row>
    <row r="116" spans="1:6" x14ac:dyDescent="0.25">
      <c r="A116" s="11">
        <v>1994</v>
      </c>
      <c r="B116" s="11" t="s">
        <v>237</v>
      </c>
      <c r="C116" s="18">
        <v>12.2</v>
      </c>
      <c r="D116" s="18">
        <v>13.2</v>
      </c>
      <c r="E116" s="18">
        <v>60.2</v>
      </c>
      <c r="F116" s="15">
        <v>1.72</v>
      </c>
    </row>
    <row r="117" spans="1:6" x14ac:dyDescent="0.25">
      <c r="A117" s="11">
        <v>1994</v>
      </c>
      <c r="B117" s="11" t="s">
        <v>238</v>
      </c>
      <c r="C117" s="18">
        <v>12.3</v>
      </c>
      <c r="D117" s="18">
        <v>13.6</v>
      </c>
      <c r="E117" s="18">
        <v>58.5</v>
      </c>
      <c r="F117" s="15">
        <v>1.69</v>
      </c>
    </row>
    <row r="118" spans="1:6" x14ac:dyDescent="0.25">
      <c r="A118" s="11">
        <v>1994</v>
      </c>
      <c r="B118" s="11" t="s">
        <v>239</v>
      </c>
      <c r="C118" s="18">
        <v>12.3</v>
      </c>
      <c r="D118" s="18">
        <v>12.3</v>
      </c>
      <c r="E118" s="18">
        <v>57</v>
      </c>
      <c r="F118" s="15">
        <v>1.62</v>
      </c>
    </row>
    <row r="119" spans="1:6" x14ac:dyDescent="0.25">
      <c r="A119" s="11">
        <v>1994</v>
      </c>
      <c r="B119" s="11" t="s">
        <v>240</v>
      </c>
      <c r="C119" s="18">
        <v>11.7</v>
      </c>
      <c r="D119" s="18">
        <v>12.2</v>
      </c>
      <c r="E119" s="18">
        <v>55.6</v>
      </c>
      <c r="F119" s="15">
        <v>1.6</v>
      </c>
    </row>
    <row r="120" spans="1:6" x14ac:dyDescent="0.25">
      <c r="A120" s="11">
        <v>1994</v>
      </c>
      <c r="B120" s="11" t="s">
        <v>241</v>
      </c>
      <c r="C120" s="18">
        <v>12.9</v>
      </c>
      <c r="D120" s="18">
        <v>11.3</v>
      </c>
      <c r="E120" s="18">
        <v>56.2</v>
      </c>
      <c r="F120" s="15">
        <v>1.5</v>
      </c>
    </row>
    <row r="121" spans="1:6" x14ac:dyDescent="0.25">
      <c r="A121" s="11">
        <v>1994</v>
      </c>
      <c r="B121" s="11" t="s">
        <v>242</v>
      </c>
      <c r="C121" s="18">
        <v>12</v>
      </c>
      <c r="D121" s="18">
        <v>13.3</v>
      </c>
      <c r="E121" s="18">
        <v>59.2</v>
      </c>
      <c r="F121" s="15">
        <v>1.77</v>
      </c>
    </row>
    <row r="122" spans="1:6" x14ac:dyDescent="0.25">
      <c r="A122" s="11">
        <v>1994</v>
      </c>
      <c r="B122" s="11" t="s">
        <v>243</v>
      </c>
      <c r="C122" s="18">
        <v>12.2</v>
      </c>
      <c r="D122" s="18">
        <v>12.5</v>
      </c>
      <c r="E122" s="18">
        <v>58</v>
      </c>
      <c r="F122" s="15">
        <v>1.66</v>
      </c>
    </row>
    <row r="123" spans="1:6" x14ac:dyDescent="0.25">
      <c r="A123" s="11">
        <v>1994</v>
      </c>
      <c r="B123" s="11" t="s">
        <v>244</v>
      </c>
      <c r="C123" s="18">
        <v>12.4</v>
      </c>
      <c r="D123" s="18">
        <v>13</v>
      </c>
      <c r="E123" s="18">
        <v>58.4</v>
      </c>
      <c r="F123" s="15">
        <v>1.7</v>
      </c>
    </row>
    <row r="124" spans="1:6" x14ac:dyDescent="0.25">
      <c r="A124" s="11">
        <v>1994</v>
      </c>
      <c r="B124" s="11" t="s">
        <v>245</v>
      </c>
      <c r="C124" s="18">
        <v>12.9</v>
      </c>
      <c r="D124" s="18">
        <v>14</v>
      </c>
      <c r="E124" s="18">
        <v>63.5</v>
      </c>
      <c r="F124" s="15">
        <v>1.85</v>
      </c>
    </row>
    <row r="125" spans="1:6" x14ac:dyDescent="0.25">
      <c r="A125" s="11">
        <v>1994</v>
      </c>
      <c r="B125" s="11" t="s">
        <v>282</v>
      </c>
      <c r="C125" s="18">
        <v>10.3</v>
      </c>
      <c r="D125" s="18">
        <v>12.9</v>
      </c>
      <c r="E125" s="18">
        <v>56.2</v>
      </c>
      <c r="F125" s="15">
        <v>1.73</v>
      </c>
    </row>
    <row r="126" spans="1:6" x14ac:dyDescent="0.25">
      <c r="A126" s="11">
        <v>1994</v>
      </c>
      <c r="B126" s="11" t="s">
        <v>247</v>
      </c>
      <c r="C126" s="18">
        <v>12.3</v>
      </c>
      <c r="D126" s="18">
        <v>12.7</v>
      </c>
      <c r="E126" s="18">
        <v>57.7</v>
      </c>
      <c r="F126" s="15">
        <v>1.68</v>
      </c>
    </row>
    <row r="127" spans="1:6" x14ac:dyDescent="0.25">
      <c r="A127" s="11">
        <v>1994</v>
      </c>
      <c r="B127" s="11" t="s">
        <v>248</v>
      </c>
      <c r="C127" s="18">
        <v>12.5</v>
      </c>
      <c r="D127" s="18">
        <v>12.1</v>
      </c>
      <c r="E127" s="18">
        <v>56.3</v>
      </c>
      <c r="F127" s="15">
        <v>1.59</v>
      </c>
    </row>
    <row r="128" spans="1:6" x14ac:dyDescent="0.25">
      <c r="A128" s="11">
        <v>1994</v>
      </c>
      <c r="B128" s="11" t="s">
        <v>249</v>
      </c>
      <c r="C128" s="18">
        <v>12.6</v>
      </c>
      <c r="D128" s="18">
        <v>14.9</v>
      </c>
      <c r="E128" s="18">
        <v>64.8</v>
      </c>
      <c r="F128" s="15">
        <v>1.96</v>
      </c>
    </row>
    <row r="129" spans="1:6" x14ac:dyDescent="0.25">
      <c r="A129" s="11">
        <v>1994</v>
      </c>
      <c r="B129" s="11" t="s">
        <v>250</v>
      </c>
      <c r="C129" s="18">
        <v>10.7</v>
      </c>
      <c r="D129" s="18">
        <v>12.2</v>
      </c>
      <c r="E129" s="18">
        <v>54.2</v>
      </c>
      <c r="F129" s="15">
        <v>1.6</v>
      </c>
    </row>
    <row r="130" spans="1:6" x14ac:dyDescent="0.25">
      <c r="A130" s="11">
        <v>1994</v>
      </c>
      <c r="B130" s="11" t="s">
        <v>251</v>
      </c>
      <c r="C130" s="18">
        <v>11.8</v>
      </c>
      <c r="D130" s="18">
        <v>11.7</v>
      </c>
      <c r="E130" s="18">
        <v>54.1</v>
      </c>
      <c r="F130" s="15">
        <v>1.53</v>
      </c>
    </row>
    <row r="131" spans="1:6" x14ac:dyDescent="0.25">
      <c r="A131" s="11">
        <v>1994</v>
      </c>
      <c r="B131" s="11" t="s">
        <v>252</v>
      </c>
      <c r="C131" s="18">
        <v>10.9</v>
      </c>
      <c r="D131" s="18">
        <v>12.5</v>
      </c>
      <c r="E131" s="18">
        <v>55.7</v>
      </c>
      <c r="F131" s="15">
        <v>1.64</v>
      </c>
    </row>
    <row r="132" spans="1:6" x14ac:dyDescent="0.25">
      <c r="A132" s="11">
        <v>1994</v>
      </c>
      <c r="B132" s="11" t="s">
        <v>253</v>
      </c>
      <c r="C132" s="18">
        <v>13.8</v>
      </c>
      <c r="D132" s="18">
        <v>15.2</v>
      </c>
      <c r="E132" s="18">
        <v>67.3</v>
      </c>
      <c r="F132" s="15">
        <v>2.02</v>
      </c>
    </row>
    <row r="133" spans="1:6" x14ac:dyDescent="0.25">
      <c r="A133" s="11">
        <v>1994</v>
      </c>
      <c r="B133" s="11" t="s">
        <v>254</v>
      </c>
      <c r="C133" s="18">
        <v>10.1</v>
      </c>
      <c r="D133" s="18">
        <v>11.6</v>
      </c>
      <c r="E133" s="18">
        <v>50.9</v>
      </c>
      <c r="F133" s="15">
        <v>1.52</v>
      </c>
    </row>
    <row r="134" spans="1:6" x14ac:dyDescent="0.25">
      <c r="A134" s="11">
        <v>1994</v>
      </c>
      <c r="B134" s="11" t="s">
        <v>255</v>
      </c>
      <c r="C134" s="18">
        <v>12.2</v>
      </c>
      <c r="D134" s="18">
        <v>12.2</v>
      </c>
      <c r="E134" s="18">
        <v>55.8</v>
      </c>
      <c r="F134" s="15">
        <v>1.59</v>
      </c>
    </row>
    <row r="135" spans="1:6" x14ac:dyDescent="0.25">
      <c r="A135" s="11">
        <v>1994</v>
      </c>
      <c r="B135" s="11" t="s">
        <v>256</v>
      </c>
      <c r="C135" s="18">
        <v>10.4</v>
      </c>
      <c r="D135" s="18">
        <v>10.8</v>
      </c>
      <c r="E135" s="18">
        <v>48.2</v>
      </c>
      <c r="F135" s="15">
        <v>1.42</v>
      </c>
    </row>
    <row r="136" spans="1:6" x14ac:dyDescent="0.25">
      <c r="A136" s="11">
        <v>1994</v>
      </c>
      <c r="B136" s="11" t="s">
        <v>257</v>
      </c>
      <c r="C136" s="18">
        <v>13.1</v>
      </c>
      <c r="D136" s="18">
        <v>12.9</v>
      </c>
      <c r="E136" s="18">
        <v>60.3</v>
      </c>
      <c r="F136" s="15">
        <v>1.71</v>
      </c>
    </row>
    <row r="137" spans="1:6" x14ac:dyDescent="0.25">
      <c r="A137" s="11">
        <v>1994</v>
      </c>
      <c r="B137" s="11" t="s">
        <v>258</v>
      </c>
      <c r="C137" s="18">
        <v>13.7</v>
      </c>
      <c r="D137" s="18">
        <v>12.6</v>
      </c>
      <c r="E137" s="18">
        <v>59.2</v>
      </c>
      <c r="F137" s="15">
        <v>1.65</v>
      </c>
    </row>
    <row r="138" spans="1:6" x14ac:dyDescent="0.25">
      <c r="A138" s="11">
        <v>1995</v>
      </c>
      <c r="B138" s="11" t="s">
        <v>11</v>
      </c>
      <c r="C138" s="18">
        <v>11.8</v>
      </c>
      <c r="D138" s="18">
        <v>11.8</v>
      </c>
      <c r="E138" s="18">
        <v>54.6</v>
      </c>
      <c r="F138" s="15">
        <v>1.56</v>
      </c>
    </row>
    <row r="139" spans="1:6" x14ac:dyDescent="0.25">
      <c r="A139" s="11">
        <v>1995</v>
      </c>
      <c r="B139" s="11" t="s">
        <v>227</v>
      </c>
      <c r="C139" s="18">
        <v>10.7</v>
      </c>
      <c r="D139" s="18">
        <v>9.6</v>
      </c>
      <c r="E139" s="18">
        <v>45.7</v>
      </c>
      <c r="F139" s="15">
        <v>1.27</v>
      </c>
    </row>
    <row r="140" spans="1:6" x14ac:dyDescent="0.25">
      <c r="A140" s="11">
        <v>1995</v>
      </c>
      <c r="B140" s="11" t="s">
        <v>228</v>
      </c>
      <c r="C140" s="18">
        <v>11.9</v>
      </c>
      <c r="D140" s="18">
        <v>12.7</v>
      </c>
      <c r="E140" s="18">
        <v>55.8</v>
      </c>
      <c r="F140" s="15">
        <v>1.67</v>
      </c>
    </row>
    <row r="141" spans="1:6" x14ac:dyDescent="0.25">
      <c r="A141" s="11">
        <v>1995</v>
      </c>
      <c r="B141" s="11" t="s">
        <v>229</v>
      </c>
      <c r="C141" s="18">
        <v>11.3</v>
      </c>
      <c r="D141" s="18">
        <v>12.6</v>
      </c>
      <c r="E141" s="18">
        <v>56.8</v>
      </c>
      <c r="F141" s="15">
        <v>1.69</v>
      </c>
    </row>
    <row r="142" spans="1:6" x14ac:dyDescent="0.25">
      <c r="A142" s="11">
        <v>1995</v>
      </c>
      <c r="B142" s="11" t="s">
        <v>230</v>
      </c>
      <c r="C142" s="18">
        <v>11</v>
      </c>
      <c r="D142" s="18">
        <v>13</v>
      </c>
      <c r="E142" s="18">
        <v>58.4</v>
      </c>
      <c r="F142" s="15">
        <v>1.73</v>
      </c>
    </row>
    <row r="143" spans="1:6" x14ac:dyDescent="0.25">
      <c r="A143" s="11">
        <v>1995</v>
      </c>
      <c r="B143" s="11" t="s">
        <v>231</v>
      </c>
      <c r="C143" s="18">
        <v>11.4</v>
      </c>
      <c r="D143" s="18">
        <v>9.9</v>
      </c>
      <c r="E143" s="18">
        <v>48.4</v>
      </c>
      <c r="F143" s="15">
        <v>1.32</v>
      </c>
    </row>
    <row r="144" spans="1:6" x14ac:dyDescent="0.25">
      <c r="A144" s="11">
        <v>1995</v>
      </c>
      <c r="B144" s="11" t="s">
        <v>232</v>
      </c>
      <c r="C144" s="18">
        <v>13.1</v>
      </c>
      <c r="D144" s="18">
        <v>13.6</v>
      </c>
      <c r="E144" s="18">
        <v>62</v>
      </c>
      <c r="F144" s="15">
        <v>1.86</v>
      </c>
    </row>
    <row r="145" spans="1:6" x14ac:dyDescent="0.25">
      <c r="A145" s="11">
        <v>1995</v>
      </c>
      <c r="B145" s="11" t="s">
        <v>233</v>
      </c>
      <c r="C145" s="18">
        <v>11</v>
      </c>
      <c r="D145" s="18">
        <v>12.7</v>
      </c>
      <c r="E145" s="18">
        <v>57.1</v>
      </c>
      <c r="F145" s="15">
        <v>1.71</v>
      </c>
    </row>
    <row r="146" spans="1:6" x14ac:dyDescent="0.25">
      <c r="A146" s="11">
        <v>1995</v>
      </c>
      <c r="B146" s="11" t="s">
        <v>234</v>
      </c>
      <c r="C146" s="18">
        <v>11.4</v>
      </c>
      <c r="D146" s="18">
        <v>11.2</v>
      </c>
      <c r="E146" s="18">
        <v>52.4</v>
      </c>
      <c r="F146" s="15">
        <v>1.48</v>
      </c>
    </row>
    <row r="147" spans="1:6" x14ac:dyDescent="0.25">
      <c r="A147" s="11">
        <v>1995</v>
      </c>
      <c r="B147" s="11" t="s">
        <v>235</v>
      </c>
      <c r="C147" s="18">
        <v>12</v>
      </c>
      <c r="D147" s="18">
        <v>12.4</v>
      </c>
      <c r="E147" s="18">
        <v>57.5</v>
      </c>
      <c r="F147" s="15">
        <v>1.67</v>
      </c>
    </row>
    <row r="148" spans="1:6" x14ac:dyDescent="0.25">
      <c r="A148" s="11">
        <v>1995</v>
      </c>
      <c r="B148" s="11" t="s">
        <v>236</v>
      </c>
      <c r="C148" s="18">
        <v>11.4</v>
      </c>
      <c r="D148" s="18">
        <v>12.6</v>
      </c>
      <c r="E148" s="18">
        <v>54.2</v>
      </c>
      <c r="F148" s="15">
        <v>1.61</v>
      </c>
    </row>
    <row r="149" spans="1:6" x14ac:dyDescent="0.25">
      <c r="A149" s="11">
        <v>1995</v>
      </c>
      <c r="B149" s="11" t="s">
        <v>237</v>
      </c>
      <c r="C149" s="18">
        <v>12.6</v>
      </c>
      <c r="D149" s="18">
        <v>13.6</v>
      </c>
      <c r="E149" s="18">
        <v>62.2</v>
      </c>
      <c r="F149" s="15">
        <v>1.77</v>
      </c>
    </row>
    <row r="150" spans="1:6" x14ac:dyDescent="0.25">
      <c r="A150" s="11">
        <v>1995</v>
      </c>
      <c r="B150" s="11" t="s">
        <v>238</v>
      </c>
      <c r="C150" s="18">
        <v>11.5</v>
      </c>
      <c r="D150" s="18">
        <v>12.7</v>
      </c>
      <c r="E150" s="18">
        <v>54.7</v>
      </c>
      <c r="F150" s="15">
        <v>1.6</v>
      </c>
    </row>
    <row r="151" spans="1:6" x14ac:dyDescent="0.25">
      <c r="A151" s="11">
        <v>1995</v>
      </c>
      <c r="B151" s="11" t="s">
        <v>239</v>
      </c>
      <c r="C151" s="18">
        <v>11.4</v>
      </c>
      <c r="D151" s="18">
        <v>11.5</v>
      </c>
      <c r="E151" s="18">
        <v>53.3</v>
      </c>
      <c r="F151" s="15">
        <v>1.53</v>
      </c>
    </row>
    <row r="152" spans="1:6" x14ac:dyDescent="0.25">
      <c r="A152" s="11">
        <v>1995</v>
      </c>
      <c r="B152" s="11" t="s">
        <v>240</v>
      </c>
      <c r="C152" s="18">
        <v>11.5</v>
      </c>
      <c r="D152" s="18">
        <v>12</v>
      </c>
      <c r="E152" s="18">
        <v>54.8</v>
      </c>
      <c r="F152" s="15">
        <v>1.6</v>
      </c>
    </row>
    <row r="153" spans="1:6" x14ac:dyDescent="0.25">
      <c r="A153" s="11">
        <v>1995</v>
      </c>
      <c r="B153" s="11" t="s">
        <v>241</v>
      </c>
      <c r="C153" s="18">
        <v>12.9</v>
      </c>
      <c r="D153" s="18">
        <v>11.3</v>
      </c>
      <c r="E153" s="18">
        <v>56.1</v>
      </c>
      <c r="F153" s="15">
        <v>1.52</v>
      </c>
    </row>
    <row r="154" spans="1:6" x14ac:dyDescent="0.25">
      <c r="A154" s="11">
        <v>1995</v>
      </c>
      <c r="B154" s="11" t="s">
        <v>242</v>
      </c>
      <c r="C154" s="18">
        <v>11.6</v>
      </c>
      <c r="D154" s="18">
        <v>12.9</v>
      </c>
      <c r="E154" s="18">
        <v>57.5</v>
      </c>
      <c r="F154" s="15">
        <v>1.73</v>
      </c>
    </row>
    <row r="155" spans="1:6" x14ac:dyDescent="0.25">
      <c r="A155" s="11">
        <v>1995</v>
      </c>
      <c r="B155" s="11" t="s">
        <v>243</v>
      </c>
      <c r="C155" s="18">
        <v>12.3</v>
      </c>
      <c r="D155" s="18">
        <v>12.6</v>
      </c>
      <c r="E155" s="18">
        <v>58.2</v>
      </c>
      <c r="F155" s="15">
        <v>1.69</v>
      </c>
    </row>
    <row r="156" spans="1:6" x14ac:dyDescent="0.25">
      <c r="A156" s="11">
        <v>1995</v>
      </c>
      <c r="B156" s="11" t="s">
        <v>244</v>
      </c>
      <c r="C156" s="18">
        <v>11.9</v>
      </c>
      <c r="D156" s="18">
        <v>12.5</v>
      </c>
      <c r="E156" s="18">
        <v>56.3</v>
      </c>
      <c r="F156" s="15">
        <v>1.65</v>
      </c>
    </row>
    <row r="157" spans="1:6" x14ac:dyDescent="0.25">
      <c r="A157" s="11">
        <v>1995</v>
      </c>
      <c r="B157" s="11" t="s">
        <v>245</v>
      </c>
      <c r="C157" s="18">
        <v>12.2</v>
      </c>
      <c r="D157" s="18">
        <v>13.3</v>
      </c>
      <c r="E157" s="18">
        <v>60.5</v>
      </c>
      <c r="F157" s="15">
        <v>1.77</v>
      </c>
    </row>
    <row r="158" spans="1:6" x14ac:dyDescent="0.25">
      <c r="A158" s="11">
        <v>1995</v>
      </c>
      <c r="B158" s="11" t="s">
        <v>282</v>
      </c>
      <c r="C158" s="18">
        <v>10.5</v>
      </c>
      <c r="D158" s="18">
        <v>13</v>
      </c>
      <c r="E158" s="18">
        <v>57</v>
      </c>
      <c r="F158" s="15">
        <v>1.75</v>
      </c>
    </row>
    <row r="159" spans="1:6" x14ac:dyDescent="0.25">
      <c r="A159" s="11">
        <v>1995</v>
      </c>
      <c r="B159" s="11" t="s">
        <v>247</v>
      </c>
      <c r="C159" s="18">
        <v>11.8</v>
      </c>
      <c r="D159" s="18">
        <v>12.3</v>
      </c>
      <c r="E159" s="18">
        <v>55.8</v>
      </c>
      <c r="F159" s="15">
        <v>1.64</v>
      </c>
    </row>
    <row r="160" spans="1:6" x14ac:dyDescent="0.25">
      <c r="A160" s="11">
        <v>1995</v>
      </c>
      <c r="B160" s="11" t="s">
        <v>248</v>
      </c>
      <c r="C160" s="18">
        <v>12.5</v>
      </c>
      <c r="D160" s="18">
        <v>12</v>
      </c>
      <c r="E160" s="18">
        <v>55.9</v>
      </c>
      <c r="F160" s="15">
        <v>1.6</v>
      </c>
    </row>
    <row r="161" spans="1:6" x14ac:dyDescent="0.25">
      <c r="A161" s="11">
        <v>1995</v>
      </c>
      <c r="B161" s="11" t="s">
        <v>249</v>
      </c>
      <c r="C161" s="18">
        <v>11.7</v>
      </c>
      <c r="D161" s="18">
        <v>13.9</v>
      </c>
      <c r="E161" s="18">
        <v>61.2</v>
      </c>
      <c r="F161" s="15">
        <v>1.93</v>
      </c>
    </row>
    <row r="162" spans="1:6" x14ac:dyDescent="0.25">
      <c r="A162" s="11">
        <v>1995</v>
      </c>
      <c r="B162" s="11" t="s">
        <v>250</v>
      </c>
      <c r="C162" s="18">
        <v>10.3</v>
      </c>
      <c r="D162" s="18">
        <v>11.7</v>
      </c>
      <c r="E162" s="18">
        <v>52.2</v>
      </c>
      <c r="F162" s="15">
        <v>1.55</v>
      </c>
    </row>
    <row r="163" spans="1:6" x14ac:dyDescent="0.25">
      <c r="A163" s="11">
        <v>1995</v>
      </c>
      <c r="B163" s="11" t="s">
        <v>251</v>
      </c>
      <c r="C163" s="18">
        <v>11.9</v>
      </c>
      <c r="D163" s="18">
        <v>11.8</v>
      </c>
      <c r="E163" s="18">
        <v>54.7</v>
      </c>
      <c r="F163" s="15">
        <v>1.56</v>
      </c>
    </row>
    <row r="164" spans="1:6" x14ac:dyDescent="0.25">
      <c r="A164" s="11">
        <v>1995</v>
      </c>
      <c r="B164" s="11" t="s">
        <v>252</v>
      </c>
      <c r="C164" s="18">
        <v>11.1</v>
      </c>
      <c r="D164" s="18">
        <v>12.8</v>
      </c>
      <c r="E164" s="18">
        <v>57</v>
      </c>
      <c r="F164" s="15">
        <v>1.7</v>
      </c>
    </row>
    <row r="165" spans="1:6" x14ac:dyDescent="0.25">
      <c r="A165" s="11">
        <v>1995</v>
      </c>
      <c r="B165" s="11" t="s">
        <v>253</v>
      </c>
      <c r="C165" s="18">
        <v>12.7</v>
      </c>
      <c r="D165" s="18">
        <v>13.9</v>
      </c>
      <c r="E165" s="18">
        <v>62</v>
      </c>
      <c r="F165" s="15">
        <v>1.86</v>
      </c>
    </row>
    <row r="166" spans="1:6" x14ac:dyDescent="0.25">
      <c r="A166" s="11">
        <v>1995</v>
      </c>
      <c r="B166" s="11" t="s">
        <v>254</v>
      </c>
      <c r="C166" s="18">
        <v>9.5</v>
      </c>
      <c r="D166" s="18">
        <v>10.9</v>
      </c>
      <c r="E166" s="18">
        <v>48.3</v>
      </c>
      <c r="F166" s="15">
        <v>1.46</v>
      </c>
    </row>
    <row r="167" spans="1:6" x14ac:dyDescent="0.25">
      <c r="A167" s="11">
        <v>1995</v>
      </c>
      <c r="B167" s="11" t="s">
        <v>255</v>
      </c>
      <c r="C167" s="18">
        <v>11.5</v>
      </c>
      <c r="D167" s="18">
        <v>11.6</v>
      </c>
      <c r="E167" s="18">
        <v>52.8</v>
      </c>
      <c r="F167" s="15">
        <v>1.53</v>
      </c>
    </row>
    <row r="168" spans="1:6" x14ac:dyDescent="0.25">
      <c r="A168" s="11">
        <v>1995</v>
      </c>
      <c r="B168" s="11" t="s">
        <v>256</v>
      </c>
      <c r="C168" s="18">
        <v>11.1</v>
      </c>
      <c r="D168" s="18">
        <v>11.3</v>
      </c>
      <c r="E168" s="18">
        <v>51.2</v>
      </c>
      <c r="F168" s="15">
        <v>1.51</v>
      </c>
    </row>
    <row r="169" spans="1:6" x14ac:dyDescent="0.25">
      <c r="A169" s="11">
        <v>1995</v>
      </c>
      <c r="B169" s="11" t="s">
        <v>257</v>
      </c>
      <c r="C169" s="18">
        <v>12.2</v>
      </c>
      <c r="D169" s="18">
        <v>12.2</v>
      </c>
      <c r="E169" s="18">
        <v>56.7</v>
      </c>
      <c r="F169" s="15">
        <v>1.63</v>
      </c>
    </row>
    <row r="170" spans="1:6" x14ac:dyDescent="0.25">
      <c r="A170" s="11">
        <v>1995</v>
      </c>
      <c r="B170" s="11" t="s">
        <v>258</v>
      </c>
      <c r="C170" s="18">
        <v>13.9</v>
      </c>
      <c r="D170" s="18">
        <v>12.8</v>
      </c>
      <c r="E170" s="18">
        <v>60.3</v>
      </c>
      <c r="F170" s="15">
        <v>1.71</v>
      </c>
    </row>
    <row r="171" spans="1:6" x14ac:dyDescent="0.25">
      <c r="A171" s="11">
        <v>1996</v>
      </c>
      <c r="B171" s="11" t="s">
        <v>11</v>
      </c>
      <c r="C171" s="18">
        <v>11.6</v>
      </c>
      <c r="D171" s="18">
        <v>11.6</v>
      </c>
      <c r="E171" s="18">
        <v>54.1</v>
      </c>
      <c r="F171" s="15">
        <v>1.56</v>
      </c>
    </row>
    <row r="172" spans="1:6" x14ac:dyDescent="0.25">
      <c r="A172" s="11">
        <v>1996</v>
      </c>
      <c r="B172" s="11" t="s">
        <v>227</v>
      </c>
      <c r="C172" s="18">
        <v>11</v>
      </c>
      <c r="D172" s="18">
        <v>9.8000000000000007</v>
      </c>
      <c r="E172" s="18">
        <v>46.8</v>
      </c>
      <c r="F172" s="15">
        <v>1.32</v>
      </c>
    </row>
    <row r="173" spans="1:6" x14ac:dyDescent="0.25">
      <c r="A173" s="11">
        <v>1996</v>
      </c>
      <c r="B173" s="11" t="s">
        <v>228</v>
      </c>
      <c r="C173" s="18">
        <v>11.6</v>
      </c>
      <c r="D173" s="18">
        <v>12.3</v>
      </c>
      <c r="E173" s="18">
        <v>54.5</v>
      </c>
      <c r="F173" s="15">
        <v>1.64</v>
      </c>
    </row>
    <row r="174" spans="1:6" x14ac:dyDescent="0.25">
      <c r="A174" s="11">
        <v>1996</v>
      </c>
      <c r="B174" s="11" t="s">
        <v>229</v>
      </c>
      <c r="C174" s="18">
        <v>11</v>
      </c>
      <c r="D174" s="18">
        <v>12.4</v>
      </c>
      <c r="E174" s="18">
        <v>56.1</v>
      </c>
      <c r="F174" s="15">
        <v>1.7</v>
      </c>
    </row>
    <row r="175" spans="1:6" x14ac:dyDescent="0.25">
      <c r="A175" s="11">
        <v>1996</v>
      </c>
      <c r="B175" s="11" t="s">
        <v>230</v>
      </c>
      <c r="C175" s="18">
        <v>10.4</v>
      </c>
      <c r="D175" s="18">
        <v>12.4</v>
      </c>
      <c r="E175" s="18">
        <v>55.9</v>
      </c>
      <c r="F175" s="15">
        <v>1.65</v>
      </c>
    </row>
    <row r="176" spans="1:6" x14ac:dyDescent="0.25">
      <c r="A176" s="11">
        <v>1996</v>
      </c>
      <c r="B176" s="11" t="s">
        <v>231</v>
      </c>
      <c r="C176" s="18">
        <v>11.5</v>
      </c>
      <c r="D176" s="18">
        <v>10</v>
      </c>
      <c r="E176" s="18">
        <v>48.8</v>
      </c>
      <c r="F176" s="15">
        <v>1.35</v>
      </c>
    </row>
    <row r="177" spans="1:6" x14ac:dyDescent="0.25">
      <c r="A177" s="11">
        <v>1996</v>
      </c>
      <c r="B177" s="11" t="s">
        <v>232</v>
      </c>
      <c r="C177" s="18">
        <v>12.3</v>
      </c>
      <c r="D177" s="18">
        <v>12.8</v>
      </c>
      <c r="E177" s="18">
        <v>58.5</v>
      </c>
      <c r="F177" s="15">
        <v>1.76</v>
      </c>
    </row>
    <row r="178" spans="1:6" x14ac:dyDescent="0.25">
      <c r="A178" s="11">
        <v>1996</v>
      </c>
      <c r="B178" s="11" t="s">
        <v>233</v>
      </c>
      <c r="C178" s="18">
        <v>10.8</v>
      </c>
      <c r="D178" s="18">
        <v>12.6</v>
      </c>
      <c r="E178" s="18">
        <v>56.7</v>
      </c>
      <c r="F178" s="15">
        <v>1.74</v>
      </c>
    </row>
    <row r="179" spans="1:6" x14ac:dyDescent="0.25">
      <c r="A179" s="11">
        <v>1996</v>
      </c>
      <c r="B179" s="11" t="s">
        <v>234</v>
      </c>
      <c r="C179" s="18">
        <v>11.4</v>
      </c>
      <c r="D179" s="18">
        <v>11.1</v>
      </c>
      <c r="E179" s="18">
        <v>51.7</v>
      </c>
      <c r="F179" s="15">
        <v>1.48</v>
      </c>
    </row>
    <row r="180" spans="1:6" x14ac:dyDescent="0.25">
      <c r="A180" s="11">
        <v>1996</v>
      </c>
      <c r="B180" s="11" t="s">
        <v>235</v>
      </c>
      <c r="C180" s="18">
        <v>11.4</v>
      </c>
      <c r="D180" s="18">
        <v>11.9</v>
      </c>
      <c r="E180" s="18">
        <v>55.3</v>
      </c>
      <c r="F180" s="15">
        <v>1.63</v>
      </c>
    </row>
    <row r="181" spans="1:6" x14ac:dyDescent="0.25">
      <c r="A181" s="11">
        <v>1996</v>
      </c>
      <c r="B181" s="11" t="s">
        <v>236</v>
      </c>
      <c r="C181" s="18">
        <v>10.7</v>
      </c>
      <c r="D181" s="18">
        <v>11.9</v>
      </c>
      <c r="E181" s="18">
        <v>51.6</v>
      </c>
      <c r="F181" s="15">
        <v>1.56</v>
      </c>
    </row>
    <row r="182" spans="1:6" x14ac:dyDescent="0.25">
      <c r="A182" s="11">
        <v>1996</v>
      </c>
      <c r="B182" s="11" t="s">
        <v>237</v>
      </c>
      <c r="C182" s="18">
        <v>12.5</v>
      </c>
      <c r="D182" s="18">
        <v>13.6</v>
      </c>
      <c r="E182" s="18">
        <v>62.2</v>
      </c>
      <c r="F182" s="15">
        <v>1.81</v>
      </c>
    </row>
    <row r="183" spans="1:6" x14ac:dyDescent="0.25">
      <c r="A183" s="11">
        <v>1996</v>
      </c>
      <c r="B183" s="11" t="s">
        <v>238</v>
      </c>
      <c r="C183" s="18">
        <v>11.6</v>
      </c>
      <c r="D183" s="18">
        <v>12.9</v>
      </c>
      <c r="E183" s="18">
        <v>55.6</v>
      </c>
      <c r="F183" s="15">
        <v>1.65</v>
      </c>
    </row>
    <row r="184" spans="1:6" x14ac:dyDescent="0.25">
      <c r="A184" s="11">
        <v>1996</v>
      </c>
      <c r="B184" s="11" t="s">
        <v>239</v>
      </c>
      <c r="C184" s="18">
        <v>11.7</v>
      </c>
      <c r="D184" s="18">
        <v>11.8</v>
      </c>
      <c r="E184" s="18">
        <v>54.8</v>
      </c>
      <c r="F184" s="15">
        <v>1.58</v>
      </c>
    </row>
    <row r="185" spans="1:6" x14ac:dyDescent="0.25">
      <c r="A185" s="11">
        <v>1996</v>
      </c>
      <c r="B185" s="11" t="s">
        <v>240</v>
      </c>
      <c r="C185" s="18">
        <v>11</v>
      </c>
      <c r="D185" s="18">
        <v>11.5</v>
      </c>
      <c r="E185" s="18">
        <v>52.4</v>
      </c>
      <c r="F185" s="15">
        <v>1.55</v>
      </c>
    </row>
    <row r="186" spans="1:6" x14ac:dyDescent="0.25">
      <c r="A186" s="11">
        <v>1996</v>
      </c>
      <c r="B186" s="11" t="s">
        <v>241</v>
      </c>
      <c r="C186" s="18">
        <v>12.9</v>
      </c>
      <c r="D186" s="18">
        <v>11.2</v>
      </c>
      <c r="E186" s="18">
        <v>55.3</v>
      </c>
      <c r="F186" s="15">
        <v>1.53</v>
      </c>
    </row>
    <row r="187" spans="1:6" x14ac:dyDescent="0.25">
      <c r="A187" s="11">
        <v>1996</v>
      </c>
      <c r="B187" s="11" t="s">
        <v>242</v>
      </c>
      <c r="C187" s="18">
        <v>11.4</v>
      </c>
      <c r="D187" s="18">
        <v>12.8</v>
      </c>
      <c r="E187" s="18">
        <v>57</v>
      </c>
      <c r="F187" s="15">
        <v>1.73</v>
      </c>
    </row>
    <row r="188" spans="1:6" x14ac:dyDescent="0.25">
      <c r="A188" s="11">
        <v>1996</v>
      </c>
      <c r="B188" s="11" t="s">
        <v>243</v>
      </c>
      <c r="C188" s="18">
        <v>11.7</v>
      </c>
      <c r="D188" s="18">
        <v>12.1</v>
      </c>
      <c r="E188" s="18">
        <v>55.9</v>
      </c>
      <c r="F188" s="15">
        <v>1.66</v>
      </c>
    </row>
    <row r="189" spans="1:6" x14ac:dyDescent="0.25">
      <c r="A189" s="11">
        <v>1996</v>
      </c>
      <c r="B189" s="11" t="s">
        <v>244</v>
      </c>
      <c r="C189" s="18">
        <v>11.4</v>
      </c>
      <c r="D189" s="18">
        <v>12</v>
      </c>
      <c r="E189" s="18">
        <v>54.5</v>
      </c>
      <c r="F189" s="15">
        <v>1.63</v>
      </c>
    </row>
    <row r="190" spans="1:6" x14ac:dyDescent="0.25">
      <c r="A190" s="11">
        <v>1996</v>
      </c>
      <c r="B190" s="11" t="s">
        <v>245</v>
      </c>
      <c r="C190" s="18">
        <v>11.7</v>
      </c>
      <c r="D190" s="18">
        <v>12.6</v>
      </c>
      <c r="E190" s="18">
        <v>57.8</v>
      </c>
      <c r="F190" s="15">
        <v>1.7</v>
      </c>
    </row>
    <row r="191" spans="1:6" x14ac:dyDescent="0.25">
      <c r="A191" s="11">
        <v>1996</v>
      </c>
      <c r="B191" s="11" t="s">
        <v>282</v>
      </c>
      <c r="C191" s="18">
        <v>9.8000000000000007</v>
      </c>
      <c r="D191" s="18">
        <v>12</v>
      </c>
      <c r="E191" s="18">
        <v>53.2</v>
      </c>
      <c r="F191" s="15">
        <v>1.64</v>
      </c>
    </row>
    <row r="192" spans="1:6" x14ac:dyDescent="0.25">
      <c r="A192" s="11">
        <v>1996</v>
      </c>
      <c r="B192" s="11" t="s">
        <v>247</v>
      </c>
      <c r="C192" s="18">
        <v>11.5</v>
      </c>
      <c r="D192" s="18">
        <v>11.9</v>
      </c>
      <c r="E192" s="18">
        <v>54.3</v>
      </c>
      <c r="F192" s="15">
        <v>1.63</v>
      </c>
    </row>
    <row r="193" spans="1:6" x14ac:dyDescent="0.25">
      <c r="A193" s="11">
        <v>1996</v>
      </c>
      <c r="B193" s="11" t="s">
        <v>248</v>
      </c>
      <c r="C193" s="18">
        <v>12.7</v>
      </c>
      <c r="D193" s="18">
        <v>12.2</v>
      </c>
      <c r="E193" s="18">
        <v>56.9</v>
      </c>
      <c r="F193" s="15">
        <v>1.66</v>
      </c>
    </row>
    <row r="194" spans="1:6" x14ac:dyDescent="0.25">
      <c r="A194" s="11">
        <v>1996</v>
      </c>
      <c r="B194" s="11" t="s">
        <v>249</v>
      </c>
      <c r="C194" s="18">
        <v>10.8</v>
      </c>
      <c r="D194" s="18">
        <v>13</v>
      </c>
      <c r="E194" s="18">
        <v>57.2</v>
      </c>
      <c r="F194" s="15">
        <v>1.74</v>
      </c>
    </row>
    <row r="195" spans="1:6" x14ac:dyDescent="0.25">
      <c r="A195" s="11">
        <v>1996</v>
      </c>
      <c r="B195" s="11" t="s">
        <v>250</v>
      </c>
      <c r="C195" s="18">
        <v>10.4</v>
      </c>
      <c r="D195" s="18">
        <v>11.8</v>
      </c>
      <c r="E195" s="18">
        <v>53.2</v>
      </c>
      <c r="F195" s="15">
        <v>1.59</v>
      </c>
    </row>
    <row r="196" spans="1:6" x14ac:dyDescent="0.25">
      <c r="A196" s="11">
        <v>1996</v>
      </c>
      <c r="B196" s="11" t="s">
        <v>251</v>
      </c>
      <c r="C196" s="18">
        <v>12</v>
      </c>
      <c r="D196" s="18">
        <v>11.9</v>
      </c>
      <c r="E196" s="18">
        <v>55.2</v>
      </c>
      <c r="F196" s="15">
        <v>1.59</v>
      </c>
    </row>
    <row r="197" spans="1:6" x14ac:dyDescent="0.25">
      <c r="A197" s="11">
        <v>1996</v>
      </c>
      <c r="B197" s="11" t="s">
        <v>252</v>
      </c>
      <c r="C197" s="18">
        <v>10.7</v>
      </c>
      <c r="D197" s="18">
        <v>12.4</v>
      </c>
      <c r="E197" s="18">
        <v>55.7</v>
      </c>
      <c r="F197" s="15">
        <v>1.65</v>
      </c>
    </row>
    <row r="198" spans="1:6" x14ac:dyDescent="0.25">
      <c r="A198" s="11">
        <v>1996</v>
      </c>
      <c r="B198" s="11" t="s">
        <v>253</v>
      </c>
      <c r="C198" s="18">
        <v>11.8</v>
      </c>
      <c r="D198" s="18">
        <v>12.9</v>
      </c>
      <c r="E198" s="18">
        <v>58</v>
      </c>
      <c r="F198" s="15">
        <v>1.78</v>
      </c>
    </row>
    <row r="199" spans="1:6" x14ac:dyDescent="0.25">
      <c r="A199" s="11">
        <v>1996</v>
      </c>
      <c r="B199" s="11" t="s">
        <v>254</v>
      </c>
      <c r="C199" s="18">
        <v>10.199999999999999</v>
      </c>
      <c r="D199" s="18">
        <v>11.7</v>
      </c>
      <c r="E199" s="18">
        <v>52</v>
      </c>
      <c r="F199" s="15">
        <v>1.58</v>
      </c>
    </row>
    <row r="200" spans="1:6" x14ac:dyDescent="0.25">
      <c r="A200" s="11">
        <v>1996</v>
      </c>
      <c r="B200" s="11" t="s">
        <v>255</v>
      </c>
      <c r="C200" s="18">
        <v>11.6</v>
      </c>
      <c r="D200" s="18">
        <v>11.7</v>
      </c>
      <c r="E200" s="18">
        <v>53.2</v>
      </c>
      <c r="F200" s="15">
        <v>1.55</v>
      </c>
    </row>
    <row r="201" spans="1:6" x14ac:dyDescent="0.25">
      <c r="A201" s="11">
        <v>1996</v>
      </c>
      <c r="B201" s="11" t="s">
        <v>256</v>
      </c>
      <c r="C201" s="18">
        <v>11</v>
      </c>
      <c r="D201" s="18">
        <v>11.2</v>
      </c>
      <c r="E201" s="18">
        <v>50.8</v>
      </c>
      <c r="F201" s="15">
        <v>1.51</v>
      </c>
    </row>
    <row r="202" spans="1:6" x14ac:dyDescent="0.25">
      <c r="A202" s="11">
        <v>1996</v>
      </c>
      <c r="B202" s="11" t="s">
        <v>257</v>
      </c>
      <c r="C202" s="18">
        <v>12.6</v>
      </c>
      <c r="D202" s="18">
        <v>12.6</v>
      </c>
      <c r="E202" s="18">
        <v>58.3</v>
      </c>
      <c r="F202" s="15">
        <v>1.71</v>
      </c>
    </row>
    <row r="203" spans="1:6" x14ac:dyDescent="0.25">
      <c r="A203" s="11">
        <v>1996</v>
      </c>
      <c r="B203" s="11" t="s">
        <v>258</v>
      </c>
      <c r="C203" s="18">
        <v>13.1</v>
      </c>
      <c r="D203" s="18">
        <v>12.1</v>
      </c>
      <c r="E203" s="18">
        <v>57.3</v>
      </c>
      <c r="F203" s="15">
        <v>1.65</v>
      </c>
    </row>
    <row r="204" spans="1:6" x14ac:dyDescent="0.25">
      <c r="A204" s="11">
        <v>1997</v>
      </c>
      <c r="B204" s="11" t="s">
        <v>11</v>
      </c>
      <c r="C204" s="18">
        <v>11.7</v>
      </c>
      <c r="D204" s="18">
        <v>11.7</v>
      </c>
      <c r="E204" s="18">
        <v>54.4</v>
      </c>
      <c r="F204" s="15">
        <v>1.59</v>
      </c>
    </row>
    <row r="205" spans="1:6" x14ac:dyDescent="0.25">
      <c r="A205" s="11">
        <v>1997</v>
      </c>
      <c r="B205" s="11" t="s">
        <v>227</v>
      </c>
      <c r="C205" s="18">
        <v>10.9</v>
      </c>
      <c r="D205" s="18">
        <v>9.6999999999999993</v>
      </c>
      <c r="E205" s="18">
        <v>46.4</v>
      </c>
      <c r="F205" s="15">
        <v>1.32</v>
      </c>
    </row>
    <row r="206" spans="1:6" x14ac:dyDescent="0.25">
      <c r="A206" s="11">
        <v>1997</v>
      </c>
      <c r="B206" s="11" t="s">
        <v>228</v>
      </c>
      <c r="C206" s="18">
        <v>11.5</v>
      </c>
      <c r="D206" s="18">
        <v>12.4</v>
      </c>
      <c r="E206" s="18">
        <v>54.9</v>
      </c>
      <c r="F206" s="15">
        <v>1.68</v>
      </c>
    </row>
    <row r="207" spans="1:6" x14ac:dyDescent="0.25">
      <c r="A207" s="11">
        <v>1997</v>
      </c>
      <c r="B207" s="11" t="s">
        <v>229</v>
      </c>
      <c r="C207" s="18">
        <v>11.2</v>
      </c>
      <c r="D207" s="18">
        <v>12.7</v>
      </c>
      <c r="E207" s="18">
        <v>57.3</v>
      </c>
      <c r="F207" s="15">
        <v>1.75</v>
      </c>
    </row>
    <row r="208" spans="1:6" x14ac:dyDescent="0.25">
      <c r="A208" s="11">
        <v>1997</v>
      </c>
      <c r="B208" s="11" t="s">
        <v>230</v>
      </c>
      <c r="C208" s="18">
        <v>10.3</v>
      </c>
      <c r="D208" s="18">
        <v>12.3</v>
      </c>
      <c r="E208" s="18">
        <v>55.9</v>
      </c>
      <c r="F208" s="15">
        <v>1.67</v>
      </c>
    </row>
    <row r="209" spans="1:6" x14ac:dyDescent="0.25">
      <c r="A209" s="11">
        <v>1997</v>
      </c>
      <c r="B209" s="11" t="s">
        <v>231</v>
      </c>
      <c r="C209" s="18">
        <v>11.5</v>
      </c>
      <c r="D209" s="18">
        <v>9.8000000000000007</v>
      </c>
      <c r="E209" s="18">
        <v>48.2</v>
      </c>
      <c r="F209" s="15">
        <v>1.34</v>
      </c>
    </row>
    <row r="210" spans="1:6" x14ac:dyDescent="0.25">
      <c r="A210" s="11">
        <v>1997</v>
      </c>
      <c r="B210" s="11" t="s">
        <v>232</v>
      </c>
      <c r="C210" s="18">
        <v>11.7</v>
      </c>
      <c r="D210" s="18">
        <v>12.3</v>
      </c>
      <c r="E210" s="18">
        <v>56.1</v>
      </c>
      <c r="F210" s="15">
        <v>1.71</v>
      </c>
    </row>
    <row r="211" spans="1:6" x14ac:dyDescent="0.25">
      <c r="A211" s="11">
        <v>1997</v>
      </c>
      <c r="B211" s="11" t="s">
        <v>233</v>
      </c>
      <c r="C211" s="18">
        <v>10.6</v>
      </c>
      <c r="D211" s="18">
        <v>12.4</v>
      </c>
      <c r="E211" s="18">
        <v>55.5</v>
      </c>
      <c r="F211" s="15">
        <v>1.72</v>
      </c>
    </row>
    <row r="212" spans="1:6" x14ac:dyDescent="0.25">
      <c r="A212" s="11">
        <v>1997</v>
      </c>
      <c r="B212" s="11" t="s">
        <v>234</v>
      </c>
      <c r="C212" s="18">
        <v>11.4</v>
      </c>
      <c r="D212" s="18">
        <v>11.1</v>
      </c>
      <c r="E212" s="18">
        <v>51.9</v>
      </c>
      <c r="F212" s="15">
        <v>1.5</v>
      </c>
    </row>
    <row r="213" spans="1:6" x14ac:dyDescent="0.25">
      <c r="A213" s="11">
        <v>1997</v>
      </c>
      <c r="B213" s="11" t="s">
        <v>235</v>
      </c>
      <c r="C213" s="18">
        <v>11.4</v>
      </c>
      <c r="D213" s="18">
        <v>11.9</v>
      </c>
      <c r="E213" s="18">
        <v>55.2</v>
      </c>
      <c r="F213" s="15">
        <v>1.67</v>
      </c>
    </row>
    <row r="214" spans="1:6" x14ac:dyDescent="0.25">
      <c r="A214" s="11">
        <v>1997</v>
      </c>
      <c r="B214" s="11" t="s">
        <v>236</v>
      </c>
      <c r="C214" s="18">
        <v>10.7</v>
      </c>
      <c r="D214" s="18">
        <v>11.9</v>
      </c>
      <c r="E214" s="18">
        <v>51.7</v>
      </c>
      <c r="F214" s="15">
        <v>1.56</v>
      </c>
    </row>
    <row r="215" spans="1:6" x14ac:dyDescent="0.25">
      <c r="A215" s="11">
        <v>1997</v>
      </c>
      <c r="B215" s="11" t="s">
        <v>237</v>
      </c>
      <c r="C215" s="18">
        <v>12.4</v>
      </c>
      <c r="D215" s="18">
        <v>13.4</v>
      </c>
      <c r="E215" s="18">
        <v>61.7</v>
      </c>
      <c r="F215" s="15">
        <v>1.88</v>
      </c>
    </row>
    <row r="216" spans="1:6" x14ac:dyDescent="0.25">
      <c r="A216" s="11">
        <v>1997</v>
      </c>
      <c r="B216" s="11" t="s">
        <v>238</v>
      </c>
      <c r="C216" s="18">
        <v>11.8</v>
      </c>
      <c r="D216" s="18">
        <v>13.2</v>
      </c>
      <c r="E216" s="18">
        <v>57.2</v>
      </c>
      <c r="F216" s="15">
        <v>1.7</v>
      </c>
    </row>
    <row r="217" spans="1:6" x14ac:dyDescent="0.25">
      <c r="A217" s="11">
        <v>1997</v>
      </c>
      <c r="B217" s="11" t="s">
        <v>239</v>
      </c>
      <c r="C217" s="18">
        <v>11.4</v>
      </c>
      <c r="D217" s="18">
        <v>11.5</v>
      </c>
      <c r="E217" s="18">
        <v>53.7</v>
      </c>
      <c r="F217" s="15">
        <v>1.58</v>
      </c>
    </row>
    <row r="218" spans="1:6" x14ac:dyDescent="0.25">
      <c r="A218" s="11">
        <v>1997</v>
      </c>
      <c r="B218" s="11" t="s">
        <v>240</v>
      </c>
      <c r="C218" s="18">
        <v>11</v>
      </c>
      <c r="D218" s="18">
        <v>11.5</v>
      </c>
      <c r="E218" s="18">
        <v>52.8</v>
      </c>
      <c r="F218" s="15">
        <v>1.59</v>
      </c>
    </row>
    <row r="219" spans="1:6" x14ac:dyDescent="0.25">
      <c r="A219" s="11">
        <v>1997</v>
      </c>
      <c r="B219" s="11" t="s">
        <v>241</v>
      </c>
      <c r="C219" s="18">
        <v>12.9</v>
      </c>
      <c r="D219" s="18">
        <v>11.3</v>
      </c>
      <c r="E219" s="18">
        <v>55.2</v>
      </c>
      <c r="F219" s="15">
        <v>1.54</v>
      </c>
    </row>
    <row r="220" spans="1:6" x14ac:dyDescent="0.25">
      <c r="A220" s="11">
        <v>1997</v>
      </c>
      <c r="B220" s="11" t="s">
        <v>242</v>
      </c>
      <c r="C220" s="18">
        <v>11.7</v>
      </c>
      <c r="D220" s="18">
        <v>13.2</v>
      </c>
      <c r="E220" s="18">
        <v>59.4</v>
      </c>
      <c r="F220" s="15">
        <v>1.83</v>
      </c>
    </row>
    <row r="221" spans="1:6" x14ac:dyDescent="0.25">
      <c r="A221" s="11">
        <v>1997</v>
      </c>
      <c r="B221" s="11" t="s">
        <v>243</v>
      </c>
      <c r="C221" s="18">
        <v>11.3</v>
      </c>
      <c r="D221" s="18">
        <v>11.8</v>
      </c>
      <c r="E221" s="18">
        <v>54.3</v>
      </c>
      <c r="F221" s="15">
        <v>1.63</v>
      </c>
    </row>
    <row r="222" spans="1:6" x14ac:dyDescent="0.25">
      <c r="A222" s="11">
        <v>1997</v>
      </c>
      <c r="B222" s="11" t="s">
        <v>244</v>
      </c>
      <c r="C222" s="18">
        <v>11.8</v>
      </c>
      <c r="D222" s="18">
        <v>12.4</v>
      </c>
      <c r="E222" s="18">
        <v>56.5</v>
      </c>
      <c r="F222" s="15">
        <v>1.7</v>
      </c>
    </row>
    <row r="223" spans="1:6" x14ac:dyDescent="0.25">
      <c r="A223" s="11">
        <v>1997</v>
      </c>
      <c r="B223" s="11" t="s">
        <v>245</v>
      </c>
      <c r="C223" s="18">
        <v>12.4</v>
      </c>
      <c r="D223" s="18">
        <v>13.5</v>
      </c>
      <c r="E223" s="18">
        <v>62.2</v>
      </c>
      <c r="F223" s="15">
        <v>1.84</v>
      </c>
    </row>
    <row r="224" spans="1:6" x14ac:dyDescent="0.25">
      <c r="A224" s="11">
        <v>1997</v>
      </c>
      <c r="B224" s="11" t="s">
        <v>282</v>
      </c>
      <c r="C224" s="18">
        <v>9</v>
      </c>
      <c r="D224" s="18">
        <v>11.3</v>
      </c>
      <c r="E224" s="18">
        <v>50</v>
      </c>
      <c r="F224" s="15">
        <v>1.53</v>
      </c>
    </row>
    <row r="225" spans="1:6" x14ac:dyDescent="0.25">
      <c r="A225" s="11">
        <v>1997</v>
      </c>
      <c r="B225" s="11" t="s">
        <v>247</v>
      </c>
      <c r="C225" s="18">
        <v>11.9</v>
      </c>
      <c r="D225" s="18">
        <v>12.3</v>
      </c>
      <c r="E225" s="18">
        <v>56.2</v>
      </c>
      <c r="F225" s="15">
        <v>1.7</v>
      </c>
    </row>
    <row r="226" spans="1:6" x14ac:dyDescent="0.25">
      <c r="A226" s="11">
        <v>1997</v>
      </c>
      <c r="B226" s="11" t="s">
        <v>248</v>
      </c>
      <c r="C226" s="18">
        <v>12.7</v>
      </c>
      <c r="D226" s="18">
        <v>12.2</v>
      </c>
      <c r="E226" s="18">
        <v>56.8</v>
      </c>
      <c r="F226" s="15">
        <v>1.67</v>
      </c>
    </row>
    <row r="227" spans="1:6" x14ac:dyDescent="0.25">
      <c r="A227" s="11">
        <v>1997</v>
      </c>
      <c r="B227" s="11" t="s">
        <v>249</v>
      </c>
      <c r="C227" s="18">
        <v>11.3</v>
      </c>
      <c r="D227" s="18">
        <v>13.5</v>
      </c>
      <c r="E227" s="18">
        <v>60.2</v>
      </c>
      <c r="F227" s="15">
        <v>1.9</v>
      </c>
    </row>
    <row r="228" spans="1:6" x14ac:dyDescent="0.25">
      <c r="A228" s="11">
        <v>1997</v>
      </c>
      <c r="B228" s="11" t="s">
        <v>250</v>
      </c>
      <c r="C228" s="18">
        <v>10.7</v>
      </c>
      <c r="D228" s="18">
        <v>12.2</v>
      </c>
      <c r="E228" s="18">
        <v>55</v>
      </c>
      <c r="F228" s="15">
        <v>1.66</v>
      </c>
    </row>
    <row r="229" spans="1:6" x14ac:dyDescent="0.25">
      <c r="A229" s="11">
        <v>1997</v>
      </c>
      <c r="B229" s="11" t="s">
        <v>251</v>
      </c>
      <c r="C229" s="18">
        <v>12.5</v>
      </c>
      <c r="D229" s="18">
        <v>12.4</v>
      </c>
      <c r="E229" s="18">
        <v>57.4</v>
      </c>
      <c r="F229" s="15">
        <v>1.67</v>
      </c>
    </row>
    <row r="230" spans="1:6" x14ac:dyDescent="0.25">
      <c r="A230" s="11">
        <v>1997</v>
      </c>
      <c r="B230" s="11" t="s">
        <v>252</v>
      </c>
      <c r="C230" s="18">
        <v>10.7</v>
      </c>
      <c r="D230" s="18">
        <v>12.4</v>
      </c>
      <c r="E230" s="18">
        <v>55.9</v>
      </c>
      <c r="F230" s="15">
        <v>1.69</v>
      </c>
    </row>
    <row r="231" spans="1:6" x14ac:dyDescent="0.25">
      <c r="A231" s="11">
        <v>1997</v>
      </c>
      <c r="B231" s="11" t="s">
        <v>253</v>
      </c>
      <c r="C231" s="18">
        <v>12.5</v>
      </c>
      <c r="D231" s="18">
        <v>13.6</v>
      </c>
      <c r="E231" s="18">
        <v>62</v>
      </c>
      <c r="F231" s="15">
        <v>1.84</v>
      </c>
    </row>
    <row r="232" spans="1:6" x14ac:dyDescent="0.25">
      <c r="A232" s="11">
        <v>1997</v>
      </c>
      <c r="B232" s="11" t="s">
        <v>254</v>
      </c>
      <c r="C232" s="18">
        <v>10.1</v>
      </c>
      <c r="D232" s="18">
        <v>11.6</v>
      </c>
      <c r="E232" s="18">
        <v>51.6</v>
      </c>
      <c r="F232" s="15">
        <v>1.58</v>
      </c>
    </row>
    <row r="233" spans="1:6" x14ac:dyDescent="0.25">
      <c r="A233" s="11">
        <v>1997</v>
      </c>
      <c r="B233" s="11" t="s">
        <v>255</v>
      </c>
      <c r="C233" s="18">
        <v>11.7</v>
      </c>
      <c r="D233" s="18">
        <v>11.8</v>
      </c>
      <c r="E233" s="18">
        <v>53.9</v>
      </c>
      <c r="F233" s="15">
        <v>1.6</v>
      </c>
    </row>
    <row r="234" spans="1:6" x14ac:dyDescent="0.25">
      <c r="A234" s="11">
        <v>1997</v>
      </c>
      <c r="B234" s="11" t="s">
        <v>256</v>
      </c>
      <c r="C234" s="18">
        <v>11.5</v>
      </c>
      <c r="D234" s="18">
        <v>11.6</v>
      </c>
      <c r="E234" s="18">
        <v>53.2</v>
      </c>
      <c r="F234" s="15">
        <v>1.57</v>
      </c>
    </row>
    <row r="235" spans="1:6" x14ac:dyDescent="0.25">
      <c r="A235" s="11">
        <v>1997</v>
      </c>
      <c r="B235" s="11" t="s">
        <v>257</v>
      </c>
      <c r="C235" s="18">
        <v>12.2</v>
      </c>
      <c r="D235" s="18">
        <v>12.1</v>
      </c>
      <c r="E235" s="18">
        <v>56.2</v>
      </c>
      <c r="F235" s="15">
        <v>1.67</v>
      </c>
    </row>
    <row r="236" spans="1:6" x14ac:dyDescent="0.25">
      <c r="A236" s="11">
        <v>1997</v>
      </c>
      <c r="B236" s="11" t="s">
        <v>258</v>
      </c>
      <c r="C236" s="18">
        <v>13.4</v>
      </c>
      <c r="D236" s="18">
        <v>12.4</v>
      </c>
      <c r="E236" s="18">
        <v>58.7</v>
      </c>
      <c r="F236" s="15">
        <v>1.71</v>
      </c>
    </row>
    <row r="237" spans="1:6" x14ac:dyDescent="0.25">
      <c r="A237" s="11">
        <v>1998</v>
      </c>
      <c r="B237" s="11" t="s">
        <v>11</v>
      </c>
      <c r="C237" s="18">
        <v>11.3</v>
      </c>
      <c r="D237" s="18">
        <v>11.3</v>
      </c>
      <c r="E237" s="18">
        <v>52.7</v>
      </c>
      <c r="F237" s="15">
        <v>1.55</v>
      </c>
    </row>
    <row r="238" spans="1:6" x14ac:dyDescent="0.25">
      <c r="A238" s="11">
        <v>1998</v>
      </c>
      <c r="B238" s="11" t="s">
        <v>227</v>
      </c>
      <c r="C238" s="18">
        <v>10.8</v>
      </c>
      <c r="D238" s="18">
        <v>9.6999999999999993</v>
      </c>
      <c r="E238" s="18">
        <v>46.4</v>
      </c>
      <c r="F238" s="15">
        <v>1.34</v>
      </c>
    </row>
    <row r="239" spans="1:6" x14ac:dyDescent="0.25">
      <c r="A239" s="11">
        <v>1998</v>
      </c>
      <c r="B239" s="11" t="s">
        <v>228</v>
      </c>
      <c r="C239" s="18">
        <v>11.5</v>
      </c>
      <c r="D239" s="18">
        <v>12.4</v>
      </c>
      <c r="E239" s="18">
        <v>55.7</v>
      </c>
      <c r="F239" s="15">
        <v>1.72</v>
      </c>
    </row>
    <row r="240" spans="1:6" x14ac:dyDescent="0.25">
      <c r="A240" s="11">
        <v>1998</v>
      </c>
      <c r="B240" s="11" t="s">
        <v>229</v>
      </c>
      <c r="C240" s="18">
        <v>10.7</v>
      </c>
      <c r="D240" s="18">
        <v>12.1</v>
      </c>
      <c r="E240" s="18">
        <v>55.4</v>
      </c>
      <c r="F240" s="15">
        <v>1.7</v>
      </c>
    </row>
    <row r="241" spans="1:6" x14ac:dyDescent="0.25">
      <c r="A241" s="11">
        <v>1998</v>
      </c>
      <c r="B241" s="11" t="s">
        <v>230</v>
      </c>
      <c r="C241" s="18">
        <v>9.3000000000000007</v>
      </c>
      <c r="D241" s="18">
        <v>11.1</v>
      </c>
      <c r="E241" s="18">
        <v>50.5</v>
      </c>
      <c r="F241" s="15">
        <v>1.51</v>
      </c>
    </row>
    <row r="242" spans="1:6" x14ac:dyDescent="0.25">
      <c r="A242" s="11">
        <v>1998</v>
      </c>
      <c r="B242" s="11" t="s">
        <v>231</v>
      </c>
      <c r="C242" s="18">
        <v>10.9</v>
      </c>
      <c r="D242" s="18">
        <v>9.3000000000000007</v>
      </c>
      <c r="E242" s="18">
        <v>45.7</v>
      </c>
      <c r="F242" s="15">
        <v>1.28</v>
      </c>
    </row>
    <row r="243" spans="1:6" x14ac:dyDescent="0.25">
      <c r="A243" s="11">
        <v>1998</v>
      </c>
      <c r="B243" s="11" t="s">
        <v>232</v>
      </c>
      <c r="C243" s="18">
        <v>11.1</v>
      </c>
      <c r="D243" s="18">
        <v>11.6</v>
      </c>
      <c r="E243" s="18">
        <v>53.4</v>
      </c>
      <c r="F243" s="15">
        <v>1.66</v>
      </c>
    </row>
    <row r="244" spans="1:6" x14ac:dyDescent="0.25">
      <c r="A244" s="11">
        <v>1998</v>
      </c>
      <c r="B244" s="11" t="s">
        <v>233</v>
      </c>
      <c r="C244" s="18">
        <v>10.199999999999999</v>
      </c>
      <c r="D244" s="18">
        <v>12</v>
      </c>
      <c r="E244" s="18">
        <v>54.2</v>
      </c>
      <c r="F244" s="15">
        <v>1.71</v>
      </c>
    </row>
    <row r="245" spans="1:6" x14ac:dyDescent="0.25">
      <c r="A245" s="11">
        <v>1998</v>
      </c>
      <c r="B245" s="11" t="s">
        <v>234</v>
      </c>
      <c r="C245" s="18">
        <v>11</v>
      </c>
      <c r="D245" s="18">
        <v>10.8</v>
      </c>
      <c r="E245" s="18">
        <v>50.2</v>
      </c>
      <c r="F245" s="15">
        <v>1.48</v>
      </c>
    </row>
    <row r="246" spans="1:6" x14ac:dyDescent="0.25">
      <c r="A246" s="11">
        <v>1998</v>
      </c>
      <c r="B246" s="11" t="s">
        <v>235</v>
      </c>
      <c r="C246" s="18">
        <v>11.2</v>
      </c>
      <c r="D246" s="18">
        <v>11.7</v>
      </c>
      <c r="E246" s="18">
        <v>54.4</v>
      </c>
      <c r="F246" s="15">
        <v>1.67</v>
      </c>
    </row>
    <row r="247" spans="1:6" x14ac:dyDescent="0.25">
      <c r="A247" s="11">
        <v>1998</v>
      </c>
      <c r="B247" s="11" t="s">
        <v>236</v>
      </c>
      <c r="C247" s="18">
        <v>10.199999999999999</v>
      </c>
      <c r="D247" s="18">
        <v>11.5</v>
      </c>
      <c r="E247" s="18">
        <v>50</v>
      </c>
      <c r="F247" s="15">
        <v>1.52</v>
      </c>
    </row>
    <row r="248" spans="1:6" x14ac:dyDescent="0.25">
      <c r="A248" s="11">
        <v>1998</v>
      </c>
      <c r="B248" s="11" t="s">
        <v>237</v>
      </c>
      <c r="C248" s="18">
        <v>11.4</v>
      </c>
      <c r="D248" s="18">
        <v>12.4</v>
      </c>
      <c r="E248" s="18">
        <v>57.3</v>
      </c>
      <c r="F248" s="15">
        <v>1.72</v>
      </c>
    </row>
    <row r="249" spans="1:6" x14ac:dyDescent="0.25">
      <c r="A249" s="11">
        <v>1998</v>
      </c>
      <c r="B249" s="11" t="s">
        <v>238</v>
      </c>
      <c r="C249" s="18">
        <v>11.5</v>
      </c>
      <c r="D249" s="18">
        <v>12.9</v>
      </c>
      <c r="E249" s="18">
        <v>55.9</v>
      </c>
      <c r="F249" s="15">
        <v>1.67</v>
      </c>
    </row>
    <row r="250" spans="1:6" x14ac:dyDescent="0.25">
      <c r="A250" s="11">
        <v>1998</v>
      </c>
      <c r="B250" s="11" t="s">
        <v>239</v>
      </c>
      <c r="C250" s="18">
        <v>11.8</v>
      </c>
      <c r="D250" s="18">
        <v>11.9</v>
      </c>
      <c r="E250" s="18">
        <v>55.7</v>
      </c>
      <c r="F250" s="15">
        <v>1.65</v>
      </c>
    </row>
    <row r="251" spans="1:6" x14ac:dyDescent="0.25">
      <c r="A251" s="11">
        <v>1998</v>
      </c>
      <c r="B251" s="11" t="s">
        <v>240</v>
      </c>
      <c r="C251" s="18">
        <v>11.1</v>
      </c>
      <c r="D251" s="18">
        <v>11.6</v>
      </c>
      <c r="E251" s="18">
        <v>53.4</v>
      </c>
      <c r="F251" s="15">
        <v>1.62</v>
      </c>
    </row>
    <row r="252" spans="1:6" x14ac:dyDescent="0.25">
      <c r="A252" s="11">
        <v>1998</v>
      </c>
      <c r="B252" s="11" t="s">
        <v>241</v>
      </c>
      <c r="C252" s="18">
        <v>12.2</v>
      </c>
      <c r="D252" s="18">
        <v>10.5</v>
      </c>
      <c r="E252" s="18">
        <v>51.6</v>
      </c>
      <c r="F252" s="15">
        <v>1.46</v>
      </c>
    </row>
    <row r="253" spans="1:6" x14ac:dyDescent="0.25">
      <c r="A253" s="11">
        <v>1998</v>
      </c>
      <c r="B253" s="11" t="s">
        <v>242</v>
      </c>
      <c r="C253" s="18">
        <v>11.7</v>
      </c>
      <c r="D253" s="18">
        <v>13.3</v>
      </c>
      <c r="E253" s="18">
        <v>60</v>
      </c>
      <c r="F253" s="15">
        <v>1.88</v>
      </c>
    </row>
    <row r="254" spans="1:6" x14ac:dyDescent="0.25">
      <c r="A254" s="11">
        <v>1998</v>
      </c>
      <c r="B254" s="11" t="s">
        <v>243</v>
      </c>
      <c r="C254" s="18">
        <v>10.6</v>
      </c>
      <c r="D254" s="18">
        <v>11.1</v>
      </c>
      <c r="E254" s="18">
        <v>50.8</v>
      </c>
      <c r="F254" s="15">
        <v>1.55</v>
      </c>
    </row>
    <row r="255" spans="1:6" x14ac:dyDescent="0.25">
      <c r="A255" s="11">
        <v>1998</v>
      </c>
      <c r="B255" s="11" t="s">
        <v>244</v>
      </c>
      <c r="C255" s="18">
        <v>12</v>
      </c>
      <c r="D255" s="18">
        <v>12.7</v>
      </c>
      <c r="E255" s="18">
        <v>58</v>
      </c>
      <c r="F255" s="15">
        <v>1.75</v>
      </c>
    </row>
    <row r="256" spans="1:6" x14ac:dyDescent="0.25">
      <c r="A256" s="11">
        <v>1998</v>
      </c>
      <c r="B256" s="11" t="s">
        <v>245</v>
      </c>
      <c r="C256" s="18">
        <v>11.9</v>
      </c>
      <c r="D256" s="18">
        <v>13</v>
      </c>
      <c r="E256" s="18">
        <v>60.5</v>
      </c>
      <c r="F256" s="15">
        <v>1.8</v>
      </c>
    </row>
    <row r="257" spans="1:6" x14ac:dyDescent="0.25">
      <c r="A257" s="11">
        <v>1998</v>
      </c>
      <c r="B257" s="11" t="s">
        <v>282</v>
      </c>
      <c r="C257" s="18">
        <v>9.9</v>
      </c>
      <c r="D257" s="18">
        <v>12.5</v>
      </c>
      <c r="E257" s="18">
        <v>56.1</v>
      </c>
      <c r="F257" s="15">
        <v>1.71</v>
      </c>
    </row>
    <row r="258" spans="1:6" x14ac:dyDescent="0.25">
      <c r="A258" s="11">
        <v>1998</v>
      </c>
      <c r="B258" s="11" t="s">
        <v>247</v>
      </c>
      <c r="C258" s="18">
        <v>11.2</v>
      </c>
      <c r="D258" s="18">
        <v>11.6</v>
      </c>
      <c r="E258" s="18">
        <v>53.4</v>
      </c>
      <c r="F258" s="15">
        <v>1.64</v>
      </c>
    </row>
    <row r="259" spans="1:6" x14ac:dyDescent="0.25">
      <c r="A259" s="11">
        <v>1998</v>
      </c>
      <c r="B259" s="11" t="s">
        <v>248</v>
      </c>
      <c r="C259" s="18">
        <v>12.7</v>
      </c>
      <c r="D259" s="18">
        <v>12.1</v>
      </c>
      <c r="E259" s="18">
        <v>56.9</v>
      </c>
      <c r="F259" s="15">
        <v>1.69</v>
      </c>
    </row>
    <row r="260" spans="1:6" x14ac:dyDescent="0.25">
      <c r="A260" s="11">
        <v>1998</v>
      </c>
      <c r="B260" s="11" t="s">
        <v>249</v>
      </c>
      <c r="C260" s="18">
        <v>9.9</v>
      </c>
      <c r="D260" s="18">
        <v>11.8</v>
      </c>
      <c r="E260" s="18">
        <v>53.4</v>
      </c>
      <c r="F260" s="15">
        <v>1.72</v>
      </c>
    </row>
    <row r="261" spans="1:6" x14ac:dyDescent="0.25">
      <c r="A261" s="11">
        <v>1998</v>
      </c>
      <c r="B261" s="11" t="s">
        <v>250</v>
      </c>
      <c r="C261" s="18">
        <v>10.1</v>
      </c>
      <c r="D261" s="18">
        <v>11.6</v>
      </c>
      <c r="E261" s="18">
        <v>52.5</v>
      </c>
      <c r="F261" s="15">
        <v>1.6</v>
      </c>
    </row>
    <row r="262" spans="1:6" x14ac:dyDescent="0.25">
      <c r="A262" s="11">
        <v>1998</v>
      </c>
      <c r="B262" s="11" t="s">
        <v>251</v>
      </c>
      <c r="C262" s="18">
        <v>11.5</v>
      </c>
      <c r="D262" s="18">
        <v>11.4</v>
      </c>
      <c r="E262" s="18">
        <v>53.1</v>
      </c>
      <c r="F262" s="15">
        <v>1.57</v>
      </c>
    </row>
    <row r="263" spans="1:6" x14ac:dyDescent="0.25">
      <c r="A263" s="11">
        <v>1998</v>
      </c>
      <c r="B263" s="11" t="s">
        <v>252</v>
      </c>
      <c r="C263" s="18">
        <v>9.8000000000000007</v>
      </c>
      <c r="D263" s="18">
        <v>11.4</v>
      </c>
      <c r="E263" s="18">
        <v>51.4</v>
      </c>
      <c r="F263" s="15">
        <v>1.58</v>
      </c>
    </row>
    <row r="264" spans="1:6" x14ac:dyDescent="0.25">
      <c r="A264" s="11">
        <v>1998</v>
      </c>
      <c r="B264" s="11" t="s">
        <v>253</v>
      </c>
      <c r="C264" s="18">
        <v>11.7</v>
      </c>
      <c r="D264" s="18">
        <v>12.6</v>
      </c>
      <c r="E264" s="18">
        <v>58.4</v>
      </c>
      <c r="F264" s="15">
        <v>1.76</v>
      </c>
    </row>
    <row r="265" spans="1:6" x14ac:dyDescent="0.25">
      <c r="A265" s="11">
        <v>1998</v>
      </c>
      <c r="B265" s="11" t="s">
        <v>254</v>
      </c>
      <c r="C265" s="18">
        <v>10.3</v>
      </c>
      <c r="D265" s="18">
        <v>11.8</v>
      </c>
      <c r="E265" s="18">
        <v>52.9</v>
      </c>
      <c r="F265" s="15">
        <v>1.64</v>
      </c>
    </row>
    <row r="266" spans="1:6" x14ac:dyDescent="0.25">
      <c r="A266" s="11">
        <v>1998</v>
      </c>
      <c r="B266" s="11" t="s">
        <v>255</v>
      </c>
      <c r="C266" s="18">
        <v>10.9</v>
      </c>
      <c r="D266" s="18">
        <v>11</v>
      </c>
      <c r="E266" s="18">
        <v>50.4</v>
      </c>
      <c r="F266" s="15">
        <v>1.52</v>
      </c>
    </row>
    <row r="267" spans="1:6" x14ac:dyDescent="0.25">
      <c r="A267" s="11">
        <v>1998</v>
      </c>
      <c r="B267" s="11" t="s">
        <v>256</v>
      </c>
      <c r="C267" s="18">
        <v>10.9</v>
      </c>
      <c r="D267" s="18">
        <v>11</v>
      </c>
      <c r="E267" s="18">
        <v>50.2</v>
      </c>
      <c r="F267" s="15">
        <v>1.51</v>
      </c>
    </row>
    <row r="268" spans="1:6" x14ac:dyDescent="0.25">
      <c r="A268" s="11">
        <v>1998</v>
      </c>
      <c r="B268" s="11" t="s">
        <v>257</v>
      </c>
      <c r="C268" s="18">
        <v>11.8</v>
      </c>
      <c r="D268" s="18">
        <v>11.7</v>
      </c>
      <c r="E268" s="18">
        <v>54.2</v>
      </c>
      <c r="F268" s="15">
        <v>1.65</v>
      </c>
    </row>
    <row r="269" spans="1:6" x14ac:dyDescent="0.25">
      <c r="A269" s="11">
        <v>1998</v>
      </c>
      <c r="B269" s="11" t="s">
        <v>258</v>
      </c>
      <c r="C269" s="18">
        <v>12.9</v>
      </c>
      <c r="D269" s="18">
        <v>11.9</v>
      </c>
      <c r="E269" s="18">
        <v>56.8</v>
      </c>
      <c r="F269" s="15">
        <v>1.68</v>
      </c>
    </row>
    <row r="270" spans="1:6" x14ac:dyDescent="0.25">
      <c r="A270" s="11">
        <v>1999</v>
      </c>
      <c r="B270" s="11" t="s">
        <v>11</v>
      </c>
      <c r="C270" s="18">
        <v>10.9</v>
      </c>
      <c r="D270" s="18">
        <v>10.9</v>
      </c>
      <c r="E270" s="18">
        <v>50.9</v>
      </c>
      <c r="F270" s="15">
        <v>1.52</v>
      </c>
    </row>
    <row r="271" spans="1:6" x14ac:dyDescent="0.25">
      <c r="A271" s="11">
        <v>1999</v>
      </c>
      <c r="B271" s="11" t="s">
        <v>227</v>
      </c>
      <c r="C271" s="18">
        <v>10.8</v>
      </c>
      <c r="D271" s="18">
        <v>9.5</v>
      </c>
      <c r="E271" s="18">
        <v>46.2</v>
      </c>
      <c r="F271" s="15">
        <v>1.33</v>
      </c>
    </row>
    <row r="272" spans="1:6" x14ac:dyDescent="0.25">
      <c r="A272" s="11">
        <v>1999</v>
      </c>
      <c r="B272" s="11" t="s">
        <v>228</v>
      </c>
      <c r="C272" s="18">
        <v>11</v>
      </c>
      <c r="D272" s="18">
        <v>12</v>
      </c>
      <c r="E272" s="18">
        <v>54</v>
      </c>
      <c r="F272" s="15">
        <v>1.68</v>
      </c>
    </row>
    <row r="273" spans="1:6" x14ac:dyDescent="0.25">
      <c r="A273" s="11">
        <v>1999</v>
      </c>
      <c r="B273" s="11" t="s">
        <v>229</v>
      </c>
      <c r="C273" s="18">
        <v>9.9</v>
      </c>
      <c r="D273" s="18">
        <v>11.2</v>
      </c>
      <c r="E273" s="18">
        <v>51.3</v>
      </c>
      <c r="F273" s="15">
        <v>1.62</v>
      </c>
    </row>
    <row r="274" spans="1:6" x14ac:dyDescent="0.25">
      <c r="A274" s="11">
        <v>1999</v>
      </c>
      <c r="B274" s="11" t="s">
        <v>230</v>
      </c>
      <c r="C274" s="18">
        <v>9.1</v>
      </c>
      <c r="D274" s="18">
        <v>11</v>
      </c>
      <c r="E274" s="18">
        <v>50.1</v>
      </c>
      <c r="F274" s="15">
        <v>1.54</v>
      </c>
    </row>
    <row r="275" spans="1:6" x14ac:dyDescent="0.25">
      <c r="A275" s="11">
        <v>1999</v>
      </c>
      <c r="B275" s="11" t="s">
        <v>231</v>
      </c>
      <c r="C275" s="18">
        <v>10.7</v>
      </c>
      <c r="D275" s="18">
        <v>9</v>
      </c>
      <c r="E275" s="18">
        <v>44.5</v>
      </c>
      <c r="F275" s="15">
        <v>1.26</v>
      </c>
    </row>
    <row r="276" spans="1:6" x14ac:dyDescent="0.25">
      <c r="A276" s="11">
        <v>1999</v>
      </c>
      <c r="B276" s="11" t="s">
        <v>232</v>
      </c>
      <c r="C276" s="18">
        <v>11.3</v>
      </c>
      <c r="D276" s="18">
        <v>11.9</v>
      </c>
      <c r="E276" s="18">
        <v>54.8</v>
      </c>
      <c r="F276" s="15">
        <v>1.74</v>
      </c>
    </row>
    <row r="277" spans="1:6" x14ac:dyDescent="0.25">
      <c r="A277" s="11">
        <v>1999</v>
      </c>
      <c r="B277" s="11" t="s">
        <v>233</v>
      </c>
      <c r="C277" s="18">
        <v>9.5</v>
      </c>
      <c r="D277" s="18">
        <v>11.2</v>
      </c>
      <c r="E277" s="18">
        <v>50.7</v>
      </c>
      <c r="F277" s="15">
        <v>1.63</v>
      </c>
    </row>
    <row r="278" spans="1:6" x14ac:dyDescent="0.25">
      <c r="A278" s="11">
        <v>1999</v>
      </c>
      <c r="B278" s="11" t="s">
        <v>234</v>
      </c>
      <c r="C278" s="18">
        <v>10.3</v>
      </c>
      <c r="D278" s="18">
        <v>10</v>
      </c>
      <c r="E278" s="18">
        <v>46.8</v>
      </c>
      <c r="F278" s="15">
        <v>1.4</v>
      </c>
    </row>
    <row r="279" spans="1:6" x14ac:dyDescent="0.25">
      <c r="A279" s="11">
        <v>1999</v>
      </c>
      <c r="B279" s="11" t="s">
        <v>235</v>
      </c>
      <c r="C279" s="18">
        <v>10.7</v>
      </c>
      <c r="D279" s="18">
        <v>11.2</v>
      </c>
      <c r="E279" s="18">
        <v>52.4</v>
      </c>
      <c r="F279" s="15">
        <v>1.62</v>
      </c>
    </row>
    <row r="280" spans="1:6" x14ac:dyDescent="0.25">
      <c r="A280" s="11">
        <v>1999</v>
      </c>
      <c r="B280" s="11" t="s">
        <v>236</v>
      </c>
      <c r="C280" s="18">
        <v>9.6999999999999993</v>
      </c>
      <c r="D280" s="18">
        <v>11</v>
      </c>
      <c r="E280" s="18">
        <v>47.9</v>
      </c>
      <c r="F280" s="15">
        <v>1.47</v>
      </c>
    </row>
    <row r="281" spans="1:6" x14ac:dyDescent="0.25">
      <c r="A281" s="11">
        <v>1999</v>
      </c>
      <c r="B281" s="11" t="s">
        <v>237</v>
      </c>
      <c r="C281" s="18">
        <v>10.9</v>
      </c>
      <c r="D281" s="18">
        <v>11.9</v>
      </c>
      <c r="E281" s="18">
        <v>54.6</v>
      </c>
      <c r="F281" s="15">
        <v>1.69</v>
      </c>
    </row>
    <row r="282" spans="1:6" x14ac:dyDescent="0.25">
      <c r="A282" s="11">
        <v>1999</v>
      </c>
      <c r="B282" s="11" t="s">
        <v>238</v>
      </c>
      <c r="C282" s="18">
        <v>10.8</v>
      </c>
      <c r="D282" s="18">
        <v>12.2</v>
      </c>
      <c r="E282" s="18">
        <v>53</v>
      </c>
      <c r="F282" s="15">
        <v>1.61</v>
      </c>
    </row>
    <row r="283" spans="1:6" x14ac:dyDescent="0.25">
      <c r="A283" s="11">
        <v>1999</v>
      </c>
      <c r="B283" s="11" t="s">
        <v>239</v>
      </c>
      <c r="C283" s="18">
        <v>11.1</v>
      </c>
      <c r="D283" s="18">
        <v>11.1</v>
      </c>
      <c r="E283" s="18">
        <v>52.6</v>
      </c>
      <c r="F283" s="15">
        <v>1.57</v>
      </c>
    </row>
    <row r="284" spans="1:6" x14ac:dyDescent="0.25">
      <c r="A284" s="11">
        <v>1999</v>
      </c>
      <c r="B284" s="11" t="s">
        <v>240</v>
      </c>
      <c r="C284" s="18">
        <v>10.5</v>
      </c>
      <c r="D284" s="18">
        <v>11.1</v>
      </c>
      <c r="E284" s="18">
        <v>50.9</v>
      </c>
      <c r="F284" s="15">
        <v>1.56</v>
      </c>
    </row>
    <row r="285" spans="1:6" x14ac:dyDescent="0.25">
      <c r="A285" s="11">
        <v>1999</v>
      </c>
      <c r="B285" s="11" t="s">
        <v>241</v>
      </c>
      <c r="C285" s="18">
        <v>11.7</v>
      </c>
      <c r="D285" s="18">
        <v>10.1</v>
      </c>
      <c r="E285" s="18">
        <v>49.3</v>
      </c>
      <c r="F285" s="15">
        <v>1.41</v>
      </c>
    </row>
    <row r="286" spans="1:6" x14ac:dyDescent="0.25">
      <c r="A286" s="11">
        <v>1999</v>
      </c>
      <c r="B286" s="11" t="s">
        <v>242</v>
      </c>
      <c r="C286" s="18">
        <v>10.6</v>
      </c>
      <c r="D286" s="18">
        <v>12.1</v>
      </c>
      <c r="E286" s="18">
        <v>54.9</v>
      </c>
      <c r="F286" s="15">
        <v>1.74</v>
      </c>
    </row>
    <row r="287" spans="1:6" x14ac:dyDescent="0.25">
      <c r="A287" s="11">
        <v>1999</v>
      </c>
      <c r="B287" s="11" t="s">
        <v>243</v>
      </c>
      <c r="C287" s="18">
        <v>11.1</v>
      </c>
      <c r="D287" s="18">
        <v>11.7</v>
      </c>
      <c r="E287" s="18">
        <v>53.4</v>
      </c>
      <c r="F287" s="15">
        <v>1.65</v>
      </c>
    </row>
    <row r="288" spans="1:6" x14ac:dyDescent="0.25">
      <c r="A288" s="11">
        <v>1999</v>
      </c>
      <c r="B288" s="11" t="s">
        <v>244</v>
      </c>
      <c r="C288" s="18">
        <v>11.9</v>
      </c>
      <c r="D288" s="18">
        <v>12.6</v>
      </c>
      <c r="E288" s="18">
        <v>57.7</v>
      </c>
      <c r="F288" s="15">
        <v>1.79</v>
      </c>
    </row>
    <row r="289" spans="1:6" x14ac:dyDescent="0.25">
      <c r="A289" s="11">
        <v>1999</v>
      </c>
      <c r="B289" s="11" t="s">
        <v>245</v>
      </c>
      <c r="C289" s="18">
        <v>11.2</v>
      </c>
      <c r="D289" s="18">
        <v>12.3</v>
      </c>
      <c r="E289" s="18">
        <v>57.8</v>
      </c>
      <c r="F289" s="15">
        <v>1.75</v>
      </c>
    </row>
    <row r="290" spans="1:6" x14ac:dyDescent="0.25">
      <c r="A290" s="11">
        <v>1999</v>
      </c>
      <c r="B290" s="11" t="s">
        <v>282</v>
      </c>
      <c r="C290" s="18">
        <v>9.6999999999999993</v>
      </c>
      <c r="D290" s="18">
        <v>12.3</v>
      </c>
      <c r="E290" s="18">
        <v>55.4</v>
      </c>
      <c r="F290" s="15">
        <v>1.72</v>
      </c>
    </row>
    <row r="291" spans="1:6" x14ac:dyDescent="0.25">
      <c r="A291" s="11">
        <v>1999</v>
      </c>
      <c r="B291" s="11" t="s">
        <v>247</v>
      </c>
      <c r="C291" s="18">
        <v>10.3</v>
      </c>
      <c r="D291" s="18">
        <v>10.7</v>
      </c>
      <c r="E291" s="18">
        <v>49.5</v>
      </c>
      <c r="F291" s="15">
        <v>1.53</v>
      </c>
    </row>
    <row r="292" spans="1:6" x14ac:dyDescent="0.25">
      <c r="A292" s="11">
        <v>1999</v>
      </c>
      <c r="B292" s="11" t="s">
        <v>248</v>
      </c>
      <c r="C292" s="18">
        <v>12</v>
      </c>
      <c r="D292" s="18">
        <v>11.5</v>
      </c>
      <c r="E292" s="18">
        <v>54.1</v>
      </c>
      <c r="F292" s="15">
        <v>1.61</v>
      </c>
    </row>
    <row r="293" spans="1:6" x14ac:dyDescent="0.25">
      <c r="A293" s="11">
        <v>1999</v>
      </c>
      <c r="B293" s="11" t="s">
        <v>249</v>
      </c>
      <c r="C293" s="18">
        <v>9.6999999999999993</v>
      </c>
      <c r="D293" s="18">
        <v>11.6</v>
      </c>
      <c r="E293" s="18">
        <v>52.6</v>
      </c>
      <c r="F293" s="15">
        <v>1.72</v>
      </c>
    </row>
    <row r="294" spans="1:6" x14ac:dyDescent="0.25">
      <c r="A294" s="11">
        <v>1999</v>
      </c>
      <c r="B294" s="11" t="s">
        <v>250</v>
      </c>
      <c r="C294" s="18">
        <v>10.1</v>
      </c>
      <c r="D294" s="18">
        <v>11.6</v>
      </c>
      <c r="E294" s="18">
        <v>52.9</v>
      </c>
      <c r="F294" s="15">
        <v>1.62</v>
      </c>
    </row>
    <row r="295" spans="1:6" x14ac:dyDescent="0.25">
      <c r="A295" s="11">
        <v>1999</v>
      </c>
      <c r="B295" s="11" t="s">
        <v>251</v>
      </c>
      <c r="C295" s="18">
        <v>11.4</v>
      </c>
      <c r="D295" s="18">
        <v>11.3</v>
      </c>
      <c r="E295" s="18">
        <v>52.8</v>
      </c>
      <c r="F295" s="15">
        <v>1.59</v>
      </c>
    </row>
    <row r="296" spans="1:6" x14ac:dyDescent="0.25">
      <c r="A296" s="11">
        <v>1999</v>
      </c>
      <c r="B296" s="11" t="s">
        <v>252</v>
      </c>
      <c r="C296" s="18">
        <v>10</v>
      </c>
      <c r="D296" s="18">
        <v>11.8</v>
      </c>
      <c r="E296" s="18">
        <v>52.8</v>
      </c>
      <c r="F296" s="15">
        <v>1.63</v>
      </c>
    </row>
    <row r="297" spans="1:6" x14ac:dyDescent="0.25">
      <c r="A297" s="11">
        <v>1999</v>
      </c>
      <c r="B297" s="11" t="s">
        <v>253</v>
      </c>
      <c r="C297" s="18">
        <v>12.6</v>
      </c>
      <c r="D297" s="18">
        <v>13.8</v>
      </c>
      <c r="E297" s="18">
        <v>63.5</v>
      </c>
      <c r="F297" s="15">
        <v>1.92</v>
      </c>
    </row>
    <row r="298" spans="1:6" x14ac:dyDescent="0.25">
      <c r="A298" s="11">
        <v>1999</v>
      </c>
      <c r="B298" s="11" t="s">
        <v>254</v>
      </c>
      <c r="C298" s="18">
        <v>9.1999999999999993</v>
      </c>
      <c r="D298" s="18">
        <v>10.6</v>
      </c>
      <c r="E298" s="18">
        <v>47.7</v>
      </c>
      <c r="F298" s="15">
        <v>1.51</v>
      </c>
    </row>
    <row r="299" spans="1:6" x14ac:dyDescent="0.25">
      <c r="A299" s="11">
        <v>1999</v>
      </c>
      <c r="B299" s="11" t="s">
        <v>255</v>
      </c>
      <c r="C299" s="18">
        <v>11</v>
      </c>
      <c r="D299" s="18">
        <v>11.2</v>
      </c>
      <c r="E299" s="18">
        <v>51.4</v>
      </c>
      <c r="F299" s="15">
        <v>1.58</v>
      </c>
    </row>
    <row r="300" spans="1:6" x14ac:dyDescent="0.25">
      <c r="A300" s="11">
        <v>1999</v>
      </c>
      <c r="B300" s="11" t="s">
        <v>256</v>
      </c>
      <c r="C300" s="18">
        <v>10.3</v>
      </c>
      <c r="D300" s="18">
        <v>10.3</v>
      </c>
      <c r="E300" s="18">
        <v>47.9</v>
      </c>
      <c r="F300" s="15">
        <v>1.43</v>
      </c>
    </row>
    <row r="301" spans="1:6" x14ac:dyDescent="0.25">
      <c r="A301" s="11">
        <v>1999</v>
      </c>
      <c r="B301" s="11" t="s">
        <v>257</v>
      </c>
      <c r="C301" s="18">
        <v>11.1</v>
      </c>
      <c r="D301" s="18">
        <v>11.1</v>
      </c>
      <c r="E301" s="18">
        <v>51.5</v>
      </c>
      <c r="F301" s="15">
        <v>1.58</v>
      </c>
    </row>
    <row r="302" spans="1:6" x14ac:dyDescent="0.25">
      <c r="A302" s="11">
        <v>1999</v>
      </c>
      <c r="B302" s="11" t="s">
        <v>258</v>
      </c>
      <c r="C302" s="18">
        <v>12.9</v>
      </c>
      <c r="D302" s="18">
        <v>12</v>
      </c>
      <c r="E302" s="18">
        <v>57.1</v>
      </c>
      <c r="F302" s="15">
        <v>1.72</v>
      </c>
    </row>
    <row r="303" spans="1:6" x14ac:dyDescent="0.25">
      <c r="A303" s="11">
        <v>2000</v>
      </c>
      <c r="B303" s="11" t="s">
        <v>11</v>
      </c>
      <c r="C303" s="18">
        <v>10.5</v>
      </c>
      <c r="D303" s="18">
        <v>10.5</v>
      </c>
      <c r="E303" s="18">
        <v>49.2</v>
      </c>
      <c r="F303" s="15">
        <v>1.48</v>
      </c>
    </row>
    <row r="304" spans="1:6" x14ac:dyDescent="0.25">
      <c r="A304" s="11">
        <v>2000</v>
      </c>
      <c r="B304" s="11" t="s">
        <v>227</v>
      </c>
      <c r="C304" s="18">
        <v>9.8000000000000007</v>
      </c>
      <c r="D304" s="18">
        <v>8.6999999999999993</v>
      </c>
      <c r="E304" s="18">
        <v>42.2</v>
      </c>
      <c r="F304" s="15">
        <v>1.23</v>
      </c>
    </row>
    <row r="305" spans="1:6" x14ac:dyDescent="0.25">
      <c r="A305" s="11">
        <v>2000</v>
      </c>
      <c r="B305" s="11" t="s">
        <v>228</v>
      </c>
      <c r="C305" s="18">
        <v>10.199999999999999</v>
      </c>
      <c r="D305" s="18">
        <v>11.3</v>
      </c>
      <c r="E305" s="18">
        <v>50.9</v>
      </c>
      <c r="F305" s="15">
        <v>1.62</v>
      </c>
    </row>
    <row r="306" spans="1:6" x14ac:dyDescent="0.25">
      <c r="A306" s="11">
        <v>2000</v>
      </c>
      <c r="B306" s="11" t="s">
        <v>229</v>
      </c>
      <c r="C306" s="18">
        <v>9.6</v>
      </c>
      <c r="D306" s="18">
        <v>11</v>
      </c>
      <c r="E306" s="18">
        <v>50.2</v>
      </c>
      <c r="F306" s="15">
        <v>1.6</v>
      </c>
    </row>
    <row r="307" spans="1:6" x14ac:dyDescent="0.25">
      <c r="A307" s="11">
        <v>2000</v>
      </c>
      <c r="B307" s="11" t="s">
        <v>230</v>
      </c>
      <c r="C307" s="18">
        <v>8.6999999999999993</v>
      </c>
      <c r="D307" s="18">
        <v>10.7</v>
      </c>
      <c r="E307" s="18">
        <v>48.4</v>
      </c>
      <c r="F307" s="15">
        <v>1.53</v>
      </c>
    </row>
    <row r="308" spans="1:6" x14ac:dyDescent="0.25">
      <c r="A308" s="11">
        <v>2000</v>
      </c>
      <c r="B308" s="11" t="s">
        <v>231</v>
      </c>
      <c r="C308" s="18">
        <v>10.4</v>
      </c>
      <c r="D308" s="18">
        <v>8.6</v>
      </c>
      <c r="E308" s="18">
        <v>43</v>
      </c>
      <c r="F308" s="15">
        <v>1.23</v>
      </c>
    </row>
    <row r="309" spans="1:6" x14ac:dyDescent="0.25">
      <c r="A309" s="11">
        <v>2000</v>
      </c>
      <c r="B309" s="11" t="s">
        <v>232</v>
      </c>
      <c r="C309" s="18">
        <v>10.199999999999999</v>
      </c>
      <c r="D309" s="18">
        <v>10.7</v>
      </c>
      <c r="E309" s="18">
        <v>49.6</v>
      </c>
      <c r="F309" s="15">
        <v>1.58</v>
      </c>
    </row>
    <row r="310" spans="1:6" x14ac:dyDescent="0.25">
      <c r="A310" s="11">
        <v>2000</v>
      </c>
      <c r="B310" s="11" t="s">
        <v>233</v>
      </c>
      <c r="C310" s="18">
        <v>9.3000000000000007</v>
      </c>
      <c r="D310" s="18">
        <v>11.1</v>
      </c>
      <c r="E310" s="18">
        <v>50.1</v>
      </c>
      <c r="F310" s="15">
        <v>1.65</v>
      </c>
    </row>
    <row r="311" spans="1:6" x14ac:dyDescent="0.25">
      <c r="A311" s="11">
        <v>2000</v>
      </c>
      <c r="B311" s="11" t="s">
        <v>234</v>
      </c>
      <c r="C311" s="18">
        <v>10</v>
      </c>
      <c r="D311" s="18">
        <v>9.6</v>
      </c>
      <c r="E311" s="18">
        <v>45.3</v>
      </c>
      <c r="F311" s="15">
        <v>1.37</v>
      </c>
    </row>
    <row r="312" spans="1:6" x14ac:dyDescent="0.25">
      <c r="A312" s="11">
        <v>2000</v>
      </c>
      <c r="B312" s="11" t="s">
        <v>235</v>
      </c>
      <c r="C312" s="18">
        <v>10.199999999999999</v>
      </c>
      <c r="D312" s="18">
        <v>10.8</v>
      </c>
      <c r="E312" s="18">
        <v>50.2</v>
      </c>
      <c r="F312" s="15">
        <v>1.6</v>
      </c>
    </row>
    <row r="313" spans="1:6" x14ac:dyDescent="0.25">
      <c r="A313" s="11">
        <v>2000</v>
      </c>
      <c r="B313" s="11" t="s">
        <v>236</v>
      </c>
      <c r="C313" s="18">
        <v>8.9</v>
      </c>
      <c r="D313" s="18">
        <v>10.1</v>
      </c>
      <c r="E313" s="18">
        <v>44</v>
      </c>
      <c r="F313" s="15">
        <v>1.38</v>
      </c>
    </row>
    <row r="314" spans="1:6" x14ac:dyDescent="0.25">
      <c r="A314" s="11">
        <v>2000</v>
      </c>
      <c r="B314" s="11" t="s">
        <v>237</v>
      </c>
      <c r="C314" s="18">
        <v>11.3</v>
      </c>
      <c r="D314" s="18">
        <v>12.4</v>
      </c>
      <c r="E314" s="18">
        <v>56.6</v>
      </c>
      <c r="F314" s="15">
        <v>1.77</v>
      </c>
    </row>
    <row r="315" spans="1:6" x14ac:dyDescent="0.25">
      <c r="A315" s="11">
        <v>2000</v>
      </c>
      <c r="B315" s="11" t="s">
        <v>238</v>
      </c>
      <c r="C315" s="18">
        <v>10.5</v>
      </c>
      <c r="D315" s="18">
        <v>11.9</v>
      </c>
      <c r="E315" s="18">
        <v>51.8</v>
      </c>
      <c r="F315" s="15">
        <v>1.6</v>
      </c>
    </row>
    <row r="316" spans="1:6" x14ac:dyDescent="0.25">
      <c r="A316" s="11">
        <v>2000</v>
      </c>
      <c r="B316" s="11" t="s">
        <v>239</v>
      </c>
      <c r="C316" s="18">
        <v>10.8</v>
      </c>
      <c r="D316" s="18">
        <v>10.8</v>
      </c>
      <c r="E316" s="18">
        <v>51.1</v>
      </c>
      <c r="F316" s="15">
        <v>1.55</v>
      </c>
    </row>
    <row r="317" spans="1:6" x14ac:dyDescent="0.25">
      <c r="A317" s="11">
        <v>2000</v>
      </c>
      <c r="B317" s="11" t="s">
        <v>240</v>
      </c>
      <c r="C317" s="18">
        <v>10</v>
      </c>
      <c r="D317" s="18">
        <v>10.5</v>
      </c>
      <c r="E317" s="18">
        <v>48.7</v>
      </c>
      <c r="F317" s="15">
        <v>1.5</v>
      </c>
    </row>
    <row r="318" spans="1:6" x14ac:dyDescent="0.25">
      <c r="A318" s="11">
        <v>2000</v>
      </c>
      <c r="B318" s="11" t="s">
        <v>241</v>
      </c>
      <c r="C318" s="18">
        <v>11.4</v>
      </c>
      <c r="D318" s="18">
        <v>9.6999999999999993</v>
      </c>
      <c r="E318" s="18">
        <v>47.5</v>
      </c>
      <c r="F318" s="15">
        <v>1.37</v>
      </c>
    </row>
    <row r="319" spans="1:6" x14ac:dyDescent="0.25">
      <c r="A319" s="11">
        <v>2000</v>
      </c>
      <c r="B319" s="11" t="s">
        <v>242</v>
      </c>
      <c r="C319" s="18">
        <v>10.3</v>
      </c>
      <c r="D319" s="18">
        <v>11.8</v>
      </c>
      <c r="E319" s="18">
        <v>53.7</v>
      </c>
      <c r="F319" s="15">
        <v>1.73</v>
      </c>
    </row>
    <row r="320" spans="1:6" x14ac:dyDescent="0.25">
      <c r="A320" s="11">
        <v>2000</v>
      </c>
      <c r="B320" s="11" t="s">
        <v>243</v>
      </c>
      <c r="C320" s="18">
        <v>10.199999999999999</v>
      </c>
      <c r="D320" s="18">
        <v>10.7</v>
      </c>
      <c r="E320" s="18">
        <v>49.1</v>
      </c>
      <c r="F320" s="15">
        <v>1.55</v>
      </c>
    </row>
    <row r="321" spans="1:6" x14ac:dyDescent="0.25">
      <c r="A321" s="11">
        <v>2000</v>
      </c>
      <c r="B321" s="11" t="s">
        <v>244</v>
      </c>
      <c r="C321" s="18">
        <v>11.4</v>
      </c>
      <c r="D321" s="18">
        <v>11.9</v>
      </c>
      <c r="E321" s="18">
        <v>54.8</v>
      </c>
      <c r="F321" s="15">
        <v>1.73</v>
      </c>
    </row>
    <row r="322" spans="1:6" x14ac:dyDescent="0.25">
      <c r="A322" s="11">
        <v>2000</v>
      </c>
      <c r="B322" s="11" t="s">
        <v>245</v>
      </c>
      <c r="C322" s="18">
        <v>10.5</v>
      </c>
      <c r="D322" s="18">
        <v>11.6</v>
      </c>
      <c r="E322" s="18">
        <v>54.8</v>
      </c>
      <c r="F322" s="15">
        <v>1.71</v>
      </c>
    </row>
    <row r="323" spans="1:6" x14ac:dyDescent="0.25">
      <c r="A323" s="11">
        <v>2000</v>
      </c>
      <c r="B323" s="11" t="s">
        <v>282</v>
      </c>
      <c r="C323" s="18">
        <v>8.5</v>
      </c>
      <c r="D323" s="18">
        <v>10.8</v>
      </c>
      <c r="E323" s="18">
        <v>49</v>
      </c>
      <c r="F323" s="15">
        <v>1.54</v>
      </c>
    </row>
    <row r="324" spans="1:6" x14ac:dyDescent="0.25">
      <c r="A324" s="11">
        <v>2000</v>
      </c>
      <c r="B324" s="11" t="s">
        <v>247</v>
      </c>
      <c r="C324" s="18">
        <v>10.199999999999999</v>
      </c>
      <c r="D324" s="18">
        <v>10.7</v>
      </c>
      <c r="E324" s="18">
        <v>49.2</v>
      </c>
      <c r="F324" s="15">
        <v>1.55</v>
      </c>
    </row>
    <row r="325" spans="1:6" x14ac:dyDescent="0.25">
      <c r="A325" s="11">
        <v>2000</v>
      </c>
      <c r="B325" s="11" t="s">
        <v>248</v>
      </c>
      <c r="C325" s="18">
        <v>11.9</v>
      </c>
      <c r="D325" s="18">
        <v>11.4</v>
      </c>
      <c r="E325" s="18">
        <v>54</v>
      </c>
      <c r="F325" s="15">
        <v>1.64</v>
      </c>
    </row>
    <row r="326" spans="1:6" x14ac:dyDescent="0.25">
      <c r="A326" s="11">
        <v>2000</v>
      </c>
      <c r="B326" s="11" t="s">
        <v>249</v>
      </c>
      <c r="C326" s="18">
        <v>7.9</v>
      </c>
      <c r="D326" s="18">
        <v>9.4</v>
      </c>
      <c r="E326" s="18">
        <v>42.9</v>
      </c>
      <c r="F326" s="15">
        <v>1.36</v>
      </c>
    </row>
    <row r="327" spans="1:6" x14ac:dyDescent="0.25">
      <c r="A327" s="11">
        <v>2000</v>
      </c>
      <c r="B327" s="11" t="s">
        <v>250</v>
      </c>
      <c r="C327" s="18">
        <v>9.9</v>
      </c>
      <c r="D327" s="18">
        <v>11.5</v>
      </c>
      <c r="E327" s="18">
        <v>52.2</v>
      </c>
      <c r="F327" s="15">
        <v>1.64</v>
      </c>
    </row>
    <row r="328" spans="1:6" x14ac:dyDescent="0.25">
      <c r="A328" s="11">
        <v>2000</v>
      </c>
      <c r="B328" s="11" t="s">
        <v>251</v>
      </c>
      <c r="C328" s="18">
        <v>11.6</v>
      </c>
      <c r="D328" s="18">
        <v>11.5</v>
      </c>
      <c r="E328" s="18">
        <v>53.9</v>
      </c>
      <c r="F328" s="15">
        <v>1.63</v>
      </c>
    </row>
    <row r="329" spans="1:6" x14ac:dyDescent="0.25">
      <c r="A329" s="11">
        <v>2000</v>
      </c>
      <c r="B329" s="11" t="s">
        <v>252</v>
      </c>
      <c r="C329" s="18">
        <v>10.1</v>
      </c>
      <c r="D329" s="18">
        <v>11.9</v>
      </c>
      <c r="E329" s="18">
        <v>53.5</v>
      </c>
      <c r="F329" s="15">
        <v>1.7</v>
      </c>
    </row>
    <row r="330" spans="1:6" x14ac:dyDescent="0.25">
      <c r="A330" s="11">
        <v>2000</v>
      </c>
      <c r="B330" s="11" t="s">
        <v>253</v>
      </c>
      <c r="C330" s="18">
        <v>10.199999999999999</v>
      </c>
      <c r="D330" s="18">
        <v>11.3</v>
      </c>
      <c r="E330" s="18">
        <v>52.5</v>
      </c>
      <c r="F330" s="15">
        <v>1.6</v>
      </c>
    </row>
    <row r="331" spans="1:6" x14ac:dyDescent="0.25">
      <c r="A331" s="11">
        <v>2000</v>
      </c>
      <c r="B331" s="11" t="s">
        <v>254</v>
      </c>
      <c r="C331" s="18">
        <v>9.4</v>
      </c>
      <c r="D331" s="18">
        <v>10.9</v>
      </c>
      <c r="E331" s="18">
        <v>48.9</v>
      </c>
      <c r="F331" s="15">
        <v>1.56</v>
      </c>
    </row>
    <row r="332" spans="1:6" x14ac:dyDescent="0.25">
      <c r="A332" s="11">
        <v>2000</v>
      </c>
      <c r="B332" s="11" t="s">
        <v>255</v>
      </c>
      <c r="C332" s="18">
        <v>10.5</v>
      </c>
      <c r="D332" s="18">
        <v>10.7</v>
      </c>
      <c r="E332" s="18">
        <v>49</v>
      </c>
      <c r="F332" s="15">
        <v>1.52</v>
      </c>
    </row>
    <row r="333" spans="1:6" x14ac:dyDescent="0.25">
      <c r="A333" s="11">
        <v>2000</v>
      </c>
      <c r="B333" s="11" t="s">
        <v>256</v>
      </c>
      <c r="C333" s="18">
        <v>10.199999999999999</v>
      </c>
      <c r="D333" s="18">
        <v>10.1</v>
      </c>
      <c r="E333" s="18">
        <v>46.9</v>
      </c>
      <c r="F333" s="15">
        <v>1.42</v>
      </c>
    </row>
    <row r="334" spans="1:6" x14ac:dyDescent="0.25">
      <c r="A334" s="11">
        <v>2000</v>
      </c>
      <c r="B334" s="11" t="s">
        <v>257</v>
      </c>
      <c r="C334" s="18">
        <v>10.7</v>
      </c>
      <c r="D334" s="18">
        <v>10.7</v>
      </c>
      <c r="E334" s="18">
        <v>49.6</v>
      </c>
      <c r="F334" s="15">
        <v>1.54</v>
      </c>
    </row>
    <row r="335" spans="1:6" x14ac:dyDescent="0.25">
      <c r="A335" s="11">
        <v>2000</v>
      </c>
      <c r="B335" s="11" t="s">
        <v>258</v>
      </c>
      <c r="C335" s="18">
        <v>12.1</v>
      </c>
      <c r="D335" s="18">
        <v>11.2</v>
      </c>
      <c r="E335" s="18">
        <v>53.3</v>
      </c>
      <c r="F335" s="15">
        <v>1.6</v>
      </c>
    </row>
    <row r="336" spans="1:6" x14ac:dyDescent="0.25">
      <c r="A336" s="11">
        <v>2001</v>
      </c>
      <c r="B336" s="11" t="s">
        <v>11</v>
      </c>
      <c r="C336" s="18">
        <v>10.4</v>
      </c>
      <c r="D336" s="18">
        <v>10.4</v>
      </c>
      <c r="E336" s="18">
        <v>48.8</v>
      </c>
      <c r="F336" s="15">
        <v>1.49</v>
      </c>
    </row>
    <row r="337" spans="1:6" x14ac:dyDescent="0.25">
      <c r="A337" s="11">
        <v>2001</v>
      </c>
      <c r="B337" s="11" t="s">
        <v>227</v>
      </c>
      <c r="C337" s="18">
        <v>9.9</v>
      </c>
      <c r="D337" s="18">
        <v>8.6999999999999993</v>
      </c>
      <c r="E337" s="18">
        <v>42.6</v>
      </c>
      <c r="F337" s="15">
        <v>1.25</v>
      </c>
    </row>
    <row r="338" spans="1:6" x14ac:dyDescent="0.25">
      <c r="A338" s="11">
        <v>2001</v>
      </c>
      <c r="B338" s="11" t="s">
        <v>228</v>
      </c>
      <c r="C338" s="18">
        <v>9.9</v>
      </c>
      <c r="D338" s="18">
        <v>11.1</v>
      </c>
      <c r="E338" s="18">
        <v>50.1</v>
      </c>
      <c r="F338" s="15">
        <v>1.62</v>
      </c>
    </row>
    <row r="339" spans="1:6" x14ac:dyDescent="0.25">
      <c r="A339" s="11">
        <v>2001</v>
      </c>
      <c r="B339" s="11" t="s">
        <v>229</v>
      </c>
      <c r="C339" s="18">
        <v>10.199999999999999</v>
      </c>
      <c r="D339" s="18">
        <v>11.9</v>
      </c>
      <c r="E339" s="18">
        <v>54</v>
      </c>
      <c r="F339" s="15">
        <v>1.76</v>
      </c>
    </row>
    <row r="340" spans="1:6" x14ac:dyDescent="0.25">
      <c r="A340" s="11">
        <v>2001</v>
      </c>
      <c r="B340" s="11" t="s">
        <v>230</v>
      </c>
      <c r="C340" s="18">
        <v>8.5</v>
      </c>
      <c r="D340" s="18">
        <v>10.6</v>
      </c>
      <c r="E340" s="18">
        <v>48.3</v>
      </c>
      <c r="F340" s="15">
        <v>1.54</v>
      </c>
    </row>
    <row r="341" spans="1:6" x14ac:dyDescent="0.25">
      <c r="A341" s="11">
        <v>2001</v>
      </c>
      <c r="B341" s="11" t="s">
        <v>231</v>
      </c>
      <c r="C341" s="18">
        <v>10</v>
      </c>
      <c r="D341" s="18">
        <v>8.1999999999999993</v>
      </c>
      <c r="E341" s="18">
        <v>41.2</v>
      </c>
      <c r="F341" s="15">
        <v>1.19</v>
      </c>
    </row>
    <row r="342" spans="1:6" x14ac:dyDescent="0.25">
      <c r="A342" s="11">
        <v>2001</v>
      </c>
      <c r="B342" s="11" t="s">
        <v>232</v>
      </c>
      <c r="C342" s="18">
        <v>11</v>
      </c>
      <c r="D342" s="18">
        <v>11.7</v>
      </c>
      <c r="E342" s="18">
        <v>54.1</v>
      </c>
      <c r="F342" s="15">
        <v>1.74</v>
      </c>
    </row>
    <row r="343" spans="1:6" x14ac:dyDescent="0.25">
      <c r="A343" s="11">
        <v>2001</v>
      </c>
      <c r="B343" s="11" t="s">
        <v>233</v>
      </c>
      <c r="C343" s="18">
        <v>8.6999999999999993</v>
      </c>
      <c r="D343" s="18">
        <v>10.5</v>
      </c>
      <c r="E343" s="18">
        <v>47.4</v>
      </c>
      <c r="F343" s="15">
        <v>1.59</v>
      </c>
    </row>
    <row r="344" spans="1:6" x14ac:dyDescent="0.25">
      <c r="A344" s="11">
        <v>2001</v>
      </c>
      <c r="B344" s="11" t="s">
        <v>234</v>
      </c>
      <c r="C344" s="18">
        <v>10.1</v>
      </c>
      <c r="D344" s="18">
        <v>9.6</v>
      </c>
      <c r="E344" s="18">
        <v>45.5</v>
      </c>
      <c r="F344" s="15">
        <v>1.39</v>
      </c>
    </row>
    <row r="345" spans="1:6" x14ac:dyDescent="0.25">
      <c r="A345" s="11">
        <v>2001</v>
      </c>
      <c r="B345" s="11" t="s">
        <v>235</v>
      </c>
      <c r="C345" s="18">
        <v>10</v>
      </c>
      <c r="D345" s="18">
        <v>10.5</v>
      </c>
      <c r="E345" s="18">
        <v>48.8</v>
      </c>
      <c r="F345" s="15">
        <v>1.55</v>
      </c>
    </row>
    <row r="346" spans="1:6" x14ac:dyDescent="0.25">
      <c r="A346" s="11">
        <v>2001</v>
      </c>
      <c r="B346" s="11" t="s">
        <v>236</v>
      </c>
      <c r="C346" s="18">
        <v>9.1</v>
      </c>
      <c r="D346" s="18">
        <v>10.5</v>
      </c>
      <c r="E346" s="18">
        <v>45.2</v>
      </c>
      <c r="F346" s="15">
        <v>1.46</v>
      </c>
    </row>
    <row r="347" spans="1:6" x14ac:dyDescent="0.25">
      <c r="A347" s="11">
        <v>2001</v>
      </c>
      <c r="B347" s="11" t="s">
        <v>237</v>
      </c>
      <c r="C347" s="18">
        <v>10.4</v>
      </c>
      <c r="D347" s="18">
        <v>11.6</v>
      </c>
      <c r="E347" s="18">
        <v>53</v>
      </c>
      <c r="F347" s="15">
        <v>1.7</v>
      </c>
    </row>
    <row r="348" spans="1:6" x14ac:dyDescent="0.25">
      <c r="A348" s="11">
        <v>2001</v>
      </c>
      <c r="B348" s="11" t="s">
        <v>238</v>
      </c>
      <c r="C348" s="18">
        <v>10.7</v>
      </c>
      <c r="D348" s="18">
        <v>12.3</v>
      </c>
      <c r="E348" s="18">
        <v>53.2</v>
      </c>
      <c r="F348" s="15">
        <v>1.72</v>
      </c>
    </row>
    <row r="349" spans="1:6" x14ac:dyDescent="0.25">
      <c r="A349" s="11">
        <v>2001</v>
      </c>
      <c r="B349" s="11" t="s">
        <v>239</v>
      </c>
      <c r="C349" s="18">
        <v>10</v>
      </c>
      <c r="D349" s="18">
        <v>10</v>
      </c>
      <c r="E349" s="18">
        <v>47.5</v>
      </c>
      <c r="F349" s="15">
        <v>1.45</v>
      </c>
    </row>
    <row r="350" spans="1:6" x14ac:dyDescent="0.25">
      <c r="A350" s="11">
        <v>2001</v>
      </c>
      <c r="B350" s="11" t="s">
        <v>240</v>
      </c>
      <c r="C350" s="18">
        <v>10.4</v>
      </c>
      <c r="D350" s="18">
        <v>10.9</v>
      </c>
      <c r="E350" s="18">
        <v>50.6</v>
      </c>
      <c r="F350" s="15">
        <v>1.59</v>
      </c>
    </row>
    <row r="351" spans="1:6" x14ac:dyDescent="0.25">
      <c r="A351" s="11">
        <v>2001</v>
      </c>
      <c r="B351" s="11" t="s">
        <v>241</v>
      </c>
      <c r="C351" s="18">
        <v>11.5</v>
      </c>
      <c r="D351" s="18">
        <v>9.6999999999999993</v>
      </c>
      <c r="E351" s="18">
        <v>47.7</v>
      </c>
      <c r="F351" s="15">
        <v>1.38</v>
      </c>
    </row>
    <row r="352" spans="1:6" x14ac:dyDescent="0.25">
      <c r="A352" s="11">
        <v>2001</v>
      </c>
      <c r="B352" s="11" t="s">
        <v>242</v>
      </c>
      <c r="C352" s="18">
        <v>10.199999999999999</v>
      </c>
      <c r="D352" s="18">
        <v>11.8</v>
      </c>
      <c r="E352" s="18">
        <v>53.7</v>
      </c>
      <c r="F352" s="15">
        <v>1.76</v>
      </c>
    </row>
    <row r="353" spans="1:6" x14ac:dyDescent="0.25">
      <c r="A353" s="11">
        <v>2001</v>
      </c>
      <c r="B353" s="11" t="s">
        <v>243</v>
      </c>
      <c r="C353" s="18">
        <v>10.1</v>
      </c>
      <c r="D353" s="18">
        <v>10.6</v>
      </c>
      <c r="E353" s="18">
        <v>48.6</v>
      </c>
      <c r="F353" s="15">
        <v>1.54</v>
      </c>
    </row>
    <row r="354" spans="1:6" x14ac:dyDescent="0.25">
      <c r="A354" s="11">
        <v>2001</v>
      </c>
      <c r="B354" s="11" t="s">
        <v>244</v>
      </c>
      <c r="C354" s="18">
        <v>11.4</v>
      </c>
      <c r="D354" s="18">
        <v>12</v>
      </c>
      <c r="E354" s="18">
        <v>55.1</v>
      </c>
      <c r="F354" s="15">
        <v>1.77</v>
      </c>
    </row>
    <row r="355" spans="1:6" x14ac:dyDescent="0.25">
      <c r="A355" s="11">
        <v>2001</v>
      </c>
      <c r="B355" s="11" t="s">
        <v>245</v>
      </c>
      <c r="C355" s="18">
        <v>10</v>
      </c>
      <c r="D355" s="18">
        <v>11.1</v>
      </c>
      <c r="E355" s="18">
        <v>52.4</v>
      </c>
      <c r="F355" s="15">
        <v>1.67</v>
      </c>
    </row>
    <row r="356" spans="1:6" x14ac:dyDescent="0.25">
      <c r="A356" s="11">
        <v>2001</v>
      </c>
      <c r="B356" s="11" t="s">
        <v>282</v>
      </c>
      <c r="C356" s="18">
        <v>8.5</v>
      </c>
      <c r="D356" s="18">
        <v>10.9</v>
      </c>
      <c r="E356" s="18">
        <v>50</v>
      </c>
      <c r="F356" s="15">
        <v>1.6</v>
      </c>
    </row>
    <row r="357" spans="1:6" x14ac:dyDescent="0.25">
      <c r="A357" s="11">
        <v>2001</v>
      </c>
      <c r="B357" s="11" t="s">
        <v>247</v>
      </c>
      <c r="C357" s="18">
        <v>10.5</v>
      </c>
      <c r="D357" s="18">
        <v>11</v>
      </c>
      <c r="E357" s="18">
        <v>50.7</v>
      </c>
      <c r="F357" s="15">
        <v>1.63</v>
      </c>
    </row>
    <row r="358" spans="1:6" x14ac:dyDescent="0.25">
      <c r="A358" s="11">
        <v>2001</v>
      </c>
      <c r="B358" s="11" t="s">
        <v>248</v>
      </c>
      <c r="C358" s="18">
        <v>11.4</v>
      </c>
      <c r="D358" s="18">
        <v>10.9</v>
      </c>
      <c r="E358" s="18">
        <v>51.8</v>
      </c>
      <c r="F358" s="15">
        <v>1.59</v>
      </c>
    </row>
    <row r="359" spans="1:6" x14ac:dyDescent="0.25">
      <c r="A359" s="11">
        <v>2001</v>
      </c>
      <c r="B359" s="11" t="s">
        <v>249</v>
      </c>
      <c r="C359" s="18">
        <v>9.1</v>
      </c>
      <c r="D359" s="18">
        <v>10.9</v>
      </c>
      <c r="E359" s="18">
        <v>49.6</v>
      </c>
      <c r="F359" s="15">
        <v>1.56</v>
      </c>
    </row>
    <row r="360" spans="1:6" x14ac:dyDescent="0.25">
      <c r="A360" s="11">
        <v>2001</v>
      </c>
      <c r="B360" s="11" t="s">
        <v>250</v>
      </c>
      <c r="C360" s="18">
        <v>9.9</v>
      </c>
      <c r="D360" s="18">
        <v>11.7</v>
      </c>
      <c r="E360" s="18">
        <v>53</v>
      </c>
      <c r="F360" s="15">
        <v>1.69</v>
      </c>
    </row>
    <row r="361" spans="1:6" x14ac:dyDescent="0.25">
      <c r="A361" s="11">
        <v>2001</v>
      </c>
      <c r="B361" s="11" t="s">
        <v>251</v>
      </c>
      <c r="C361" s="18">
        <v>10.4</v>
      </c>
      <c r="D361" s="18">
        <v>10.4</v>
      </c>
      <c r="E361" s="18">
        <v>48.6</v>
      </c>
      <c r="F361" s="15">
        <v>1.5</v>
      </c>
    </row>
    <row r="362" spans="1:6" x14ac:dyDescent="0.25">
      <c r="A362" s="11">
        <v>2001</v>
      </c>
      <c r="B362" s="11" t="s">
        <v>252</v>
      </c>
      <c r="C362" s="18">
        <v>10</v>
      </c>
      <c r="D362" s="18">
        <v>11.9</v>
      </c>
      <c r="E362" s="18">
        <v>53.5</v>
      </c>
      <c r="F362" s="15">
        <v>1.71</v>
      </c>
    </row>
    <row r="363" spans="1:6" x14ac:dyDescent="0.25">
      <c r="A363" s="11">
        <v>2001</v>
      </c>
      <c r="B363" s="11" t="s">
        <v>253</v>
      </c>
      <c r="C363" s="18">
        <v>11.2</v>
      </c>
      <c r="D363" s="18">
        <v>12.6</v>
      </c>
      <c r="E363" s="18">
        <v>58.9</v>
      </c>
      <c r="F363" s="15">
        <v>1.85</v>
      </c>
    </row>
    <row r="364" spans="1:6" x14ac:dyDescent="0.25">
      <c r="A364" s="11">
        <v>2001</v>
      </c>
      <c r="B364" s="11" t="s">
        <v>254</v>
      </c>
      <c r="C364" s="18">
        <v>9.4</v>
      </c>
      <c r="D364" s="18">
        <v>11</v>
      </c>
      <c r="E364" s="18">
        <v>49.5</v>
      </c>
      <c r="F364" s="15">
        <v>1.59</v>
      </c>
    </row>
    <row r="365" spans="1:6" x14ac:dyDescent="0.25">
      <c r="A365" s="11">
        <v>2001</v>
      </c>
      <c r="B365" s="11" t="s">
        <v>255</v>
      </c>
      <c r="C365" s="18">
        <v>10.5</v>
      </c>
      <c r="D365" s="18">
        <v>10.7</v>
      </c>
      <c r="E365" s="18">
        <v>49.2</v>
      </c>
      <c r="F365" s="15">
        <v>1.54</v>
      </c>
    </row>
    <row r="366" spans="1:6" x14ac:dyDescent="0.25">
      <c r="A366" s="11">
        <v>2001</v>
      </c>
      <c r="B366" s="11" t="s">
        <v>256</v>
      </c>
      <c r="C366" s="18">
        <v>9.6999999999999993</v>
      </c>
      <c r="D366" s="18">
        <v>9.8000000000000007</v>
      </c>
      <c r="E366" s="18">
        <v>45.8</v>
      </c>
      <c r="F366" s="15">
        <v>1.39</v>
      </c>
    </row>
    <row r="367" spans="1:6" x14ac:dyDescent="0.25">
      <c r="A367" s="11">
        <v>2001</v>
      </c>
      <c r="B367" s="11" t="s">
        <v>257</v>
      </c>
      <c r="C367" s="18">
        <v>10.4</v>
      </c>
      <c r="D367" s="18">
        <v>10.4</v>
      </c>
      <c r="E367" s="18">
        <v>48.3</v>
      </c>
      <c r="F367" s="15">
        <v>1.51</v>
      </c>
    </row>
    <row r="368" spans="1:6" x14ac:dyDescent="0.25">
      <c r="A368" s="11">
        <v>2001</v>
      </c>
      <c r="B368" s="11" t="s">
        <v>258</v>
      </c>
      <c r="C368" s="18">
        <v>12.5</v>
      </c>
      <c r="D368" s="18">
        <v>11.6</v>
      </c>
      <c r="E368" s="18">
        <v>55.2</v>
      </c>
      <c r="F368" s="15">
        <v>1.72</v>
      </c>
    </row>
    <row r="369" spans="1:6" x14ac:dyDescent="0.25">
      <c r="A369" s="11">
        <v>2002</v>
      </c>
      <c r="B369" s="11" t="s">
        <v>11</v>
      </c>
      <c r="C369" s="18">
        <v>10.1</v>
      </c>
      <c r="D369" s="18">
        <v>10.1</v>
      </c>
      <c r="E369" s="18">
        <v>47.9</v>
      </c>
      <c r="F369" s="15">
        <v>1.47</v>
      </c>
    </row>
    <row r="370" spans="1:6" x14ac:dyDescent="0.25">
      <c r="A370" s="11">
        <v>2002</v>
      </c>
      <c r="B370" s="11" t="s">
        <v>227</v>
      </c>
      <c r="C370" s="18">
        <v>10</v>
      </c>
      <c r="D370" s="18">
        <v>8.8000000000000007</v>
      </c>
      <c r="E370" s="18">
        <v>43.3</v>
      </c>
      <c r="F370" s="15">
        <v>1.28</v>
      </c>
    </row>
    <row r="371" spans="1:6" x14ac:dyDescent="0.25">
      <c r="A371" s="11">
        <v>2002</v>
      </c>
      <c r="B371" s="11" t="s">
        <v>228</v>
      </c>
      <c r="C371" s="18">
        <v>10.199999999999999</v>
      </c>
      <c r="D371" s="18">
        <v>11.4</v>
      </c>
      <c r="E371" s="18">
        <v>51.7</v>
      </c>
      <c r="F371" s="15">
        <v>1.69</v>
      </c>
    </row>
    <row r="372" spans="1:6" x14ac:dyDescent="0.25">
      <c r="A372" s="11">
        <v>2002</v>
      </c>
      <c r="B372" s="11" t="s">
        <v>229</v>
      </c>
      <c r="C372" s="18">
        <v>9.3000000000000007</v>
      </c>
      <c r="D372" s="18">
        <v>10.8</v>
      </c>
      <c r="E372" s="18">
        <v>49.5</v>
      </c>
      <c r="F372" s="15">
        <v>1.62</v>
      </c>
    </row>
    <row r="373" spans="1:6" x14ac:dyDescent="0.25">
      <c r="A373" s="11">
        <v>2002</v>
      </c>
      <c r="B373" s="11" t="s">
        <v>230</v>
      </c>
      <c r="C373" s="18">
        <v>8.3000000000000007</v>
      </c>
      <c r="D373" s="18">
        <v>10.7</v>
      </c>
      <c r="E373" s="18">
        <v>48.3</v>
      </c>
      <c r="F373" s="15">
        <v>1.59</v>
      </c>
    </row>
    <row r="374" spans="1:6" x14ac:dyDescent="0.25">
      <c r="A374" s="11">
        <v>2002</v>
      </c>
      <c r="B374" s="11" t="s">
        <v>231</v>
      </c>
      <c r="C374" s="18">
        <v>10</v>
      </c>
      <c r="D374" s="18">
        <v>8.1</v>
      </c>
      <c r="E374" s="18">
        <v>41.4</v>
      </c>
      <c r="F374" s="15">
        <v>1.2</v>
      </c>
    </row>
    <row r="375" spans="1:6" x14ac:dyDescent="0.25">
      <c r="A375" s="11">
        <v>2002</v>
      </c>
      <c r="B375" s="11" t="s">
        <v>232</v>
      </c>
      <c r="C375" s="18">
        <v>10</v>
      </c>
      <c r="D375" s="18">
        <v>10.6</v>
      </c>
      <c r="E375" s="18">
        <v>48.8</v>
      </c>
      <c r="F375" s="15">
        <v>1.59</v>
      </c>
    </row>
    <row r="376" spans="1:6" x14ac:dyDescent="0.25">
      <c r="A376" s="11">
        <v>2002</v>
      </c>
      <c r="B376" s="11" t="s">
        <v>233</v>
      </c>
      <c r="C376" s="18">
        <v>9.1</v>
      </c>
      <c r="D376" s="18">
        <v>11.2</v>
      </c>
      <c r="E376" s="18">
        <v>50.2</v>
      </c>
      <c r="F376" s="15">
        <v>1.71</v>
      </c>
    </row>
    <row r="377" spans="1:6" x14ac:dyDescent="0.25">
      <c r="A377" s="11">
        <v>2002</v>
      </c>
      <c r="B377" s="11" t="s">
        <v>234</v>
      </c>
      <c r="C377" s="18">
        <v>9.9</v>
      </c>
      <c r="D377" s="18">
        <v>9.5</v>
      </c>
      <c r="E377" s="18">
        <v>45.1</v>
      </c>
      <c r="F377" s="15">
        <v>1.38</v>
      </c>
    </row>
    <row r="378" spans="1:6" x14ac:dyDescent="0.25">
      <c r="A378" s="11">
        <v>2002</v>
      </c>
      <c r="B378" s="11" t="s">
        <v>235</v>
      </c>
      <c r="C378" s="18">
        <v>9.6</v>
      </c>
      <c r="D378" s="18">
        <v>10.1</v>
      </c>
      <c r="E378" s="18">
        <v>47.4</v>
      </c>
      <c r="F378" s="15">
        <v>1.53</v>
      </c>
    </row>
    <row r="379" spans="1:6" x14ac:dyDescent="0.25">
      <c r="A379" s="11">
        <v>2002</v>
      </c>
      <c r="B379" s="11" t="s">
        <v>236</v>
      </c>
      <c r="C379" s="18">
        <v>8.8000000000000007</v>
      </c>
      <c r="D379" s="18">
        <v>10.3</v>
      </c>
      <c r="E379" s="18">
        <v>44.6</v>
      </c>
      <c r="F379" s="15">
        <v>1.44</v>
      </c>
    </row>
    <row r="380" spans="1:6" x14ac:dyDescent="0.25">
      <c r="A380" s="11">
        <v>2002</v>
      </c>
      <c r="B380" s="11" t="s">
        <v>237</v>
      </c>
      <c r="C380" s="18">
        <v>10</v>
      </c>
      <c r="D380" s="18">
        <v>11.2</v>
      </c>
      <c r="E380" s="18">
        <v>51</v>
      </c>
      <c r="F380" s="15">
        <v>1.65</v>
      </c>
    </row>
    <row r="381" spans="1:6" x14ac:dyDescent="0.25">
      <c r="A381" s="11">
        <v>2002</v>
      </c>
      <c r="B381" s="11" t="s">
        <v>238</v>
      </c>
      <c r="C381" s="18">
        <v>10.199999999999999</v>
      </c>
      <c r="D381" s="18">
        <v>11.8</v>
      </c>
      <c r="E381" s="18">
        <v>51</v>
      </c>
      <c r="F381" s="15">
        <v>1.64</v>
      </c>
    </row>
    <row r="382" spans="1:6" x14ac:dyDescent="0.25">
      <c r="A382" s="11">
        <v>2002</v>
      </c>
      <c r="B382" s="11" t="s">
        <v>239</v>
      </c>
      <c r="C382" s="18">
        <v>10.3</v>
      </c>
      <c r="D382" s="18">
        <v>10.3</v>
      </c>
      <c r="E382" s="18">
        <v>49.3</v>
      </c>
      <c r="F382" s="15">
        <v>1.51</v>
      </c>
    </row>
    <row r="383" spans="1:6" x14ac:dyDescent="0.25">
      <c r="A383" s="11">
        <v>2002</v>
      </c>
      <c r="B383" s="11" t="s">
        <v>240</v>
      </c>
      <c r="C383" s="18">
        <v>10.1</v>
      </c>
      <c r="D383" s="18">
        <v>10.5</v>
      </c>
      <c r="E383" s="18">
        <v>48.8</v>
      </c>
      <c r="F383" s="15">
        <v>1.54</v>
      </c>
    </row>
    <row r="384" spans="1:6" x14ac:dyDescent="0.25">
      <c r="A384" s="11">
        <v>2002</v>
      </c>
      <c r="B384" s="11" t="s">
        <v>241</v>
      </c>
      <c r="C384" s="18">
        <v>11.1</v>
      </c>
      <c r="D384" s="18">
        <v>9.3000000000000007</v>
      </c>
      <c r="E384" s="18">
        <v>45.9</v>
      </c>
      <c r="F384" s="15">
        <v>1.34</v>
      </c>
    </row>
    <row r="385" spans="1:6" x14ac:dyDescent="0.25">
      <c r="A385" s="11">
        <v>2002</v>
      </c>
      <c r="B385" s="11" t="s">
        <v>242</v>
      </c>
      <c r="C385" s="18">
        <v>9.4</v>
      </c>
      <c r="D385" s="18">
        <v>11</v>
      </c>
      <c r="E385" s="18">
        <v>50</v>
      </c>
      <c r="F385" s="15">
        <v>1.65</v>
      </c>
    </row>
    <row r="386" spans="1:6" x14ac:dyDescent="0.25">
      <c r="A386" s="11">
        <v>2002</v>
      </c>
      <c r="B386" s="11" t="s">
        <v>243</v>
      </c>
      <c r="C386" s="18">
        <v>9.4</v>
      </c>
      <c r="D386" s="18">
        <v>9.9</v>
      </c>
      <c r="E386" s="18">
        <v>45.3</v>
      </c>
      <c r="F386" s="15">
        <v>1.47</v>
      </c>
    </row>
    <row r="387" spans="1:6" x14ac:dyDescent="0.25">
      <c r="A387" s="11">
        <v>2002</v>
      </c>
      <c r="B387" s="11" t="s">
        <v>244</v>
      </c>
      <c r="C387" s="18">
        <v>10.7</v>
      </c>
      <c r="D387" s="18">
        <v>11.3</v>
      </c>
      <c r="E387" s="18">
        <v>51.9</v>
      </c>
      <c r="F387" s="15">
        <v>1.68</v>
      </c>
    </row>
    <row r="388" spans="1:6" x14ac:dyDescent="0.25">
      <c r="A388" s="11">
        <v>2002</v>
      </c>
      <c r="B388" s="11" t="s">
        <v>245</v>
      </c>
      <c r="C388" s="18">
        <v>10</v>
      </c>
      <c r="D388" s="18">
        <v>11.1</v>
      </c>
      <c r="E388" s="18">
        <v>52.4</v>
      </c>
      <c r="F388" s="15">
        <v>1.69</v>
      </c>
    </row>
    <row r="389" spans="1:6" x14ac:dyDescent="0.25">
      <c r="A389" s="11">
        <v>2002</v>
      </c>
      <c r="B389" s="11" t="s">
        <v>282</v>
      </c>
      <c r="C389" s="18">
        <v>9.1999999999999993</v>
      </c>
      <c r="D389" s="18">
        <v>11.7</v>
      </c>
      <c r="E389" s="18">
        <v>53.9</v>
      </c>
      <c r="F389" s="15">
        <v>1.75</v>
      </c>
    </row>
    <row r="390" spans="1:6" x14ac:dyDescent="0.25">
      <c r="A390" s="11">
        <v>2002</v>
      </c>
      <c r="B390" s="11" t="s">
        <v>247</v>
      </c>
      <c r="C390" s="18">
        <v>10.1</v>
      </c>
      <c r="D390" s="18">
        <v>10.7</v>
      </c>
      <c r="E390" s="18">
        <v>49.7</v>
      </c>
      <c r="F390" s="15">
        <v>1.62</v>
      </c>
    </row>
    <row r="391" spans="1:6" x14ac:dyDescent="0.25">
      <c r="A391" s="11">
        <v>2002</v>
      </c>
      <c r="B391" s="11" t="s">
        <v>248</v>
      </c>
      <c r="C391" s="18">
        <v>11.4</v>
      </c>
      <c r="D391" s="18">
        <v>10.9</v>
      </c>
      <c r="E391" s="18">
        <v>51.6</v>
      </c>
      <c r="F391" s="15">
        <v>1.6</v>
      </c>
    </row>
    <row r="392" spans="1:6" x14ac:dyDescent="0.25">
      <c r="A392" s="11">
        <v>2002</v>
      </c>
      <c r="B392" s="11" t="s">
        <v>249</v>
      </c>
      <c r="C392" s="18">
        <v>8.5</v>
      </c>
      <c r="D392" s="18">
        <v>10.4</v>
      </c>
      <c r="E392" s="18">
        <v>47</v>
      </c>
      <c r="F392" s="15">
        <v>1.62</v>
      </c>
    </row>
    <row r="393" spans="1:6" x14ac:dyDescent="0.25">
      <c r="A393" s="11">
        <v>2002</v>
      </c>
      <c r="B393" s="11" t="s">
        <v>250</v>
      </c>
      <c r="C393" s="18">
        <v>9.1999999999999993</v>
      </c>
      <c r="D393" s="18">
        <v>11</v>
      </c>
      <c r="E393" s="18">
        <v>49.8</v>
      </c>
      <c r="F393" s="15">
        <v>1.61</v>
      </c>
    </row>
    <row r="394" spans="1:6" x14ac:dyDescent="0.25">
      <c r="A394" s="11">
        <v>2002</v>
      </c>
      <c r="B394" s="11" t="s">
        <v>251</v>
      </c>
      <c r="C394" s="18">
        <v>10.4</v>
      </c>
      <c r="D394" s="18">
        <v>10.6</v>
      </c>
      <c r="E394" s="18">
        <v>49</v>
      </c>
      <c r="F394" s="15">
        <v>1.54</v>
      </c>
    </row>
    <row r="395" spans="1:6" x14ac:dyDescent="0.25">
      <c r="A395" s="11">
        <v>2002</v>
      </c>
      <c r="B395" s="11" t="s">
        <v>252</v>
      </c>
      <c r="C395" s="18">
        <v>9.5</v>
      </c>
      <c r="D395" s="18">
        <v>11.5</v>
      </c>
      <c r="E395" s="18">
        <v>51.5</v>
      </c>
      <c r="F395" s="15">
        <v>1.67</v>
      </c>
    </row>
    <row r="396" spans="1:6" x14ac:dyDescent="0.25">
      <c r="A396" s="11">
        <v>2002</v>
      </c>
      <c r="B396" s="11" t="s">
        <v>253</v>
      </c>
      <c r="C396" s="18">
        <v>9.5</v>
      </c>
      <c r="D396" s="18">
        <v>10.5</v>
      </c>
      <c r="E396" s="18">
        <v>49.9</v>
      </c>
      <c r="F396" s="15">
        <v>1.58</v>
      </c>
    </row>
    <row r="397" spans="1:6" x14ac:dyDescent="0.25">
      <c r="A397" s="11">
        <v>2002</v>
      </c>
      <c r="B397" s="11" t="s">
        <v>254</v>
      </c>
      <c r="C397" s="18">
        <v>8.6</v>
      </c>
      <c r="D397" s="18">
        <v>10</v>
      </c>
      <c r="E397" s="18">
        <v>45.3</v>
      </c>
      <c r="F397" s="15">
        <v>1.48</v>
      </c>
    </row>
    <row r="398" spans="1:6" x14ac:dyDescent="0.25">
      <c r="A398" s="11">
        <v>2002</v>
      </c>
      <c r="B398" s="11" t="s">
        <v>255</v>
      </c>
      <c r="C398" s="18">
        <v>10.199999999999999</v>
      </c>
      <c r="D398" s="18">
        <v>10.4</v>
      </c>
      <c r="E398" s="18">
        <v>48.3</v>
      </c>
      <c r="F398" s="15">
        <v>1.52</v>
      </c>
    </row>
    <row r="399" spans="1:6" x14ac:dyDescent="0.25">
      <c r="A399" s="11">
        <v>2002</v>
      </c>
      <c r="B399" s="11" t="s">
        <v>256</v>
      </c>
      <c r="C399" s="18">
        <v>9.6</v>
      </c>
      <c r="D399" s="18">
        <v>9.6999999999999993</v>
      </c>
      <c r="E399" s="18">
        <v>45.1</v>
      </c>
      <c r="F399" s="15">
        <v>1.39</v>
      </c>
    </row>
    <row r="400" spans="1:6" x14ac:dyDescent="0.25">
      <c r="A400" s="11">
        <v>2002</v>
      </c>
      <c r="B400" s="11" t="s">
        <v>257</v>
      </c>
      <c r="C400" s="18">
        <v>10.1</v>
      </c>
      <c r="D400" s="18">
        <v>10.1</v>
      </c>
      <c r="E400" s="18">
        <v>47</v>
      </c>
      <c r="F400" s="15">
        <v>1.49</v>
      </c>
    </row>
    <row r="401" spans="1:6" x14ac:dyDescent="0.25">
      <c r="A401" s="11">
        <v>2002</v>
      </c>
      <c r="B401" s="11" t="s">
        <v>258</v>
      </c>
      <c r="C401" s="18">
        <v>12.2</v>
      </c>
      <c r="D401" s="18">
        <v>11.4</v>
      </c>
      <c r="E401" s="18">
        <v>54.3</v>
      </c>
      <c r="F401" s="15">
        <v>1.7</v>
      </c>
    </row>
    <row r="402" spans="1:6" x14ac:dyDescent="0.25">
      <c r="A402" s="11">
        <v>2003</v>
      </c>
      <c r="B402" s="11" t="s">
        <v>11</v>
      </c>
      <c r="C402" s="18">
        <v>10.3</v>
      </c>
      <c r="D402" s="18">
        <v>10.3</v>
      </c>
      <c r="E402" s="18">
        <v>49.2</v>
      </c>
      <c r="F402" s="15">
        <v>1.52</v>
      </c>
    </row>
    <row r="403" spans="1:6" x14ac:dyDescent="0.25">
      <c r="A403" s="11">
        <v>2003</v>
      </c>
      <c r="B403" s="11" t="s">
        <v>227</v>
      </c>
      <c r="C403" s="18">
        <v>9.6</v>
      </c>
      <c r="D403" s="18">
        <v>8.4</v>
      </c>
      <c r="E403" s="18">
        <v>41.9</v>
      </c>
      <c r="F403" s="15">
        <v>1.25</v>
      </c>
    </row>
    <row r="404" spans="1:6" x14ac:dyDescent="0.25">
      <c r="A404" s="11">
        <v>2003</v>
      </c>
      <c r="B404" s="11" t="s">
        <v>228</v>
      </c>
      <c r="C404" s="18">
        <v>10.199999999999999</v>
      </c>
      <c r="D404" s="18">
        <v>11.4</v>
      </c>
      <c r="E404" s="18">
        <v>52.3</v>
      </c>
      <c r="F404" s="15">
        <v>1.73</v>
      </c>
    </row>
    <row r="405" spans="1:6" x14ac:dyDescent="0.25">
      <c r="A405" s="11">
        <v>2003</v>
      </c>
      <c r="B405" s="11" t="s">
        <v>229</v>
      </c>
      <c r="C405" s="18">
        <v>10</v>
      </c>
      <c r="D405" s="18">
        <v>11.7</v>
      </c>
      <c r="E405" s="18">
        <v>53.6</v>
      </c>
      <c r="F405" s="15">
        <v>1.78</v>
      </c>
    </row>
    <row r="406" spans="1:6" x14ac:dyDescent="0.25">
      <c r="A406" s="11">
        <v>2003</v>
      </c>
      <c r="B406" s="11" t="s">
        <v>230</v>
      </c>
      <c r="C406" s="18">
        <v>8.1</v>
      </c>
      <c r="D406" s="18">
        <v>10.4</v>
      </c>
      <c r="E406" s="18">
        <v>47.2</v>
      </c>
      <c r="F406" s="15">
        <v>1.57</v>
      </c>
    </row>
    <row r="407" spans="1:6" x14ac:dyDescent="0.25">
      <c r="A407" s="11">
        <v>2003</v>
      </c>
      <c r="B407" s="11" t="s">
        <v>231</v>
      </c>
      <c r="C407" s="18">
        <v>10.3</v>
      </c>
      <c r="D407" s="18">
        <v>8.3000000000000007</v>
      </c>
      <c r="E407" s="18">
        <v>42.7</v>
      </c>
      <c r="F407" s="15">
        <v>1.24</v>
      </c>
    </row>
    <row r="408" spans="1:6" x14ac:dyDescent="0.25">
      <c r="A408" s="11">
        <v>2003</v>
      </c>
      <c r="B408" s="11" t="s">
        <v>232</v>
      </c>
      <c r="C408" s="18">
        <v>9.6999999999999993</v>
      </c>
      <c r="D408" s="18">
        <v>10.3</v>
      </c>
      <c r="E408" s="18">
        <v>47.9</v>
      </c>
      <c r="F408" s="15">
        <v>1.57</v>
      </c>
    </row>
    <row r="409" spans="1:6" x14ac:dyDescent="0.25">
      <c r="A409" s="11">
        <v>2003</v>
      </c>
      <c r="B409" s="11" t="s">
        <v>233</v>
      </c>
      <c r="C409" s="18">
        <v>8.8000000000000007</v>
      </c>
      <c r="D409" s="18">
        <v>10.9</v>
      </c>
      <c r="E409" s="18">
        <v>49.1</v>
      </c>
      <c r="F409" s="15">
        <v>1.69</v>
      </c>
    </row>
    <row r="410" spans="1:6" x14ac:dyDescent="0.25">
      <c r="A410" s="11">
        <v>2003</v>
      </c>
      <c r="B410" s="11" t="s">
        <v>234</v>
      </c>
      <c r="C410" s="18">
        <v>10.7</v>
      </c>
      <c r="D410" s="18">
        <v>10.199999999999999</v>
      </c>
      <c r="E410" s="18">
        <v>48.4</v>
      </c>
      <c r="F410" s="15">
        <v>1.49</v>
      </c>
    </row>
    <row r="411" spans="1:6" x14ac:dyDescent="0.25">
      <c r="A411" s="11">
        <v>2003</v>
      </c>
      <c r="B411" s="11" t="s">
        <v>235</v>
      </c>
      <c r="C411" s="18">
        <v>10.3</v>
      </c>
      <c r="D411" s="18">
        <v>10.9</v>
      </c>
      <c r="E411" s="18">
        <v>50.9</v>
      </c>
      <c r="F411" s="15">
        <v>1.66</v>
      </c>
    </row>
    <row r="412" spans="1:6" x14ac:dyDescent="0.25">
      <c r="A412" s="11">
        <v>2003</v>
      </c>
      <c r="B412" s="11" t="s">
        <v>236</v>
      </c>
      <c r="C412" s="18">
        <v>8.9</v>
      </c>
      <c r="D412" s="18">
        <v>10.5</v>
      </c>
      <c r="E412" s="18">
        <v>45.6</v>
      </c>
      <c r="F412" s="15">
        <v>1.51</v>
      </c>
    </row>
    <row r="413" spans="1:6" x14ac:dyDescent="0.25">
      <c r="A413" s="11">
        <v>2003</v>
      </c>
      <c r="B413" s="11" t="s">
        <v>237</v>
      </c>
      <c r="C413" s="18">
        <v>10.4</v>
      </c>
      <c r="D413" s="18">
        <v>11.7</v>
      </c>
      <c r="E413" s="18">
        <v>53.5</v>
      </c>
      <c r="F413" s="15">
        <v>1.72</v>
      </c>
    </row>
    <row r="414" spans="1:6" x14ac:dyDescent="0.25">
      <c r="A414" s="11">
        <v>2003</v>
      </c>
      <c r="B414" s="11" t="s">
        <v>238</v>
      </c>
      <c r="C414" s="18">
        <v>9.8000000000000007</v>
      </c>
      <c r="D414" s="18">
        <v>11.5</v>
      </c>
      <c r="E414" s="18">
        <v>49.9</v>
      </c>
      <c r="F414" s="15">
        <v>1.63</v>
      </c>
    </row>
    <row r="415" spans="1:6" x14ac:dyDescent="0.25">
      <c r="A415" s="11">
        <v>2003</v>
      </c>
      <c r="B415" s="11" t="s">
        <v>239</v>
      </c>
      <c r="C415" s="18">
        <v>10.9</v>
      </c>
      <c r="D415" s="18">
        <v>10.8</v>
      </c>
      <c r="E415" s="18">
        <v>51.9</v>
      </c>
      <c r="F415" s="15">
        <v>1.61</v>
      </c>
    </row>
    <row r="416" spans="1:6" x14ac:dyDescent="0.25">
      <c r="A416" s="11">
        <v>2003</v>
      </c>
      <c r="B416" s="11" t="s">
        <v>240</v>
      </c>
      <c r="C416" s="18">
        <v>10.4</v>
      </c>
      <c r="D416" s="18">
        <v>10.7</v>
      </c>
      <c r="E416" s="18">
        <v>50.5</v>
      </c>
      <c r="F416" s="15">
        <v>1.61</v>
      </c>
    </row>
    <row r="417" spans="1:6" x14ac:dyDescent="0.25">
      <c r="A417" s="11">
        <v>2003</v>
      </c>
      <c r="B417" s="11" t="s">
        <v>241</v>
      </c>
      <c r="C417" s="18">
        <v>11.5</v>
      </c>
      <c r="D417" s="18">
        <v>9.6</v>
      </c>
      <c r="E417" s="18">
        <v>47.7</v>
      </c>
      <c r="F417" s="15">
        <v>1.4</v>
      </c>
    </row>
    <row r="418" spans="1:6" x14ac:dyDescent="0.25">
      <c r="A418" s="11">
        <v>2003</v>
      </c>
      <c r="B418" s="11" t="s">
        <v>242</v>
      </c>
      <c r="C418" s="18">
        <v>9.9</v>
      </c>
      <c r="D418" s="18">
        <v>11.5</v>
      </c>
      <c r="E418" s="18">
        <v>52.7</v>
      </c>
      <c r="F418" s="15">
        <v>1.75</v>
      </c>
    </row>
    <row r="419" spans="1:6" x14ac:dyDescent="0.25">
      <c r="A419" s="11">
        <v>2003</v>
      </c>
      <c r="B419" s="11" t="s">
        <v>243</v>
      </c>
      <c r="C419" s="18">
        <v>10</v>
      </c>
      <c r="D419" s="18">
        <v>10.5</v>
      </c>
      <c r="E419" s="18">
        <v>48.1</v>
      </c>
      <c r="F419" s="15">
        <v>1.57</v>
      </c>
    </row>
    <row r="420" spans="1:6" x14ac:dyDescent="0.25">
      <c r="A420" s="11">
        <v>2003</v>
      </c>
      <c r="B420" s="11" t="s">
        <v>244</v>
      </c>
      <c r="C420" s="18">
        <v>10.6</v>
      </c>
      <c r="D420" s="18">
        <v>11.2</v>
      </c>
      <c r="E420" s="18">
        <v>51.5</v>
      </c>
      <c r="F420" s="15">
        <v>1.69</v>
      </c>
    </row>
    <row r="421" spans="1:6" x14ac:dyDescent="0.25">
      <c r="A421" s="11">
        <v>2003</v>
      </c>
      <c r="B421" s="11" t="s">
        <v>245</v>
      </c>
      <c r="C421" s="18">
        <v>9.3000000000000007</v>
      </c>
      <c r="D421" s="18">
        <v>10.3</v>
      </c>
      <c r="E421" s="18">
        <v>48.8</v>
      </c>
      <c r="F421" s="15">
        <v>1.59</v>
      </c>
    </row>
    <row r="422" spans="1:6" x14ac:dyDescent="0.25">
      <c r="A422" s="11">
        <v>2003</v>
      </c>
      <c r="B422" s="11" t="s">
        <v>282</v>
      </c>
      <c r="C422" s="18">
        <v>9.6</v>
      </c>
      <c r="D422" s="18">
        <v>12.4</v>
      </c>
      <c r="E422" s="18">
        <v>56.6</v>
      </c>
      <c r="F422" s="15">
        <v>1.79</v>
      </c>
    </row>
    <row r="423" spans="1:6" x14ac:dyDescent="0.25">
      <c r="A423" s="11">
        <v>2003</v>
      </c>
      <c r="B423" s="11" t="s">
        <v>247</v>
      </c>
      <c r="C423" s="18">
        <v>10.1</v>
      </c>
      <c r="D423" s="18">
        <v>10.8</v>
      </c>
      <c r="E423" s="18">
        <v>49.9</v>
      </c>
      <c r="F423" s="15">
        <v>1.65</v>
      </c>
    </row>
    <row r="424" spans="1:6" x14ac:dyDescent="0.25">
      <c r="A424" s="11">
        <v>2003</v>
      </c>
      <c r="B424" s="11" t="s">
        <v>248</v>
      </c>
      <c r="C424" s="18">
        <v>11.6</v>
      </c>
      <c r="D424" s="18">
        <v>11.1</v>
      </c>
      <c r="E424" s="18">
        <v>53.3</v>
      </c>
      <c r="F424" s="15">
        <v>1.66</v>
      </c>
    </row>
    <row r="425" spans="1:6" x14ac:dyDescent="0.25">
      <c r="A425" s="11">
        <v>2003</v>
      </c>
      <c r="B425" s="11" t="s">
        <v>249</v>
      </c>
      <c r="C425" s="18">
        <v>8.8000000000000007</v>
      </c>
      <c r="D425" s="18">
        <v>10.7</v>
      </c>
      <c r="E425" s="18">
        <v>48.6</v>
      </c>
      <c r="F425" s="15">
        <v>1.65</v>
      </c>
    </row>
    <row r="426" spans="1:6" x14ac:dyDescent="0.25">
      <c r="A426" s="11">
        <v>2003</v>
      </c>
      <c r="B426" s="11" t="s">
        <v>250</v>
      </c>
      <c r="C426" s="18">
        <v>9.5</v>
      </c>
      <c r="D426" s="18">
        <v>11.4</v>
      </c>
      <c r="E426" s="18">
        <v>51.9</v>
      </c>
      <c r="F426" s="15">
        <v>1.7</v>
      </c>
    </row>
    <row r="427" spans="1:6" x14ac:dyDescent="0.25">
      <c r="A427" s="11">
        <v>2003</v>
      </c>
      <c r="B427" s="11" t="s">
        <v>251</v>
      </c>
      <c r="C427" s="18">
        <v>10.4</v>
      </c>
      <c r="D427" s="18">
        <v>10.5</v>
      </c>
      <c r="E427" s="18">
        <v>49.2</v>
      </c>
      <c r="F427" s="15">
        <v>1.55</v>
      </c>
    </row>
    <row r="428" spans="1:6" x14ac:dyDescent="0.25">
      <c r="A428" s="11">
        <v>2003</v>
      </c>
      <c r="B428" s="11" t="s">
        <v>252</v>
      </c>
      <c r="C428" s="18">
        <v>9.6999999999999993</v>
      </c>
      <c r="D428" s="18">
        <v>11.8</v>
      </c>
      <c r="E428" s="18">
        <v>53</v>
      </c>
      <c r="F428" s="15">
        <v>1.73</v>
      </c>
    </row>
    <row r="429" spans="1:6" x14ac:dyDescent="0.25">
      <c r="A429" s="11">
        <v>2003</v>
      </c>
      <c r="B429" s="11" t="s">
        <v>253</v>
      </c>
      <c r="C429" s="18">
        <v>11.4</v>
      </c>
      <c r="D429" s="18">
        <v>12.7</v>
      </c>
      <c r="E429" s="18">
        <v>60.5</v>
      </c>
      <c r="F429" s="15">
        <v>1.87</v>
      </c>
    </row>
    <row r="430" spans="1:6" x14ac:dyDescent="0.25">
      <c r="A430" s="11">
        <v>2003</v>
      </c>
      <c r="B430" s="11" t="s">
        <v>254</v>
      </c>
      <c r="C430" s="18">
        <v>8.8000000000000007</v>
      </c>
      <c r="D430" s="18">
        <v>10.4</v>
      </c>
      <c r="E430" s="18">
        <v>47.3</v>
      </c>
      <c r="F430" s="15">
        <v>1.56</v>
      </c>
    </row>
    <row r="431" spans="1:6" x14ac:dyDescent="0.25">
      <c r="A431" s="11">
        <v>2003</v>
      </c>
      <c r="B431" s="11" t="s">
        <v>255</v>
      </c>
      <c r="C431" s="18">
        <v>10.199999999999999</v>
      </c>
      <c r="D431" s="18">
        <v>10.4</v>
      </c>
      <c r="E431" s="18">
        <v>48.7</v>
      </c>
      <c r="F431" s="15">
        <v>1.53</v>
      </c>
    </row>
    <row r="432" spans="1:6" x14ac:dyDescent="0.25">
      <c r="A432" s="11">
        <v>2003</v>
      </c>
      <c r="B432" s="11" t="s">
        <v>256</v>
      </c>
      <c r="C432" s="18">
        <v>9.9</v>
      </c>
      <c r="D432" s="18">
        <v>10</v>
      </c>
      <c r="E432" s="18">
        <v>46.5</v>
      </c>
      <c r="F432" s="15">
        <v>1.48</v>
      </c>
    </row>
    <row r="433" spans="1:6" x14ac:dyDescent="0.25">
      <c r="A433" s="11">
        <v>2003</v>
      </c>
      <c r="B433" s="11" t="s">
        <v>257</v>
      </c>
      <c r="C433" s="18">
        <v>10.6</v>
      </c>
      <c r="D433" s="18">
        <v>10.6</v>
      </c>
      <c r="E433" s="18">
        <v>49.8</v>
      </c>
      <c r="F433" s="15">
        <v>1.58</v>
      </c>
    </row>
    <row r="434" spans="1:6" x14ac:dyDescent="0.25">
      <c r="A434" s="11">
        <v>2003</v>
      </c>
      <c r="B434" s="11" t="s">
        <v>258</v>
      </c>
      <c r="C434" s="18">
        <v>12.6</v>
      </c>
      <c r="D434" s="18">
        <v>11.8</v>
      </c>
      <c r="E434" s="18">
        <v>56.7</v>
      </c>
      <c r="F434" s="15">
        <v>1.8</v>
      </c>
    </row>
    <row r="435" spans="1:6" x14ac:dyDescent="0.25">
      <c r="A435" s="11">
        <v>2004</v>
      </c>
      <c r="B435" s="11" t="s">
        <v>11</v>
      </c>
      <c r="C435" s="18">
        <v>10.6</v>
      </c>
      <c r="D435" s="18">
        <v>10.6</v>
      </c>
      <c r="E435" s="18">
        <v>50.7</v>
      </c>
      <c r="F435" s="15">
        <v>1.58</v>
      </c>
    </row>
    <row r="436" spans="1:6" x14ac:dyDescent="0.25">
      <c r="A436" s="11">
        <v>2004</v>
      </c>
      <c r="B436" s="11" t="s">
        <v>227</v>
      </c>
      <c r="C436" s="18">
        <v>10</v>
      </c>
      <c r="D436" s="18">
        <v>8.8000000000000007</v>
      </c>
      <c r="E436" s="18">
        <v>44.1</v>
      </c>
      <c r="F436" s="15">
        <v>1.31</v>
      </c>
    </row>
    <row r="437" spans="1:6" x14ac:dyDescent="0.25">
      <c r="A437" s="11">
        <v>2004</v>
      </c>
      <c r="B437" s="11" t="s">
        <v>228</v>
      </c>
      <c r="C437" s="18">
        <v>10.199999999999999</v>
      </c>
      <c r="D437" s="18">
        <v>11.4</v>
      </c>
      <c r="E437" s="18">
        <v>52.2</v>
      </c>
      <c r="F437" s="15">
        <v>1.73</v>
      </c>
    </row>
    <row r="438" spans="1:6" x14ac:dyDescent="0.25">
      <c r="A438" s="11">
        <v>2004</v>
      </c>
      <c r="B438" s="11" t="s">
        <v>229</v>
      </c>
      <c r="C438" s="18">
        <v>9.6999999999999993</v>
      </c>
      <c r="D438" s="18">
        <v>11.3</v>
      </c>
      <c r="E438" s="18">
        <v>52.3</v>
      </c>
      <c r="F438" s="15">
        <v>1.75</v>
      </c>
    </row>
    <row r="439" spans="1:6" x14ac:dyDescent="0.25">
      <c r="A439" s="11">
        <v>2004</v>
      </c>
      <c r="B439" s="11" t="s">
        <v>230</v>
      </c>
      <c r="C439" s="18">
        <v>8.9</v>
      </c>
      <c r="D439" s="18">
        <v>11.5</v>
      </c>
      <c r="E439" s="18">
        <v>52.2</v>
      </c>
      <c r="F439" s="15">
        <v>1.77</v>
      </c>
    </row>
    <row r="440" spans="1:6" x14ac:dyDescent="0.25">
      <c r="A440" s="11">
        <v>2004</v>
      </c>
      <c r="B440" s="11" t="s">
        <v>231</v>
      </c>
      <c r="C440" s="18">
        <v>10.199999999999999</v>
      </c>
      <c r="D440" s="18">
        <v>8.1999999999999993</v>
      </c>
      <c r="E440" s="18">
        <v>42.5</v>
      </c>
      <c r="F440" s="15">
        <v>1.25</v>
      </c>
    </row>
    <row r="441" spans="1:6" x14ac:dyDescent="0.25">
      <c r="A441" s="11">
        <v>2004</v>
      </c>
      <c r="B441" s="11" t="s">
        <v>232</v>
      </c>
      <c r="C441" s="18">
        <v>10.3</v>
      </c>
      <c r="D441" s="18">
        <v>10.9</v>
      </c>
      <c r="E441" s="18">
        <v>50.9</v>
      </c>
      <c r="F441" s="15">
        <v>1.65</v>
      </c>
    </row>
    <row r="442" spans="1:6" x14ac:dyDescent="0.25">
      <c r="A442" s="11">
        <v>2004</v>
      </c>
      <c r="B442" s="11" t="s">
        <v>233</v>
      </c>
      <c r="C442" s="18">
        <v>9.6</v>
      </c>
      <c r="D442" s="18">
        <v>12</v>
      </c>
      <c r="E442" s="18">
        <v>54.1</v>
      </c>
      <c r="F442" s="15">
        <v>1.88</v>
      </c>
    </row>
    <row r="443" spans="1:6" x14ac:dyDescent="0.25">
      <c r="A443" s="11">
        <v>2004</v>
      </c>
      <c r="B443" s="11" t="s">
        <v>234</v>
      </c>
      <c r="C443" s="18">
        <v>10.8</v>
      </c>
      <c r="D443" s="18">
        <v>10.199999999999999</v>
      </c>
      <c r="E443" s="18">
        <v>48.6</v>
      </c>
      <c r="F443" s="15">
        <v>1.49</v>
      </c>
    </row>
    <row r="444" spans="1:6" x14ac:dyDescent="0.25">
      <c r="A444" s="11">
        <v>2004</v>
      </c>
      <c r="B444" s="11" t="s">
        <v>235</v>
      </c>
      <c r="C444" s="18">
        <v>10.6</v>
      </c>
      <c r="D444" s="18">
        <v>11.2</v>
      </c>
      <c r="E444" s="18">
        <v>52.2</v>
      </c>
      <c r="F444" s="15">
        <v>1.71</v>
      </c>
    </row>
    <row r="445" spans="1:6" x14ac:dyDescent="0.25">
      <c r="A445" s="11">
        <v>2004</v>
      </c>
      <c r="B445" s="11" t="s">
        <v>236</v>
      </c>
      <c r="C445" s="18">
        <v>8.3000000000000007</v>
      </c>
      <c r="D445" s="18">
        <v>10</v>
      </c>
      <c r="E445" s="18">
        <v>43.7</v>
      </c>
      <c r="F445" s="15">
        <v>1.47</v>
      </c>
    </row>
    <row r="446" spans="1:6" x14ac:dyDescent="0.25">
      <c r="A446" s="11">
        <v>2004</v>
      </c>
      <c r="B446" s="11" t="s">
        <v>237</v>
      </c>
      <c r="C446" s="18">
        <v>10.3</v>
      </c>
      <c r="D446" s="18">
        <v>11.7</v>
      </c>
      <c r="E446" s="18">
        <v>53.6</v>
      </c>
      <c r="F446" s="15">
        <v>1.76</v>
      </c>
    </row>
    <row r="447" spans="1:6" x14ac:dyDescent="0.25">
      <c r="A447" s="11">
        <v>2004</v>
      </c>
      <c r="B447" s="11" t="s">
        <v>238</v>
      </c>
      <c r="C447" s="18">
        <v>10.5</v>
      </c>
      <c r="D447" s="18">
        <v>12.3</v>
      </c>
      <c r="E447" s="18">
        <v>53.8</v>
      </c>
      <c r="F447" s="15">
        <v>1.8</v>
      </c>
    </row>
    <row r="448" spans="1:6" x14ac:dyDescent="0.25">
      <c r="A448" s="11">
        <v>2004</v>
      </c>
      <c r="B448" s="11" t="s">
        <v>239</v>
      </c>
      <c r="C448" s="18">
        <v>11.7</v>
      </c>
      <c r="D448" s="18">
        <v>11.5</v>
      </c>
      <c r="E448" s="18">
        <v>55.8</v>
      </c>
      <c r="F448" s="15">
        <v>1.74</v>
      </c>
    </row>
    <row r="449" spans="1:6" x14ac:dyDescent="0.25">
      <c r="A449" s="11">
        <v>2004</v>
      </c>
      <c r="B449" s="11" t="s">
        <v>240</v>
      </c>
      <c r="C449" s="18">
        <v>10.6</v>
      </c>
      <c r="D449" s="18">
        <v>10.9</v>
      </c>
      <c r="E449" s="18">
        <v>51.7</v>
      </c>
      <c r="F449" s="15">
        <v>1.66</v>
      </c>
    </row>
    <row r="450" spans="1:6" x14ac:dyDescent="0.25">
      <c r="A450" s="11">
        <v>2004</v>
      </c>
      <c r="B450" s="11" t="s">
        <v>241</v>
      </c>
      <c r="C450" s="18">
        <v>11.6</v>
      </c>
      <c r="D450" s="18">
        <v>9.6</v>
      </c>
      <c r="E450" s="18">
        <v>48.3</v>
      </c>
      <c r="F450" s="15">
        <v>1.43</v>
      </c>
    </row>
    <row r="451" spans="1:6" x14ac:dyDescent="0.25">
      <c r="A451" s="11">
        <v>2004</v>
      </c>
      <c r="B451" s="11" t="s">
        <v>242</v>
      </c>
      <c r="C451" s="18">
        <v>10.1</v>
      </c>
      <c r="D451" s="18">
        <v>11.8</v>
      </c>
      <c r="E451" s="18">
        <v>54.4</v>
      </c>
      <c r="F451" s="15">
        <v>1.79</v>
      </c>
    </row>
    <row r="452" spans="1:6" x14ac:dyDescent="0.25">
      <c r="A452" s="11">
        <v>2004</v>
      </c>
      <c r="B452" s="11" t="s">
        <v>243</v>
      </c>
      <c r="C452" s="18">
        <v>10.9</v>
      </c>
      <c r="D452" s="18">
        <v>11.5</v>
      </c>
      <c r="E452" s="18">
        <v>53.1</v>
      </c>
      <c r="F452" s="15">
        <v>1.74</v>
      </c>
    </row>
    <row r="453" spans="1:6" x14ac:dyDescent="0.25">
      <c r="A453" s="11">
        <v>2004</v>
      </c>
      <c r="B453" s="11" t="s">
        <v>244</v>
      </c>
      <c r="C453" s="18">
        <v>11</v>
      </c>
      <c r="D453" s="18">
        <v>11.8</v>
      </c>
      <c r="E453" s="18">
        <v>54.2</v>
      </c>
      <c r="F453" s="15">
        <v>1.79</v>
      </c>
    </row>
    <row r="454" spans="1:6" x14ac:dyDescent="0.25">
      <c r="A454" s="11">
        <v>2004</v>
      </c>
      <c r="B454" s="11" t="s">
        <v>245</v>
      </c>
      <c r="C454" s="18">
        <v>9.6</v>
      </c>
      <c r="D454" s="18">
        <v>10.6</v>
      </c>
      <c r="E454" s="18">
        <v>50.2</v>
      </c>
      <c r="F454" s="15">
        <v>1.65</v>
      </c>
    </row>
    <row r="455" spans="1:6" x14ac:dyDescent="0.25">
      <c r="A455" s="11">
        <v>2004</v>
      </c>
      <c r="B455" s="11" t="s">
        <v>282</v>
      </c>
      <c r="C455" s="18">
        <v>8.4</v>
      </c>
      <c r="D455" s="18">
        <v>10.7</v>
      </c>
      <c r="E455" s="18">
        <v>48.8</v>
      </c>
      <c r="F455" s="15">
        <v>1.55</v>
      </c>
    </row>
    <row r="456" spans="1:6" x14ac:dyDescent="0.25">
      <c r="A456" s="11">
        <v>2004</v>
      </c>
      <c r="B456" s="11" t="s">
        <v>247</v>
      </c>
      <c r="C456" s="18">
        <v>10.3</v>
      </c>
      <c r="D456" s="18">
        <v>11</v>
      </c>
      <c r="E456" s="18">
        <v>51.2</v>
      </c>
      <c r="F456" s="15">
        <v>1.69</v>
      </c>
    </row>
    <row r="457" spans="1:6" x14ac:dyDescent="0.25">
      <c r="A457" s="11">
        <v>2004</v>
      </c>
      <c r="B457" s="11" t="s">
        <v>248</v>
      </c>
      <c r="C457" s="18">
        <v>12.3</v>
      </c>
      <c r="D457" s="18">
        <v>11.8</v>
      </c>
      <c r="E457" s="18">
        <v>56.6</v>
      </c>
      <c r="F457" s="15">
        <v>1.77</v>
      </c>
    </row>
    <row r="458" spans="1:6" x14ac:dyDescent="0.25">
      <c r="A458" s="11">
        <v>2004</v>
      </c>
      <c r="B458" s="11" t="s">
        <v>249</v>
      </c>
      <c r="C458" s="18">
        <v>8.6</v>
      </c>
      <c r="D458" s="18">
        <v>10.4</v>
      </c>
      <c r="E458" s="18">
        <v>47.8</v>
      </c>
      <c r="F458" s="15">
        <v>1.65</v>
      </c>
    </row>
    <row r="459" spans="1:6" x14ac:dyDescent="0.25">
      <c r="A459" s="11">
        <v>2004</v>
      </c>
      <c r="B459" s="11" t="s">
        <v>250</v>
      </c>
      <c r="C459" s="18">
        <v>9.4</v>
      </c>
      <c r="D459" s="18">
        <v>11.3</v>
      </c>
      <c r="E459" s="18">
        <v>51.8</v>
      </c>
      <c r="F459" s="15">
        <v>1.68</v>
      </c>
    </row>
    <row r="460" spans="1:6" x14ac:dyDescent="0.25">
      <c r="A460" s="11">
        <v>2004</v>
      </c>
      <c r="B460" s="11" t="s">
        <v>251</v>
      </c>
      <c r="C460" s="18">
        <v>11</v>
      </c>
      <c r="D460" s="18">
        <v>11.1</v>
      </c>
      <c r="E460" s="18">
        <v>52.3</v>
      </c>
      <c r="F460" s="15">
        <v>1.67</v>
      </c>
    </row>
    <row r="461" spans="1:6" x14ac:dyDescent="0.25">
      <c r="A461" s="11">
        <v>2004</v>
      </c>
      <c r="B461" s="11" t="s">
        <v>252</v>
      </c>
      <c r="C461" s="18">
        <v>9.6</v>
      </c>
      <c r="D461" s="18">
        <v>11.8</v>
      </c>
      <c r="E461" s="18">
        <v>53.5</v>
      </c>
      <c r="F461" s="15">
        <v>1.76</v>
      </c>
    </row>
    <row r="462" spans="1:6" x14ac:dyDescent="0.25">
      <c r="A462" s="11">
        <v>2004</v>
      </c>
      <c r="B462" s="11" t="s">
        <v>253</v>
      </c>
      <c r="C462" s="18">
        <v>10.4</v>
      </c>
      <c r="D462" s="18">
        <v>11.6</v>
      </c>
      <c r="E462" s="18">
        <v>54.8</v>
      </c>
      <c r="F462" s="15">
        <v>1.76</v>
      </c>
    </row>
    <row r="463" spans="1:6" x14ac:dyDescent="0.25">
      <c r="A463" s="11">
        <v>2004</v>
      </c>
      <c r="B463" s="11" t="s">
        <v>254</v>
      </c>
      <c r="C463" s="18">
        <v>9.1999999999999993</v>
      </c>
      <c r="D463" s="18">
        <v>10.8</v>
      </c>
      <c r="E463" s="18">
        <v>49.7</v>
      </c>
      <c r="F463" s="15">
        <v>1.63</v>
      </c>
    </row>
    <row r="464" spans="1:6" x14ac:dyDescent="0.25">
      <c r="A464" s="11">
        <v>2004</v>
      </c>
      <c r="B464" s="11" t="s">
        <v>255</v>
      </c>
      <c r="C464" s="18">
        <v>11</v>
      </c>
      <c r="D464" s="18">
        <v>11.2</v>
      </c>
      <c r="E464" s="18">
        <v>52.9</v>
      </c>
      <c r="F464" s="15">
        <v>1.67</v>
      </c>
    </row>
    <row r="465" spans="1:6" x14ac:dyDescent="0.25">
      <c r="A465" s="11">
        <v>2004</v>
      </c>
      <c r="B465" s="11" t="s">
        <v>256</v>
      </c>
      <c r="C465" s="18">
        <v>10.7</v>
      </c>
      <c r="D465" s="18">
        <v>10.9</v>
      </c>
      <c r="E465" s="18">
        <v>51.1</v>
      </c>
      <c r="F465" s="15">
        <v>1.61</v>
      </c>
    </row>
    <row r="466" spans="1:6" x14ac:dyDescent="0.25">
      <c r="A466" s="11">
        <v>2004</v>
      </c>
      <c r="B466" s="11" t="s">
        <v>257</v>
      </c>
      <c r="C466" s="18">
        <v>10.9</v>
      </c>
      <c r="D466" s="18">
        <v>10.9</v>
      </c>
      <c r="E466" s="18">
        <v>51</v>
      </c>
      <c r="F466" s="15">
        <v>1.61</v>
      </c>
    </row>
    <row r="467" spans="1:6" x14ac:dyDescent="0.25">
      <c r="A467" s="11">
        <v>2004</v>
      </c>
      <c r="B467" s="11" t="s">
        <v>258</v>
      </c>
      <c r="C467" s="18">
        <v>12.6</v>
      </c>
      <c r="D467" s="18">
        <v>11.8</v>
      </c>
      <c r="E467" s="18">
        <v>56.9</v>
      </c>
      <c r="F467" s="15">
        <v>1.81</v>
      </c>
    </row>
    <row r="468" spans="1:6" x14ac:dyDescent="0.25">
      <c r="A468" s="11">
        <v>2005</v>
      </c>
      <c r="B468" s="11" t="s">
        <v>11</v>
      </c>
      <c r="C468" s="18">
        <v>10.6</v>
      </c>
      <c r="D468" s="18">
        <v>10.6</v>
      </c>
      <c r="E468" s="18">
        <v>51.1</v>
      </c>
      <c r="F468" s="15">
        <v>1.6</v>
      </c>
    </row>
    <row r="469" spans="1:6" x14ac:dyDescent="0.25">
      <c r="A469" s="11">
        <v>2005</v>
      </c>
      <c r="B469" s="11" t="s">
        <v>227</v>
      </c>
      <c r="C469" s="18">
        <v>9.9</v>
      </c>
      <c r="D469" s="18">
        <v>8.6999999999999993</v>
      </c>
      <c r="E469" s="18">
        <v>43.5</v>
      </c>
      <c r="F469" s="15">
        <v>1.31</v>
      </c>
    </row>
    <row r="470" spans="1:6" x14ac:dyDescent="0.25">
      <c r="A470" s="11">
        <v>2005</v>
      </c>
      <c r="B470" s="11" t="s">
        <v>228</v>
      </c>
      <c r="C470" s="18">
        <v>10.4</v>
      </c>
      <c r="D470" s="18">
        <v>11.6</v>
      </c>
      <c r="E470" s="18">
        <v>53.5</v>
      </c>
      <c r="F470" s="15">
        <v>1.77</v>
      </c>
    </row>
    <row r="471" spans="1:6" x14ac:dyDescent="0.25">
      <c r="A471" s="11">
        <v>2005</v>
      </c>
      <c r="B471" s="11" t="s">
        <v>229</v>
      </c>
      <c r="C471" s="18">
        <v>9.8000000000000007</v>
      </c>
      <c r="D471" s="18">
        <v>11.5</v>
      </c>
      <c r="E471" s="18">
        <v>53.4</v>
      </c>
      <c r="F471" s="15">
        <v>1.78</v>
      </c>
    </row>
    <row r="472" spans="1:6" x14ac:dyDescent="0.25">
      <c r="A472" s="11">
        <v>2005</v>
      </c>
      <c r="B472" s="11" t="s">
        <v>230</v>
      </c>
      <c r="C472" s="18">
        <v>8.6</v>
      </c>
      <c r="D472" s="18">
        <v>11.1</v>
      </c>
      <c r="E472" s="18">
        <v>50.4</v>
      </c>
      <c r="F472" s="15">
        <v>1.68</v>
      </c>
    </row>
    <row r="473" spans="1:6" x14ac:dyDescent="0.25">
      <c r="A473" s="11">
        <v>2005</v>
      </c>
      <c r="B473" s="11" t="s">
        <v>231</v>
      </c>
      <c r="C473" s="18">
        <v>10.4</v>
      </c>
      <c r="D473" s="18">
        <v>8.3000000000000007</v>
      </c>
      <c r="E473" s="18">
        <v>43</v>
      </c>
      <c r="F473" s="15">
        <v>1.27</v>
      </c>
    </row>
    <row r="474" spans="1:6" x14ac:dyDescent="0.25">
      <c r="A474" s="11">
        <v>2005</v>
      </c>
      <c r="B474" s="11" t="s">
        <v>232</v>
      </c>
      <c r="C474" s="18">
        <v>10.7</v>
      </c>
      <c r="D474" s="18">
        <v>11.2</v>
      </c>
      <c r="E474" s="18">
        <v>52.4</v>
      </c>
      <c r="F474" s="15">
        <v>1.73</v>
      </c>
    </row>
    <row r="475" spans="1:6" x14ac:dyDescent="0.25">
      <c r="A475" s="11">
        <v>2005</v>
      </c>
      <c r="B475" s="11" t="s">
        <v>233</v>
      </c>
      <c r="C475" s="18">
        <v>9.4</v>
      </c>
      <c r="D475" s="18">
        <v>11.8</v>
      </c>
      <c r="E475" s="18">
        <v>53.4</v>
      </c>
      <c r="F475" s="15">
        <v>1.85</v>
      </c>
    </row>
    <row r="476" spans="1:6" x14ac:dyDescent="0.25">
      <c r="A476" s="11">
        <v>2005</v>
      </c>
      <c r="B476" s="11" t="s">
        <v>234</v>
      </c>
      <c r="C476" s="18">
        <v>10.8</v>
      </c>
      <c r="D476" s="18">
        <v>10.1</v>
      </c>
      <c r="E476" s="18">
        <v>48.7</v>
      </c>
      <c r="F476" s="15">
        <v>1.48</v>
      </c>
    </row>
    <row r="477" spans="1:6" x14ac:dyDescent="0.25">
      <c r="A477" s="11">
        <v>2005</v>
      </c>
      <c r="B477" s="11" t="s">
        <v>235</v>
      </c>
      <c r="C477" s="18">
        <v>10.5</v>
      </c>
      <c r="D477" s="18">
        <v>11.1</v>
      </c>
      <c r="E477" s="18">
        <v>51.8</v>
      </c>
      <c r="F477" s="15">
        <v>1.7</v>
      </c>
    </row>
    <row r="478" spans="1:6" x14ac:dyDescent="0.25">
      <c r="A478" s="11">
        <v>2005</v>
      </c>
      <c r="B478" s="11" t="s">
        <v>236</v>
      </c>
      <c r="C478" s="18">
        <v>8.8000000000000007</v>
      </c>
      <c r="D478" s="18">
        <v>10.6</v>
      </c>
      <c r="E478" s="18">
        <v>46.7</v>
      </c>
      <c r="F478" s="15">
        <v>1.58</v>
      </c>
    </row>
    <row r="479" spans="1:6" x14ac:dyDescent="0.25">
      <c r="A479" s="11">
        <v>2005</v>
      </c>
      <c r="B479" s="11" t="s">
        <v>237</v>
      </c>
      <c r="C479" s="18">
        <v>11.4</v>
      </c>
      <c r="D479" s="18">
        <v>13.1</v>
      </c>
      <c r="E479" s="18">
        <v>59.8</v>
      </c>
      <c r="F479" s="15">
        <v>1.96</v>
      </c>
    </row>
    <row r="480" spans="1:6" x14ac:dyDescent="0.25">
      <c r="A480" s="11">
        <v>2005</v>
      </c>
      <c r="B480" s="11" t="s">
        <v>238</v>
      </c>
      <c r="C480" s="18">
        <v>10</v>
      </c>
      <c r="D480" s="18">
        <v>11.9</v>
      </c>
      <c r="E480" s="18">
        <v>52.1</v>
      </c>
      <c r="F480" s="15">
        <v>1.73</v>
      </c>
    </row>
    <row r="481" spans="1:6" x14ac:dyDescent="0.25">
      <c r="A481" s="11">
        <v>2005</v>
      </c>
      <c r="B481" s="11" t="s">
        <v>239</v>
      </c>
      <c r="C481" s="18">
        <v>11.6</v>
      </c>
      <c r="D481" s="18">
        <v>11.3</v>
      </c>
      <c r="E481" s="18">
        <v>55.3</v>
      </c>
      <c r="F481" s="15">
        <v>1.72</v>
      </c>
    </row>
    <row r="482" spans="1:6" x14ac:dyDescent="0.25">
      <c r="A482" s="11">
        <v>2005</v>
      </c>
      <c r="B482" s="11" t="s">
        <v>240</v>
      </c>
      <c r="C482" s="18">
        <v>10.8</v>
      </c>
      <c r="D482" s="18">
        <v>11.1</v>
      </c>
      <c r="E482" s="18">
        <v>52.9</v>
      </c>
      <c r="F482" s="15">
        <v>1.7</v>
      </c>
    </row>
    <row r="483" spans="1:6" x14ac:dyDescent="0.25">
      <c r="A483" s="11">
        <v>2005</v>
      </c>
      <c r="B483" s="11" t="s">
        <v>241</v>
      </c>
      <c r="C483" s="18">
        <v>12</v>
      </c>
      <c r="D483" s="18">
        <v>9.9</v>
      </c>
      <c r="E483" s="18">
        <v>50</v>
      </c>
      <c r="F483" s="15">
        <v>1.49</v>
      </c>
    </row>
    <row r="484" spans="1:6" x14ac:dyDescent="0.25">
      <c r="A484" s="11">
        <v>2005</v>
      </c>
      <c r="B484" s="11" t="s">
        <v>242</v>
      </c>
      <c r="C484" s="18">
        <v>10.199999999999999</v>
      </c>
      <c r="D484" s="18">
        <v>11.9</v>
      </c>
      <c r="E484" s="18">
        <v>55.2</v>
      </c>
      <c r="F484" s="15">
        <v>1.82</v>
      </c>
    </row>
    <row r="485" spans="1:6" x14ac:dyDescent="0.25">
      <c r="A485" s="11">
        <v>2005</v>
      </c>
      <c r="B485" s="11" t="s">
        <v>243</v>
      </c>
      <c r="C485" s="18">
        <v>10.9</v>
      </c>
      <c r="D485" s="18">
        <v>11.6</v>
      </c>
      <c r="E485" s="18">
        <v>53.8</v>
      </c>
      <c r="F485" s="15">
        <v>1.75</v>
      </c>
    </row>
    <row r="486" spans="1:6" x14ac:dyDescent="0.25">
      <c r="A486" s="11">
        <v>2005</v>
      </c>
      <c r="B486" s="11" t="s">
        <v>244</v>
      </c>
      <c r="C486" s="18">
        <v>10.8</v>
      </c>
      <c r="D486" s="18">
        <v>11.6</v>
      </c>
      <c r="E486" s="18">
        <v>54</v>
      </c>
      <c r="F486" s="15">
        <v>1.76</v>
      </c>
    </row>
    <row r="487" spans="1:6" x14ac:dyDescent="0.25">
      <c r="A487" s="11">
        <v>2005</v>
      </c>
      <c r="B487" s="11" t="s">
        <v>245</v>
      </c>
      <c r="C487" s="18">
        <v>9.6999999999999993</v>
      </c>
      <c r="D487" s="18">
        <v>10.8</v>
      </c>
      <c r="E487" s="18">
        <v>51.1</v>
      </c>
      <c r="F487" s="15">
        <v>1.68</v>
      </c>
    </row>
    <row r="488" spans="1:6" x14ac:dyDescent="0.25">
      <c r="A488" s="11">
        <v>2005</v>
      </c>
      <c r="B488" s="11" t="s">
        <v>282</v>
      </c>
      <c r="C488" s="18">
        <v>8.6999999999999993</v>
      </c>
      <c r="D488" s="18">
        <v>11.2</v>
      </c>
      <c r="E488" s="18">
        <v>51.1</v>
      </c>
      <c r="F488" s="15">
        <v>1.69</v>
      </c>
    </row>
    <row r="489" spans="1:6" x14ac:dyDescent="0.25">
      <c r="A489" s="11">
        <v>2005</v>
      </c>
      <c r="B489" s="11" t="s">
        <v>247</v>
      </c>
      <c r="C489" s="18">
        <v>10.1</v>
      </c>
      <c r="D489" s="18">
        <v>10.8</v>
      </c>
      <c r="E489" s="18">
        <v>50.8</v>
      </c>
      <c r="F489" s="15">
        <v>1.67</v>
      </c>
    </row>
    <row r="490" spans="1:6" x14ac:dyDescent="0.25">
      <c r="A490" s="11">
        <v>2005</v>
      </c>
      <c r="B490" s="11" t="s">
        <v>248</v>
      </c>
      <c r="C490" s="18">
        <v>11.7</v>
      </c>
      <c r="D490" s="18">
        <v>11.3</v>
      </c>
      <c r="E490" s="18">
        <v>54.4</v>
      </c>
      <c r="F490" s="15">
        <v>1.72</v>
      </c>
    </row>
    <row r="491" spans="1:6" x14ac:dyDescent="0.25">
      <c r="A491" s="11">
        <v>2005</v>
      </c>
      <c r="B491" s="11" t="s">
        <v>249</v>
      </c>
      <c r="C491" s="18">
        <v>9</v>
      </c>
      <c r="D491" s="18">
        <v>10.9</v>
      </c>
      <c r="E491" s="18">
        <v>50.1</v>
      </c>
      <c r="F491" s="15">
        <v>1.71</v>
      </c>
    </row>
    <row r="492" spans="1:6" x14ac:dyDescent="0.25">
      <c r="A492" s="11">
        <v>2005</v>
      </c>
      <c r="B492" s="11" t="s">
        <v>250</v>
      </c>
      <c r="C492" s="18">
        <v>9.8000000000000007</v>
      </c>
      <c r="D492" s="18">
        <v>11.7</v>
      </c>
      <c r="E492" s="18">
        <v>54</v>
      </c>
      <c r="F492" s="15">
        <v>1.76</v>
      </c>
    </row>
    <row r="493" spans="1:6" x14ac:dyDescent="0.25">
      <c r="A493" s="11">
        <v>2005</v>
      </c>
      <c r="B493" s="11" t="s">
        <v>251</v>
      </c>
      <c r="C493" s="18">
        <v>10.9</v>
      </c>
      <c r="D493" s="18">
        <v>11.1</v>
      </c>
      <c r="E493" s="18">
        <v>52.3</v>
      </c>
      <c r="F493" s="15">
        <v>1.69</v>
      </c>
    </row>
    <row r="494" spans="1:6" x14ac:dyDescent="0.25">
      <c r="A494" s="11">
        <v>2005</v>
      </c>
      <c r="B494" s="11" t="s">
        <v>252</v>
      </c>
      <c r="C494" s="18">
        <v>9.5</v>
      </c>
      <c r="D494" s="18">
        <v>11.6</v>
      </c>
      <c r="E494" s="18">
        <v>53.1</v>
      </c>
      <c r="F494" s="15">
        <v>1.8</v>
      </c>
    </row>
    <row r="495" spans="1:6" x14ac:dyDescent="0.25">
      <c r="A495" s="11">
        <v>2005</v>
      </c>
      <c r="B495" s="11" t="s">
        <v>253</v>
      </c>
      <c r="C495" s="18">
        <v>10.199999999999999</v>
      </c>
      <c r="D495" s="18">
        <v>11.2</v>
      </c>
      <c r="E495" s="18">
        <v>53.5</v>
      </c>
      <c r="F495" s="15">
        <v>1.77</v>
      </c>
    </row>
    <row r="496" spans="1:6" x14ac:dyDescent="0.25">
      <c r="A496" s="11">
        <v>2005</v>
      </c>
      <c r="B496" s="11" t="s">
        <v>254</v>
      </c>
      <c r="C496" s="18">
        <v>8.6999999999999993</v>
      </c>
      <c r="D496" s="18">
        <v>10.3</v>
      </c>
      <c r="E496" s="18">
        <v>47.3</v>
      </c>
      <c r="F496" s="15">
        <v>1.55</v>
      </c>
    </row>
    <row r="497" spans="1:6" x14ac:dyDescent="0.25">
      <c r="A497" s="11">
        <v>2005</v>
      </c>
      <c r="B497" s="11" t="s">
        <v>255</v>
      </c>
      <c r="C497" s="18">
        <v>10.8</v>
      </c>
      <c r="D497" s="18">
        <v>11.1</v>
      </c>
      <c r="E497" s="18">
        <v>52.6</v>
      </c>
      <c r="F497" s="15">
        <v>1.67</v>
      </c>
    </row>
    <row r="498" spans="1:6" x14ac:dyDescent="0.25">
      <c r="A498" s="11">
        <v>2005</v>
      </c>
      <c r="B498" s="11" t="s">
        <v>256</v>
      </c>
      <c r="C498" s="18">
        <v>10</v>
      </c>
      <c r="D498" s="18">
        <v>10.199999999999999</v>
      </c>
      <c r="E498" s="18">
        <v>47.3</v>
      </c>
      <c r="F498" s="15">
        <v>1.52</v>
      </c>
    </row>
    <row r="499" spans="1:6" x14ac:dyDescent="0.25">
      <c r="A499" s="11">
        <v>2005</v>
      </c>
      <c r="B499" s="11" t="s">
        <v>257</v>
      </c>
      <c r="C499" s="18">
        <v>10.9</v>
      </c>
      <c r="D499" s="18">
        <v>10.9</v>
      </c>
      <c r="E499" s="18">
        <v>51.5</v>
      </c>
      <c r="F499" s="15">
        <v>1.65</v>
      </c>
    </row>
    <row r="500" spans="1:6" x14ac:dyDescent="0.25">
      <c r="A500" s="11">
        <v>2005</v>
      </c>
      <c r="B500" s="11" t="s">
        <v>258</v>
      </c>
      <c r="C500" s="18">
        <v>12.8</v>
      </c>
      <c r="D500" s="18">
        <v>12.1</v>
      </c>
      <c r="E500" s="18">
        <v>58.3</v>
      </c>
      <c r="F500" s="15">
        <v>1.84</v>
      </c>
    </row>
    <row r="501" spans="1:6" x14ac:dyDescent="0.25">
      <c r="A501" s="11">
        <v>2006</v>
      </c>
      <c r="B501" s="11" t="s">
        <v>11</v>
      </c>
      <c r="C501" s="18">
        <v>10.8</v>
      </c>
      <c r="D501" s="18">
        <v>10.8</v>
      </c>
      <c r="E501" s="18">
        <v>52.4</v>
      </c>
      <c r="F501" s="15">
        <v>1.64</v>
      </c>
    </row>
    <row r="502" spans="1:6" x14ac:dyDescent="0.25">
      <c r="A502" s="11">
        <v>2006</v>
      </c>
      <c r="B502" s="11" t="s">
        <v>227</v>
      </c>
      <c r="C502" s="18">
        <v>10.5</v>
      </c>
      <c r="D502" s="18">
        <v>9.1</v>
      </c>
      <c r="E502" s="18">
        <v>46.2</v>
      </c>
      <c r="F502" s="15">
        <v>1.39</v>
      </c>
    </row>
    <row r="503" spans="1:6" x14ac:dyDescent="0.25">
      <c r="A503" s="11">
        <v>2006</v>
      </c>
      <c r="B503" s="11" t="s">
        <v>228</v>
      </c>
      <c r="C503" s="18">
        <v>10.7</v>
      </c>
      <c r="D503" s="18">
        <v>12</v>
      </c>
      <c r="E503" s="18">
        <v>55.7</v>
      </c>
      <c r="F503" s="15">
        <v>1.86</v>
      </c>
    </row>
    <row r="504" spans="1:6" x14ac:dyDescent="0.25">
      <c r="A504" s="11">
        <v>2006</v>
      </c>
      <c r="B504" s="11" t="s">
        <v>229</v>
      </c>
      <c r="C504" s="18">
        <v>9.9</v>
      </c>
      <c r="D504" s="18">
        <v>11.5</v>
      </c>
      <c r="E504" s="18">
        <v>53.8</v>
      </c>
      <c r="F504" s="15">
        <v>1.79</v>
      </c>
    </row>
    <row r="505" spans="1:6" x14ac:dyDescent="0.25">
      <c r="A505" s="11">
        <v>2006</v>
      </c>
      <c r="B505" s="11" t="s">
        <v>230</v>
      </c>
      <c r="C505" s="18">
        <v>8.6</v>
      </c>
      <c r="D505" s="18">
        <v>11.4</v>
      </c>
      <c r="E505" s="18">
        <v>51.6</v>
      </c>
      <c r="F505" s="15">
        <v>1.73</v>
      </c>
    </row>
    <row r="506" spans="1:6" x14ac:dyDescent="0.25">
      <c r="A506" s="11">
        <v>2006</v>
      </c>
      <c r="B506" s="11" t="s">
        <v>231</v>
      </c>
      <c r="C506" s="18">
        <v>10.8</v>
      </c>
      <c r="D506" s="18">
        <v>8.5</v>
      </c>
      <c r="E506" s="18">
        <v>44.7</v>
      </c>
      <c r="F506" s="15">
        <v>1.32</v>
      </c>
    </row>
    <row r="507" spans="1:6" x14ac:dyDescent="0.25">
      <c r="A507" s="11">
        <v>2006</v>
      </c>
      <c r="B507" s="11" t="s">
        <v>232</v>
      </c>
      <c r="C507" s="18">
        <v>11</v>
      </c>
      <c r="D507" s="18">
        <v>11.4</v>
      </c>
      <c r="E507" s="18">
        <v>54.1</v>
      </c>
      <c r="F507" s="15">
        <v>1.77</v>
      </c>
    </row>
    <row r="508" spans="1:6" x14ac:dyDescent="0.25">
      <c r="A508" s="11">
        <v>2006</v>
      </c>
      <c r="B508" s="11" t="s">
        <v>233</v>
      </c>
      <c r="C508" s="18">
        <v>9.8000000000000007</v>
      </c>
      <c r="D508" s="18">
        <v>12.4</v>
      </c>
      <c r="E508" s="18">
        <v>56.1</v>
      </c>
      <c r="F508" s="15">
        <v>1.95</v>
      </c>
    </row>
    <row r="509" spans="1:6" x14ac:dyDescent="0.25">
      <c r="A509" s="11">
        <v>2006</v>
      </c>
      <c r="B509" s="11" t="s">
        <v>234</v>
      </c>
      <c r="C509" s="18">
        <v>10.9</v>
      </c>
      <c r="D509" s="18">
        <v>10.199999999999999</v>
      </c>
      <c r="E509" s="18">
        <v>49.6</v>
      </c>
      <c r="F509" s="15">
        <v>1.52</v>
      </c>
    </row>
    <row r="510" spans="1:6" x14ac:dyDescent="0.25">
      <c r="A510" s="11">
        <v>2006</v>
      </c>
      <c r="B510" s="11" t="s">
        <v>235</v>
      </c>
      <c r="C510" s="18">
        <v>10.9</v>
      </c>
      <c r="D510" s="18">
        <v>11.6</v>
      </c>
      <c r="E510" s="18">
        <v>54.4</v>
      </c>
      <c r="F510" s="15">
        <v>1.83</v>
      </c>
    </row>
    <row r="511" spans="1:6" x14ac:dyDescent="0.25">
      <c r="A511" s="11">
        <v>2006</v>
      </c>
      <c r="B511" s="11" t="s">
        <v>236</v>
      </c>
      <c r="C511" s="18">
        <v>8.6999999999999993</v>
      </c>
      <c r="D511" s="18">
        <v>10.7</v>
      </c>
      <c r="E511" s="18">
        <v>47.3</v>
      </c>
      <c r="F511" s="15">
        <v>1.62</v>
      </c>
    </row>
    <row r="512" spans="1:6" x14ac:dyDescent="0.25">
      <c r="A512" s="11">
        <v>2006</v>
      </c>
      <c r="B512" s="11" t="s">
        <v>237</v>
      </c>
      <c r="C512" s="18">
        <v>11.3</v>
      </c>
      <c r="D512" s="18">
        <v>13</v>
      </c>
      <c r="E512" s="18">
        <v>59.5</v>
      </c>
      <c r="F512" s="15">
        <v>1.99</v>
      </c>
    </row>
    <row r="513" spans="1:6" x14ac:dyDescent="0.25">
      <c r="A513" s="11">
        <v>2006</v>
      </c>
      <c r="B513" s="11" t="s">
        <v>238</v>
      </c>
      <c r="C513" s="18">
        <v>9.6</v>
      </c>
      <c r="D513" s="18">
        <v>11.5</v>
      </c>
      <c r="E513" s="18">
        <v>50.6</v>
      </c>
      <c r="F513" s="15">
        <v>1.71</v>
      </c>
    </row>
    <row r="514" spans="1:6" x14ac:dyDescent="0.25">
      <c r="A514" s="11">
        <v>2006</v>
      </c>
      <c r="B514" s="11" t="s">
        <v>239</v>
      </c>
      <c r="C514" s="18">
        <v>11.6</v>
      </c>
      <c r="D514" s="18">
        <v>11.4</v>
      </c>
      <c r="E514" s="18">
        <v>55.8</v>
      </c>
      <c r="F514" s="15">
        <v>1.75</v>
      </c>
    </row>
    <row r="515" spans="1:6" x14ac:dyDescent="0.25">
      <c r="A515" s="11">
        <v>2006</v>
      </c>
      <c r="B515" s="11" t="s">
        <v>240</v>
      </c>
      <c r="C515" s="18">
        <v>11.2</v>
      </c>
      <c r="D515" s="18">
        <v>11.6</v>
      </c>
      <c r="E515" s="18">
        <v>55.3</v>
      </c>
      <c r="F515" s="15">
        <v>1.78</v>
      </c>
    </row>
    <row r="516" spans="1:6" x14ac:dyDescent="0.25">
      <c r="A516" s="11">
        <v>2006</v>
      </c>
      <c r="B516" s="11" t="s">
        <v>241</v>
      </c>
      <c r="C516" s="18">
        <v>11.6</v>
      </c>
      <c r="D516" s="18">
        <v>9.6</v>
      </c>
      <c r="E516" s="18">
        <v>48.5</v>
      </c>
      <c r="F516" s="15">
        <v>1.44</v>
      </c>
    </row>
    <row r="517" spans="1:6" x14ac:dyDescent="0.25">
      <c r="A517" s="11">
        <v>2006</v>
      </c>
      <c r="B517" s="11" t="s">
        <v>242</v>
      </c>
      <c r="C517" s="18">
        <v>9.8000000000000007</v>
      </c>
      <c r="D517" s="18">
        <v>11.3</v>
      </c>
      <c r="E517" s="18">
        <v>53.1</v>
      </c>
      <c r="F517" s="15">
        <v>1.74</v>
      </c>
    </row>
    <row r="518" spans="1:6" x14ac:dyDescent="0.25">
      <c r="A518" s="11">
        <v>2006</v>
      </c>
      <c r="B518" s="11" t="s">
        <v>243</v>
      </c>
      <c r="C518" s="18">
        <v>10.3</v>
      </c>
      <c r="D518" s="18">
        <v>11</v>
      </c>
      <c r="E518" s="18">
        <v>51.4</v>
      </c>
      <c r="F518" s="15">
        <v>1.69</v>
      </c>
    </row>
    <row r="519" spans="1:6" x14ac:dyDescent="0.25">
      <c r="A519" s="11">
        <v>2006</v>
      </c>
      <c r="B519" s="11" t="s">
        <v>244</v>
      </c>
      <c r="C519" s="18">
        <v>11.1</v>
      </c>
      <c r="D519" s="18">
        <v>12</v>
      </c>
      <c r="E519" s="18">
        <v>55.7</v>
      </c>
      <c r="F519" s="15">
        <v>1.84</v>
      </c>
    </row>
    <row r="520" spans="1:6" x14ac:dyDescent="0.25">
      <c r="A520" s="11">
        <v>2006</v>
      </c>
      <c r="B520" s="11" t="s">
        <v>245</v>
      </c>
      <c r="C520" s="18">
        <v>9.9</v>
      </c>
      <c r="D520" s="18">
        <v>11.1</v>
      </c>
      <c r="E520" s="18">
        <v>52.3</v>
      </c>
      <c r="F520" s="15">
        <v>1.73</v>
      </c>
    </row>
    <row r="521" spans="1:6" x14ac:dyDescent="0.25">
      <c r="A521" s="11">
        <v>2006</v>
      </c>
      <c r="B521" s="11" t="s">
        <v>282</v>
      </c>
      <c r="C521" s="18">
        <v>10.1</v>
      </c>
      <c r="D521" s="18">
        <v>12.9</v>
      </c>
      <c r="E521" s="18">
        <v>60.3</v>
      </c>
      <c r="F521" s="15">
        <v>1.91</v>
      </c>
    </row>
    <row r="522" spans="1:6" x14ac:dyDescent="0.25">
      <c r="A522" s="11">
        <v>2006</v>
      </c>
      <c r="B522" s="11" t="s">
        <v>247</v>
      </c>
      <c r="C522" s="18">
        <v>11</v>
      </c>
      <c r="D522" s="18">
        <v>11.8</v>
      </c>
      <c r="E522" s="18">
        <v>55.4</v>
      </c>
      <c r="F522" s="15">
        <v>1.83</v>
      </c>
    </row>
    <row r="523" spans="1:6" x14ac:dyDescent="0.25">
      <c r="A523" s="11">
        <v>2006</v>
      </c>
      <c r="B523" s="11" t="s">
        <v>248</v>
      </c>
      <c r="C523" s="18">
        <v>12.2</v>
      </c>
      <c r="D523" s="18">
        <v>11.7</v>
      </c>
      <c r="E523" s="18">
        <v>56.8</v>
      </c>
      <c r="F523" s="15">
        <v>1.79</v>
      </c>
    </row>
    <row r="524" spans="1:6" x14ac:dyDescent="0.25">
      <c r="A524" s="11">
        <v>2006</v>
      </c>
      <c r="B524" s="11" t="s">
        <v>249</v>
      </c>
      <c r="C524" s="18">
        <v>10.5</v>
      </c>
      <c r="D524" s="18">
        <v>12.8</v>
      </c>
      <c r="E524" s="18">
        <v>58.5</v>
      </c>
      <c r="F524" s="15">
        <v>2.0499999999999998</v>
      </c>
    </row>
    <row r="525" spans="1:6" x14ac:dyDescent="0.25">
      <c r="A525" s="11">
        <v>2006</v>
      </c>
      <c r="B525" s="11" t="s">
        <v>250</v>
      </c>
      <c r="C525" s="18">
        <v>9.5</v>
      </c>
      <c r="D525" s="18">
        <v>11.4</v>
      </c>
      <c r="E525" s="18">
        <v>52.9</v>
      </c>
      <c r="F525" s="15">
        <v>1.73</v>
      </c>
    </row>
    <row r="526" spans="1:6" x14ac:dyDescent="0.25">
      <c r="A526" s="11">
        <v>2006</v>
      </c>
      <c r="B526" s="11" t="s">
        <v>251</v>
      </c>
      <c r="C526" s="18">
        <v>10.7</v>
      </c>
      <c r="D526" s="18">
        <v>11</v>
      </c>
      <c r="E526" s="18">
        <v>52.1</v>
      </c>
      <c r="F526" s="15">
        <v>1.68</v>
      </c>
    </row>
    <row r="527" spans="1:6" x14ac:dyDescent="0.25">
      <c r="A527" s="11">
        <v>2006</v>
      </c>
      <c r="B527" s="11" t="s">
        <v>252</v>
      </c>
      <c r="C527" s="18">
        <v>10</v>
      </c>
      <c r="D527" s="18">
        <v>12.4</v>
      </c>
      <c r="E527" s="18">
        <v>56.7</v>
      </c>
      <c r="F527" s="15">
        <v>1.9</v>
      </c>
    </row>
    <row r="528" spans="1:6" x14ac:dyDescent="0.25">
      <c r="A528" s="11">
        <v>2006</v>
      </c>
      <c r="B528" s="11" t="s">
        <v>253</v>
      </c>
      <c r="C528" s="18">
        <v>12.1</v>
      </c>
      <c r="D528" s="18">
        <v>13.5</v>
      </c>
      <c r="E528" s="18">
        <v>63.7</v>
      </c>
      <c r="F528" s="15">
        <v>2.09</v>
      </c>
    </row>
    <row r="529" spans="1:6" x14ac:dyDescent="0.25">
      <c r="A529" s="11">
        <v>2006</v>
      </c>
      <c r="B529" s="11" t="s">
        <v>254</v>
      </c>
      <c r="C529" s="18">
        <v>9</v>
      </c>
      <c r="D529" s="18">
        <v>10.7</v>
      </c>
      <c r="E529" s="18">
        <v>49.5</v>
      </c>
      <c r="F529" s="15">
        <v>1.65</v>
      </c>
    </row>
    <row r="530" spans="1:6" x14ac:dyDescent="0.25">
      <c r="A530" s="11">
        <v>2006</v>
      </c>
      <c r="B530" s="11" t="s">
        <v>255</v>
      </c>
      <c r="C530" s="18">
        <v>11.4</v>
      </c>
      <c r="D530" s="18">
        <v>11.7</v>
      </c>
      <c r="E530" s="18">
        <v>56</v>
      </c>
      <c r="F530" s="15">
        <v>1.79</v>
      </c>
    </row>
    <row r="531" spans="1:6" x14ac:dyDescent="0.25">
      <c r="A531" s="11">
        <v>2006</v>
      </c>
      <c r="B531" s="11" t="s">
        <v>256</v>
      </c>
      <c r="C531" s="18">
        <v>10.3</v>
      </c>
      <c r="D531" s="18">
        <v>10.6</v>
      </c>
      <c r="E531" s="18">
        <v>48.9</v>
      </c>
      <c r="F531" s="15">
        <v>1.61</v>
      </c>
    </row>
    <row r="532" spans="1:6" x14ac:dyDescent="0.25">
      <c r="A532" s="11">
        <v>2006</v>
      </c>
      <c r="B532" s="11" t="s">
        <v>257</v>
      </c>
      <c r="C532" s="18">
        <v>11.4</v>
      </c>
      <c r="D532" s="18">
        <v>11.4</v>
      </c>
      <c r="E532" s="18">
        <v>54.3</v>
      </c>
      <c r="F532" s="15">
        <v>1.73</v>
      </c>
    </row>
    <row r="533" spans="1:6" x14ac:dyDescent="0.25">
      <c r="A533" s="11">
        <v>2006</v>
      </c>
      <c r="B533" s="11" t="s">
        <v>258</v>
      </c>
      <c r="C533" s="18">
        <v>13.1</v>
      </c>
      <c r="D533" s="18">
        <v>12.4</v>
      </c>
      <c r="E533" s="18">
        <v>59.9</v>
      </c>
      <c r="F533" s="15">
        <v>1.92</v>
      </c>
    </row>
    <row r="534" spans="1:6" x14ac:dyDescent="0.25">
      <c r="A534" s="11">
        <v>2007</v>
      </c>
      <c r="B534" s="11" t="s">
        <v>11</v>
      </c>
      <c r="C534" s="18">
        <v>11.2</v>
      </c>
      <c r="D534" s="18">
        <v>11.2</v>
      </c>
      <c r="E534" s="18">
        <v>54.2</v>
      </c>
      <c r="F534" s="15">
        <v>1.7</v>
      </c>
    </row>
    <row r="535" spans="1:6" x14ac:dyDescent="0.25">
      <c r="A535" s="11">
        <v>2007</v>
      </c>
      <c r="B535" s="11" t="s">
        <v>227</v>
      </c>
      <c r="C535" s="18">
        <v>11.4</v>
      </c>
      <c r="D535" s="18">
        <v>9.6999999999999993</v>
      </c>
      <c r="E535" s="18">
        <v>49.9</v>
      </c>
      <c r="F535" s="15">
        <v>1.5</v>
      </c>
    </row>
    <row r="536" spans="1:6" x14ac:dyDescent="0.25">
      <c r="A536" s="11">
        <v>2007</v>
      </c>
      <c r="B536" s="11" t="s">
        <v>228</v>
      </c>
      <c r="C536" s="18">
        <v>11</v>
      </c>
      <c r="D536" s="18">
        <v>12.3</v>
      </c>
      <c r="E536" s="18">
        <v>57.3</v>
      </c>
      <c r="F536" s="15">
        <v>1.9</v>
      </c>
    </row>
    <row r="537" spans="1:6" x14ac:dyDescent="0.25">
      <c r="A537" s="11">
        <v>2007</v>
      </c>
      <c r="B537" s="11" t="s">
        <v>229</v>
      </c>
      <c r="C537" s="18">
        <v>10.1</v>
      </c>
      <c r="D537" s="18">
        <v>11.9</v>
      </c>
      <c r="E537" s="18">
        <v>55.7</v>
      </c>
      <c r="F537" s="15">
        <v>1.85</v>
      </c>
    </row>
    <row r="538" spans="1:6" x14ac:dyDescent="0.25">
      <c r="A538" s="11">
        <v>2007</v>
      </c>
      <c r="B538" s="11" t="s">
        <v>230</v>
      </c>
      <c r="C538" s="18">
        <v>8.1999999999999993</v>
      </c>
      <c r="D538" s="18">
        <v>10.9</v>
      </c>
      <c r="E538" s="18">
        <v>49.5</v>
      </c>
      <c r="F538" s="15">
        <v>1.7</v>
      </c>
    </row>
    <row r="539" spans="1:6" x14ac:dyDescent="0.25">
      <c r="A539" s="11">
        <v>2007</v>
      </c>
      <c r="B539" s="11" t="s">
        <v>231</v>
      </c>
      <c r="C539" s="18">
        <v>11.1</v>
      </c>
      <c r="D539" s="18">
        <v>8.6999999999999993</v>
      </c>
      <c r="E539" s="18">
        <v>45.9</v>
      </c>
      <c r="F539" s="15">
        <v>1.36</v>
      </c>
    </row>
    <row r="540" spans="1:6" x14ac:dyDescent="0.25">
      <c r="A540" s="11">
        <v>2007</v>
      </c>
      <c r="B540" s="11" t="s">
        <v>232</v>
      </c>
      <c r="C540" s="18">
        <v>12.5</v>
      </c>
      <c r="D540" s="18">
        <v>13</v>
      </c>
      <c r="E540" s="18">
        <v>61.9</v>
      </c>
      <c r="F540" s="15">
        <v>2.02</v>
      </c>
    </row>
    <row r="541" spans="1:6" x14ac:dyDescent="0.25">
      <c r="A541" s="11">
        <v>2007</v>
      </c>
      <c r="B541" s="11" t="s">
        <v>233</v>
      </c>
      <c r="C541" s="18">
        <v>10</v>
      </c>
      <c r="D541" s="18">
        <v>12.7</v>
      </c>
      <c r="E541" s="18">
        <v>58</v>
      </c>
      <c r="F541" s="15">
        <v>1.97</v>
      </c>
    </row>
    <row r="542" spans="1:6" x14ac:dyDescent="0.25">
      <c r="A542" s="11">
        <v>2007</v>
      </c>
      <c r="B542" s="11" t="s">
        <v>234</v>
      </c>
      <c r="C542" s="18">
        <v>11.6</v>
      </c>
      <c r="D542" s="18">
        <v>10.7</v>
      </c>
      <c r="E542" s="18">
        <v>52.6</v>
      </c>
      <c r="F542" s="15">
        <v>1.59</v>
      </c>
    </row>
    <row r="543" spans="1:6" x14ac:dyDescent="0.25">
      <c r="A543" s="11">
        <v>2007</v>
      </c>
      <c r="B543" s="11" t="s">
        <v>235</v>
      </c>
      <c r="C543" s="18">
        <v>10.8</v>
      </c>
      <c r="D543" s="18">
        <v>11.5</v>
      </c>
      <c r="E543" s="18">
        <v>53.9</v>
      </c>
      <c r="F543" s="15">
        <v>1.79</v>
      </c>
    </row>
    <row r="544" spans="1:6" x14ac:dyDescent="0.25">
      <c r="A544" s="11">
        <v>2007</v>
      </c>
      <c r="B544" s="11" t="s">
        <v>236</v>
      </c>
      <c r="C544" s="18">
        <v>8.5</v>
      </c>
      <c r="D544" s="18">
        <v>10.5</v>
      </c>
      <c r="E544" s="18">
        <v>46.5</v>
      </c>
      <c r="F544" s="15">
        <v>1.62</v>
      </c>
    </row>
    <row r="545" spans="1:6" x14ac:dyDescent="0.25">
      <c r="A545" s="11">
        <v>2007</v>
      </c>
      <c r="B545" s="11" t="s">
        <v>237</v>
      </c>
      <c r="C545" s="18">
        <v>11.5</v>
      </c>
      <c r="D545" s="18">
        <v>13.2</v>
      </c>
      <c r="E545" s="18">
        <v>60.2</v>
      </c>
      <c r="F545" s="15">
        <v>2.0099999999999998</v>
      </c>
    </row>
    <row r="546" spans="1:6" x14ac:dyDescent="0.25">
      <c r="A546" s="11">
        <v>2007</v>
      </c>
      <c r="B546" s="11" t="s">
        <v>238</v>
      </c>
      <c r="C546" s="18">
        <v>9.9</v>
      </c>
      <c r="D546" s="18">
        <v>12.1</v>
      </c>
      <c r="E546" s="18">
        <v>53.3</v>
      </c>
      <c r="F546" s="15">
        <v>1.83</v>
      </c>
    </row>
    <row r="547" spans="1:6" x14ac:dyDescent="0.25">
      <c r="A547" s="11">
        <v>2007</v>
      </c>
      <c r="B547" s="11" t="s">
        <v>239</v>
      </c>
      <c r="C547" s="18">
        <v>12.4</v>
      </c>
      <c r="D547" s="18">
        <v>12.3</v>
      </c>
      <c r="E547" s="18">
        <v>60.1</v>
      </c>
      <c r="F547" s="15">
        <v>1.89</v>
      </c>
    </row>
    <row r="548" spans="1:6" x14ac:dyDescent="0.25">
      <c r="A548" s="11">
        <v>2007</v>
      </c>
      <c r="B548" s="11" t="s">
        <v>240</v>
      </c>
      <c r="C548" s="18">
        <v>11.4</v>
      </c>
      <c r="D548" s="18">
        <v>11.8</v>
      </c>
      <c r="E548" s="18">
        <v>56.6</v>
      </c>
      <c r="F548" s="15">
        <v>1.82</v>
      </c>
    </row>
    <row r="549" spans="1:6" x14ac:dyDescent="0.25">
      <c r="A549" s="11">
        <v>2007</v>
      </c>
      <c r="B549" s="11" t="s">
        <v>241</v>
      </c>
      <c r="C549" s="18">
        <v>12.5</v>
      </c>
      <c r="D549" s="18">
        <v>10.199999999999999</v>
      </c>
      <c r="E549" s="18">
        <v>52.2</v>
      </c>
      <c r="F549" s="15">
        <v>1.54</v>
      </c>
    </row>
    <row r="550" spans="1:6" x14ac:dyDescent="0.25">
      <c r="A550" s="11">
        <v>2007</v>
      </c>
      <c r="B550" s="11" t="s">
        <v>242</v>
      </c>
      <c r="C550" s="18">
        <v>10.4</v>
      </c>
      <c r="D550" s="18">
        <v>12.1</v>
      </c>
      <c r="E550" s="18">
        <v>56.8</v>
      </c>
      <c r="F550" s="15">
        <v>1.87</v>
      </c>
    </row>
    <row r="551" spans="1:6" x14ac:dyDescent="0.25">
      <c r="A551" s="11">
        <v>2007</v>
      </c>
      <c r="B551" s="11" t="s">
        <v>243</v>
      </c>
      <c r="C551" s="18">
        <v>10.4</v>
      </c>
      <c r="D551" s="18">
        <v>11.2</v>
      </c>
      <c r="E551" s="18">
        <v>52.6</v>
      </c>
      <c r="F551" s="15">
        <v>1.74</v>
      </c>
    </row>
    <row r="552" spans="1:6" x14ac:dyDescent="0.25">
      <c r="A552" s="11">
        <v>2007</v>
      </c>
      <c r="B552" s="11" t="s">
        <v>244</v>
      </c>
      <c r="C552" s="18">
        <v>11.7</v>
      </c>
      <c r="D552" s="18">
        <v>12.6</v>
      </c>
      <c r="E552" s="18">
        <v>58.8</v>
      </c>
      <c r="F552" s="15">
        <v>1.94</v>
      </c>
    </row>
    <row r="553" spans="1:6" x14ac:dyDescent="0.25">
      <c r="A553" s="11">
        <v>2007</v>
      </c>
      <c r="B553" s="11" t="s">
        <v>245</v>
      </c>
      <c r="C553" s="18">
        <v>10.9</v>
      </c>
      <c r="D553" s="18">
        <v>12.3</v>
      </c>
      <c r="E553" s="18">
        <v>58.1</v>
      </c>
      <c r="F553" s="15">
        <v>1.91</v>
      </c>
    </row>
    <row r="554" spans="1:6" x14ac:dyDescent="0.25">
      <c r="A554" s="11">
        <v>2007</v>
      </c>
      <c r="B554" s="11" t="s">
        <v>282</v>
      </c>
      <c r="C554" s="18">
        <v>9.6999999999999993</v>
      </c>
      <c r="D554" s="18">
        <v>12.4</v>
      </c>
      <c r="E554" s="18">
        <v>57.9</v>
      </c>
      <c r="F554" s="15">
        <v>1.92</v>
      </c>
    </row>
    <row r="555" spans="1:6" x14ac:dyDescent="0.25">
      <c r="A555" s="11">
        <v>2007</v>
      </c>
      <c r="B555" s="11" t="s">
        <v>247</v>
      </c>
      <c r="C555" s="18">
        <v>11.1</v>
      </c>
      <c r="D555" s="18">
        <v>12.1</v>
      </c>
      <c r="E555" s="18">
        <v>56.7</v>
      </c>
      <c r="F555" s="15">
        <v>1.87</v>
      </c>
    </row>
    <row r="556" spans="1:6" x14ac:dyDescent="0.25">
      <c r="A556" s="11">
        <v>2007</v>
      </c>
      <c r="B556" s="11" t="s">
        <v>248</v>
      </c>
      <c r="C556" s="18">
        <v>12.2</v>
      </c>
      <c r="D556" s="18">
        <v>11.8</v>
      </c>
      <c r="E556" s="18">
        <v>57.4</v>
      </c>
      <c r="F556" s="15">
        <v>1.82</v>
      </c>
    </row>
    <row r="557" spans="1:6" x14ac:dyDescent="0.25">
      <c r="A557" s="11">
        <v>2007</v>
      </c>
      <c r="B557" s="11" t="s">
        <v>249</v>
      </c>
      <c r="C557" s="18">
        <v>9.1999999999999993</v>
      </c>
      <c r="D557" s="18">
        <v>11.4</v>
      </c>
      <c r="E557" s="18">
        <v>51.8</v>
      </c>
      <c r="F557" s="15">
        <v>1.77</v>
      </c>
    </row>
    <row r="558" spans="1:6" x14ac:dyDescent="0.25">
      <c r="A558" s="11">
        <v>2007</v>
      </c>
      <c r="B558" s="11" t="s">
        <v>250</v>
      </c>
      <c r="C558" s="18">
        <v>9.9</v>
      </c>
      <c r="D558" s="18">
        <v>11.7</v>
      </c>
      <c r="E558" s="18">
        <v>54.8</v>
      </c>
      <c r="F558" s="15">
        <v>1.79</v>
      </c>
    </row>
    <row r="559" spans="1:6" x14ac:dyDescent="0.25">
      <c r="A559" s="11">
        <v>2007</v>
      </c>
      <c r="B559" s="11" t="s">
        <v>251</v>
      </c>
      <c r="C559" s="18">
        <v>11</v>
      </c>
      <c r="D559" s="18">
        <v>11.4</v>
      </c>
      <c r="E559" s="18">
        <v>53.9</v>
      </c>
      <c r="F559" s="15">
        <v>1.74</v>
      </c>
    </row>
    <row r="560" spans="1:6" x14ac:dyDescent="0.25">
      <c r="A560" s="11">
        <v>2007</v>
      </c>
      <c r="B560" s="11" t="s">
        <v>252</v>
      </c>
      <c r="C560" s="18">
        <v>10.4</v>
      </c>
      <c r="D560" s="18">
        <v>13.1</v>
      </c>
      <c r="E560" s="18">
        <v>59.2</v>
      </c>
      <c r="F560" s="15">
        <v>2.0099999999999998</v>
      </c>
    </row>
    <row r="561" spans="1:6" x14ac:dyDescent="0.25">
      <c r="A561" s="11">
        <v>2007</v>
      </c>
      <c r="B561" s="11" t="s">
        <v>253</v>
      </c>
      <c r="C561" s="18">
        <v>10.9</v>
      </c>
      <c r="D561" s="18">
        <v>12.2</v>
      </c>
      <c r="E561" s="18">
        <v>58.3</v>
      </c>
      <c r="F561" s="15">
        <v>1.83</v>
      </c>
    </row>
    <row r="562" spans="1:6" x14ac:dyDescent="0.25">
      <c r="A562" s="11">
        <v>2007</v>
      </c>
      <c r="B562" s="11" t="s">
        <v>254</v>
      </c>
      <c r="C562" s="18">
        <v>9.1999999999999993</v>
      </c>
      <c r="D562" s="18">
        <v>10.9</v>
      </c>
      <c r="E562" s="18">
        <v>50.7</v>
      </c>
      <c r="F562" s="15">
        <v>1.69</v>
      </c>
    </row>
    <row r="563" spans="1:6" x14ac:dyDescent="0.25">
      <c r="A563" s="11">
        <v>2007</v>
      </c>
      <c r="B563" s="11" t="s">
        <v>255</v>
      </c>
      <c r="C563" s="18">
        <v>11.1</v>
      </c>
      <c r="D563" s="18">
        <v>11.5</v>
      </c>
      <c r="E563" s="18">
        <v>54.9</v>
      </c>
      <c r="F563" s="15">
        <v>1.75</v>
      </c>
    </row>
    <row r="564" spans="1:6" x14ac:dyDescent="0.25">
      <c r="A564" s="11">
        <v>2007</v>
      </c>
      <c r="B564" s="11" t="s">
        <v>256</v>
      </c>
      <c r="C564" s="18">
        <v>9.9</v>
      </c>
      <c r="D564" s="18">
        <v>10.199999999999999</v>
      </c>
      <c r="E564" s="18">
        <v>47.3</v>
      </c>
      <c r="F564" s="15">
        <v>1.57</v>
      </c>
    </row>
    <row r="565" spans="1:6" x14ac:dyDescent="0.25">
      <c r="A565" s="11">
        <v>2007</v>
      </c>
      <c r="B565" s="11" t="s">
        <v>257</v>
      </c>
      <c r="C565" s="18">
        <v>12.1</v>
      </c>
      <c r="D565" s="18">
        <v>12.1</v>
      </c>
      <c r="E565" s="18">
        <v>57.8</v>
      </c>
      <c r="F565" s="15">
        <v>1.86</v>
      </c>
    </row>
    <row r="566" spans="1:6" x14ac:dyDescent="0.25">
      <c r="A566" s="11">
        <v>2007</v>
      </c>
      <c r="B566" s="11" t="s">
        <v>258</v>
      </c>
      <c r="C566" s="18">
        <v>13.5</v>
      </c>
      <c r="D566" s="18">
        <v>12.9</v>
      </c>
      <c r="E566" s="18">
        <v>62.2</v>
      </c>
      <c r="F566" s="15">
        <v>1.99</v>
      </c>
    </row>
    <row r="567" spans="1:6" x14ac:dyDescent="0.25">
      <c r="A567" s="11">
        <v>2008</v>
      </c>
      <c r="B567" s="11" t="s">
        <v>11</v>
      </c>
      <c r="C567" s="18">
        <v>11.5</v>
      </c>
      <c r="D567" s="18">
        <v>11.5</v>
      </c>
      <c r="E567" s="18">
        <v>56.4</v>
      </c>
      <c r="F567" s="15">
        <v>1.77</v>
      </c>
    </row>
    <row r="568" spans="1:6" x14ac:dyDescent="0.25">
      <c r="A568" s="11">
        <v>2008</v>
      </c>
      <c r="B568" s="11" t="s">
        <v>227</v>
      </c>
      <c r="C568" s="18">
        <v>12.1</v>
      </c>
      <c r="D568" s="18">
        <v>10.199999999999999</v>
      </c>
      <c r="E568" s="18">
        <v>53</v>
      </c>
      <c r="F568" s="15">
        <v>1.57</v>
      </c>
    </row>
    <row r="569" spans="1:6" x14ac:dyDescent="0.25">
      <c r="A569" s="11">
        <v>2008</v>
      </c>
      <c r="B569" s="11" t="s">
        <v>228</v>
      </c>
      <c r="C569" s="18">
        <v>11.2</v>
      </c>
      <c r="D569" s="18">
        <v>12.6</v>
      </c>
      <c r="E569" s="18">
        <v>59</v>
      </c>
      <c r="F569" s="15">
        <v>1.95</v>
      </c>
    </row>
    <row r="570" spans="1:6" x14ac:dyDescent="0.25">
      <c r="A570" s="11">
        <v>2008</v>
      </c>
      <c r="B570" s="11" t="s">
        <v>229</v>
      </c>
      <c r="C570" s="18">
        <v>10.4</v>
      </c>
      <c r="D570" s="18">
        <v>12.3</v>
      </c>
      <c r="E570" s="18">
        <v>57.9</v>
      </c>
      <c r="F570" s="15">
        <v>1.91</v>
      </c>
    </row>
    <row r="571" spans="1:6" x14ac:dyDescent="0.25">
      <c r="A571" s="11">
        <v>2008</v>
      </c>
      <c r="B571" s="11" t="s">
        <v>230</v>
      </c>
      <c r="C571" s="18">
        <v>9</v>
      </c>
      <c r="D571" s="18">
        <v>12.1</v>
      </c>
      <c r="E571" s="18">
        <v>55.1</v>
      </c>
      <c r="F571" s="15">
        <v>1.89</v>
      </c>
    </row>
    <row r="572" spans="1:6" x14ac:dyDescent="0.25">
      <c r="A572" s="11">
        <v>2008</v>
      </c>
      <c r="B572" s="11" t="s">
        <v>231</v>
      </c>
      <c r="C572" s="18">
        <v>11.9</v>
      </c>
      <c r="D572" s="18">
        <v>9.1999999999999993</v>
      </c>
      <c r="E572" s="18">
        <v>49.5</v>
      </c>
      <c r="F572" s="15">
        <v>1.46</v>
      </c>
    </row>
    <row r="573" spans="1:6" x14ac:dyDescent="0.25">
      <c r="A573" s="11">
        <v>2008</v>
      </c>
      <c r="B573" s="11" t="s">
        <v>232</v>
      </c>
      <c r="C573" s="18">
        <v>12.6</v>
      </c>
      <c r="D573" s="18">
        <v>13.2</v>
      </c>
      <c r="E573" s="18">
        <v>63.1</v>
      </c>
      <c r="F573" s="15">
        <v>2.06</v>
      </c>
    </row>
    <row r="574" spans="1:6" x14ac:dyDescent="0.25">
      <c r="A574" s="11">
        <v>2008</v>
      </c>
      <c r="B574" s="11" t="s">
        <v>233</v>
      </c>
      <c r="C574" s="18">
        <v>9.5</v>
      </c>
      <c r="D574" s="18">
        <v>12</v>
      </c>
      <c r="E574" s="18">
        <v>55.3</v>
      </c>
      <c r="F574" s="15">
        <v>1.9</v>
      </c>
    </row>
    <row r="575" spans="1:6" x14ac:dyDescent="0.25">
      <c r="A575" s="11">
        <v>2008</v>
      </c>
      <c r="B575" s="11" t="s">
        <v>234</v>
      </c>
      <c r="C575" s="18">
        <v>12.5</v>
      </c>
      <c r="D575" s="18">
        <v>11.4</v>
      </c>
      <c r="E575" s="18">
        <v>56.7</v>
      </c>
      <c r="F575" s="15">
        <v>1.7</v>
      </c>
    </row>
    <row r="576" spans="1:6" x14ac:dyDescent="0.25">
      <c r="A576" s="11">
        <v>2008</v>
      </c>
      <c r="B576" s="11" t="s">
        <v>235</v>
      </c>
      <c r="C576" s="18">
        <v>11.3</v>
      </c>
      <c r="D576" s="18">
        <v>12.1</v>
      </c>
      <c r="E576" s="18">
        <v>56.7</v>
      </c>
      <c r="F576" s="15">
        <v>1.88</v>
      </c>
    </row>
    <row r="577" spans="1:6" x14ac:dyDescent="0.25">
      <c r="A577" s="11">
        <v>2008</v>
      </c>
      <c r="B577" s="11" t="s">
        <v>236</v>
      </c>
      <c r="C577" s="18">
        <v>9.1999999999999993</v>
      </c>
      <c r="D577" s="18">
        <v>11.6</v>
      </c>
      <c r="E577" s="18">
        <v>51.7</v>
      </c>
      <c r="F577" s="15">
        <v>1.81</v>
      </c>
    </row>
    <row r="578" spans="1:6" x14ac:dyDescent="0.25">
      <c r="A578" s="11">
        <v>2008</v>
      </c>
      <c r="B578" s="11" t="s">
        <v>237</v>
      </c>
      <c r="C578" s="18">
        <v>12.1</v>
      </c>
      <c r="D578" s="18">
        <v>13.8</v>
      </c>
      <c r="E578" s="18">
        <v>62.6</v>
      </c>
      <c r="F578" s="15">
        <v>2.1</v>
      </c>
    </row>
    <row r="579" spans="1:6" x14ac:dyDescent="0.25">
      <c r="A579" s="11">
        <v>2008</v>
      </c>
      <c r="B579" s="11" t="s">
        <v>238</v>
      </c>
      <c r="C579" s="18">
        <v>9.6999999999999993</v>
      </c>
      <c r="D579" s="18">
        <v>11.9</v>
      </c>
      <c r="E579" s="18">
        <v>52.6</v>
      </c>
      <c r="F579" s="15">
        <v>1.81</v>
      </c>
    </row>
    <row r="580" spans="1:6" x14ac:dyDescent="0.25">
      <c r="A580" s="11">
        <v>2008</v>
      </c>
      <c r="B580" s="11" t="s">
        <v>239</v>
      </c>
      <c r="C580" s="18">
        <v>12.7</v>
      </c>
      <c r="D580" s="18">
        <v>12.6</v>
      </c>
      <c r="E580" s="18">
        <v>62.1</v>
      </c>
      <c r="F580" s="15">
        <v>1.96</v>
      </c>
    </row>
    <row r="581" spans="1:6" x14ac:dyDescent="0.25">
      <c r="A581" s="11">
        <v>2008</v>
      </c>
      <c r="B581" s="11" t="s">
        <v>240</v>
      </c>
      <c r="C581" s="18">
        <v>12.1</v>
      </c>
      <c r="D581" s="18">
        <v>12.6</v>
      </c>
      <c r="E581" s="18">
        <v>60.9</v>
      </c>
      <c r="F581" s="15">
        <v>1.94</v>
      </c>
    </row>
    <row r="582" spans="1:6" x14ac:dyDescent="0.25">
      <c r="A582" s="11">
        <v>2008</v>
      </c>
      <c r="B582" s="11" t="s">
        <v>241</v>
      </c>
      <c r="C582" s="18">
        <v>12.8</v>
      </c>
      <c r="D582" s="18">
        <v>10.3</v>
      </c>
      <c r="E582" s="18">
        <v>53.4</v>
      </c>
      <c r="F582" s="15">
        <v>1.57</v>
      </c>
    </row>
    <row r="583" spans="1:6" x14ac:dyDescent="0.25">
      <c r="A583" s="11">
        <v>2008</v>
      </c>
      <c r="B583" s="11" t="s">
        <v>242</v>
      </c>
      <c r="C583" s="18">
        <v>10.9</v>
      </c>
      <c r="D583" s="18">
        <v>12.7</v>
      </c>
      <c r="E583" s="18">
        <v>60</v>
      </c>
      <c r="F583" s="15">
        <v>1.98</v>
      </c>
    </row>
    <row r="584" spans="1:6" x14ac:dyDescent="0.25">
      <c r="A584" s="11">
        <v>2008</v>
      </c>
      <c r="B584" s="11" t="s">
        <v>243</v>
      </c>
      <c r="C584" s="18">
        <v>10.5</v>
      </c>
      <c r="D584" s="18">
        <v>11.4</v>
      </c>
      <c r="E584" s="18">
        <v>53.7</v>
      </c>
      <c r="F584" s="15">
        <v>1.76</v>
      </c>
    </row>
    <row r="585" spans="1:6" x14ac:dyDescent="0.25">
      <c r="A585" s="11">
        <v>2008</v>
      </c>
      <c r="B585" s="11" t="s">
        <v>244</v>
      </c>
      <c r="C585" s="18">
        <v>11.5</v>
      </c>
      <c r="D585" s="18">
        <v>12.5</v>
      </c>
      <c r="E585" s="18">
        <v>59.1</v>
      </c>
      <c r="F585" s="15">
        <v>1.93</v>
      </c>
    </row>
    <row r="586" spans="1:6" x14ac:dyDescent="0.25">
      <c r="A586" s="11">
        <v>2008</v>
      </c>
      <c r="B586" s="11" t="s">
        <v>245</v>
      </c>
      <c r="C586" s="18">
        <v>10.3</v>
      </c>
      <c r="D586" s="18">
        <v>11.7</v>
      </c>
      <c r="E586" s="18">
        <v>55.7</v>
      </c>
      <c r="F586" s="15">
        <v>1.82</v>
      </c>
    </row>
    <row r="587" spans="1:6" x14ac:dyDescent="0.25">
      <c r="A587" s="11">
        <v>2008</v>
      </c>
      <c r="B587" s="11" t="s">
        <v>282</v>
      </c>
      <c r="C587" s="18">
        <v>9.4</v>
      </c>
      <c r="D587" s="18">
        <v>12.3</v>
      </c>
      <c r="E587" s="18">
        <v>57.2</v>
      </c>
      <c r="F587" s="15">
        <v>1.83</v>
      </c>
    </row>
    <row r="588" spans="1:6" x14ac:dyDescent="0.25">
      <c r="A588" s="11">
        <v>2008</v>
      </c>
      <c r="B588" s="11" t="s">
        <v>247</v>
      </c>
      <c r="C588" s="18">
        <v>10.7</v>
      </c>
      <c r="D588" s="18">
        <v>11.7</v>
      </c>
      <c r="E588" s="18">
        <v>55.7</v>
      </c>
      <c r="F588" s="15">
        <v>1.82</v>
      </c>
    </row>
    <row r="589" spans="1:6" x14ac:dyDescent="0.25">
      <c r="A589" s="11">
        <v>2008</v>
      </c>
      <c r="B589" s="11" t="s">
        <v>248</v>
      </c>
      <c r="C589" s="18">
        <v>12.5</v>
      </c>
      <c r="D589" s="18">
        <v>12.2</v>
      </c>
      <c r="E589" s="18">
        <v>59.5</v>
      </c>
      <c r="F589" s="15">
        <v>1.87</v>
      </c>
    </row>
    <row r="590" spans="1:6" x14ac:dyDescent="0.25">
      <c r="A590" s="11">
        <v>2008</v>
      </c>
      <c r="B590" s="11" t="s">
        <v>249</v>
      </c>
      <c r="C590" s="18">
        <v>10.3</v>
      </c>
      <c r="D590" s="18">
        <v>12.8</v>
      </c>
      <c r="E590" s="18">
        <v>58.2</v>
      </c>
      <c r="F590" s="15">
        <v>2.0099999999999998</v>
      </c>
    </row>
    <row r="591" spans="1:6" x14ac:dyDescent="0.25">
      <c r="A591" s="11">
        <v>2008</v>
      </c>
      <c r="B591" s="11" t="s">
        <v>250</v>
      </c>
      <c r="C591" s="18">
        <v>10.1</v>
      </c>
      <c r="D591" s="18">
        <v>12.1</v>
      </c>
      <c r="E591" s="18">
        <v>56.4</v>
      </c>
      <c r="F591" s="15">
        <v>1.87</v>
      </c>
    </row>
    <row r="592" spans="1:6" x14ac:dyDescent="0.25">
      <c r="A592" s="11">
        <v>2008</v>
      </c>
      <c r="B592" s="11" t="s">
        <v>251</v>
      </c>
      <c r="C592" s="18">
        <v>11.7</v>
      </c>
      <c r="D592" s="18">
        <v>12</v>
      </c>
      <c r="E592" s="18">
        <v>57.4</v>
      </c>
      <c r="F592" s="15">
        <v>1.85</v>
      </c>
    </row>
    <row r="593" spans="1:6" x14ac:dyDescent="0.25">
      <c r="A593" s="11">
        <v>2008</v>
      </c>
      <c r="B593" s="11" t="s">
        <v>252</v>
      </c>
      <c r="C593" s="18">
        <v>10</v>
      </c>
      <c r="D593" s="18">
        <v>12.6</v>
      </c>
      <c r="E593" s="18">
        <v>57.4</v>
      </c>
      <c r="F593" s="15">
        <v>1.96</v>
      </c>
    </row>
    <row r="594" spans="1:6" x14ac:dyDescent="0.25">
      <c r="A594" s="11">
        <v>2008</v>
      </c>
      <c r="B594" s="11" t="s">
        <v>253</v>
      </c>
      <c r="C594" s="18">
        <v>12.4</v>
      </c>
      <c r="D594" s="18">
        <v>14</v>
      </c>
      <c r="E594" s="18">
        <v>67.2</v>
      </c>
      <c r="F594" s="15">
        <v>2.1800000000000002</v>
      </c>
    </row>
    <row r="595" spans="1:6" x14ac:dyDescent="0.25">
      <c r="A595" s="11">
        <v>2008</v>
      </c>
      <c r="B595" s="11" t="s">
        <v>254</v>
      </c>
      <c r="C595" s="18">
        <v>9.5</v>
      </c>
      <c r="D595" s="18">
        <v>11.4</v>
      </c>
      <c r="E595" s="18">
        <v>53.2</v>
      </c>
      <c r="F595" s="15">
        <v>1.75</v>
      </c>
    </row>
    <row r="596" spans="1:6" x14ac:dyDescent="0.25">
      <c r="A596" s="11">
        <v>2008</v>
      </c>
      <c r="B596" s="11" t="s">
        <v>255</v>
      </c>
      <c r="C596" s="18">
        <v>11.8</v>
      </c>
      <c r="D596" s="18">
        <v>12.3</v>
      </c>
      <c r="E596" s="18">
        <v>59.2</v>
      </c>
      <c r="F596" s="15">
        <v>1.89</v>
      </c>
    </row>
    <row r="597" spans="1:6" x14ac:dyDescent="0.25">
      <c r="A597" s="11">
        <v>2008</v>
      </c>
      <c r="B597" s="11" t="s">
        <v>256</v>
      </c>
      <c r="C597" s="18">
        <v>9.6999999999999993</v>
      </c>
      <c r="D597" s="18">
        <v>10.1</v>
      </c>
      <c r="E597" s="18">
        <v>47.2</v>
      </c>
      <c r="F597" s="15">
        <v>1.57</v>
      </c>
    </row>
    <row r="598" spans="1:6" x14ac:dyDescent="0.25">
      <c r="A598" s="11">
        <v>2008</v>
      </c>
      <c r="B598" s="11" t="s">
        <v>257</v>
      </c>
      <c r="C598" s="18">
        <v>12.1</v>
      </c>
      <c r="D598" s="18">
        <v>12.1</v>
      </c>
      <c r="E598" s="18">
        <v>58.5</v>
      </c>
      <c r="F598" s="15">
        <v>1.87</v>
      </c>
    </row>
    <row r="599" spans="1:6" x14ac:dyDescent="0.25">
      <c r="A599" s="11">
        <v>2008</v>
      </c>
      <c r="B599" s="11" t="s">
        <v>258</v>
      </c>
      <c r="C599" s="18">
        <v>13.6</v>
      </c>
      <c r="D599" s="18">
        <v>13.2</v>
      </c>
      <c r="E599" s="18">
        <v>63.6</v>
      </c>
      <c r="F599" s="15">
        <v>2.04</v>
      </c>
    </row>
    <row r="600" spans="1:6" x14ac:dyDescent="0.25">
      <c r="A600" s="11">
        <v>2009</v>
      </c>
      <c r="B600" s="11" t="s">
        <v>11</v>
      </c>
      <c r="C600" s="18">
        <v>11.3</v>
      </c>
      <c r="D600" s="18">
        <v>11.3</v>
      </c>
      <c r="E600" s="18">
        <v>55.6</v>
      </c>
      <c r="F600" s="15">
        <v>1.73</v>
      </c>
    </row>
    <row r="601" spans="1:6" x14ac:dyDescent="0.25">
      <c r="A601" s="11">
        <v>2009</v>
      </c>
      <c r="B601" s="11" t="s">
        <v>227</v>
      </c>
      <c r="C601" s="18">
        <v>11.8</v>
      </c>
      <c r="D601" s="18">
        <v>9.6999999999999993</v>
      </c>
      <c r="E601" s="18">
        <v>51.5</v>
      </c>
      <c r="F601" s="15">
        <v>1.52</v>
      </c>
    </row>
    <row r="602" spans="1:6" x14ac:dyDescent="0.25">
      <c r="A602" s="11">
        <v>2009</v>
      </c>
      <c r="B602" s="11" t="s">
        <v>228</v>
      </c>
      <c r="C602" s="18">
        <v>11.7</v>
      </c>
      <c r="D602" s="18">
        <v>13.2</v>
      </c>
      <c r="E602" s="18">
        <v>61.9</v>
      </c>
      <c r="F602" s="15">
        <v>2.04</v>
      </c>
    </row>
    <row r="603" spans="1:6" x14ac:dyDescent="0.25">
      <c r="A603" s="11">
        <v>2009</v>
      </c>
      <c r="B603" s="11" t="s">
        <v>229</v>
      </c>
      <c r="C603" s="18">
        <v>10.1</v>
      </c>
      <c r="D603" s="18">
        <v>12</v>
      </c>
      <c r="E603" s="18">
        <v>56.9</v>
      </c>
      <c r="F603" s="15">
        <v>1.88</v>
      </c>
    </row>
    <row r="604" spans="1:6" x14ac:dyDescent="0.25">
      <c r="A604" s="11">
        <v>2009</v>
      </c>
      <c r="B604" s="11" t="s">
        <v>230</v>
      </c>
      <c r="C604" s="18">
        <v>9.1</v>
      </c>
      <c r="D604" s="18">
        <v>12.4</v>
      </c>
      <c r="E604" s="18">
        <v>56.7</v>
      </c>
      <c r="F604" s="15">
        <v>1.94</v>
      </c>
    </row>
    <row r="605" spans="1:6" x14ac:dyDescent="0.25">
      <c r="A605" s="11">
        <v>2009</v>
      </c>
      <c r="B605" s="11" t="s">
        <v>231</v>
      </c>
      <c r="C605" s="18">
        <v>11.8</v>
      </c>
      <c r="D605" s="18">
        <v>9.1999999999999993</v>
      </c>
      <c r="E605" s="18">
        <v>49.6</v>
      </c>
      <c r="F605" s="15">
        <v>1.45</v>
      </c>
    </row>
    <row r="606" spans="1:6" x14ac:dyDescent="0.25">
      <c r="A606" s="11">
        <v>2009</v>
      </c>
      <c r="B606" s="11" t="s">
        <v>232</v>
      </c>
      <c r="C606" s="18">
        <v>11.9</v>
      </c>
      <c r="D606" s="18">
        <v>12.6</v>
      </c>
      <c r="E606" s="18">
        <v>60.4</v>
      </c>
      <c r="F606" s="15">
        <v>1.96</v>
      </c>
    </row>
    <row r="607" spans="1:6" x14ac:dyDescent="0.25">
      <c r="A607" s="11">
        <v>2009</v>
      </c>
      <c r="B607" s="11" t="s">
        <v>233</v>
      </c>
      <c r="C607" s="18">
        <v>10</v>
      </c>
      <c r="D607" s="18">
        <v>12.7</v>
      </c>
      <c r="E607" s="18">
        <v>58.8</v>
      </c>
      <c r="F607" s="15">
        <v>1.98</v>
      </c>
    </row>
    <row r="608" spans="1:6" x14ac:dyDescent="0.25">
      <c r="A608" s="11">
        <v>2009</v>
      </c>
      <c r="B608" s="11" t="s">
        <v>234</v>
      </c>
      <c r="C608" s="18">
        <v>12.2</v>
      </c>
      <c r="D608" s="18">
        <v>10.9</v>
      </c>
      <c r="E608" s="18">
        <v>55.3</v>
      </c>
      <c r="F608" s="15">
        <v>1.64</v>
      </c>
    </row>
    <row r="609" spans="1:6" x14ac:dyDescent="0.25">
      <c r="A609" s="11">
        <v>2009</v>
      </c>
      <c r="B609" s="11" t="s">
        <v>235</v>
      </c>
      <c r="C609" s="18">
        <v>11.2</v>
      </c>
      <c r="D609" s="18">
        <v>11.9</v>
      </c>
      <c r="E609" s="18">
        <v>56.4</v>
      </c>
      <c r="F609" s="15">
        <v>1.85</v>
      </c>
    </row>
    <row r="610" spans="1:6" x14ac:dyDescent="0.25">
      <c r="A610" s="11">
        <v>2009</v>
      </c>
      <c r="B610" s="11" t="s">
        <v>236</v>
      </c>
      <c r="C610" s="18">
        <v>8.9</v>
      </c>
      <c r="D610" s="18">
        <v>11.3</v>
      </c>
      <c r="E610" s="18">
        <v>50.4</v>
      </c>
      <c r="F610" s="15">
        <v>1.76</v>
      </c>
    </row>
    <row r="611" spans="1:6" x14ac:dyDescent="0.25">
      <c r="A611" s="11">
        <v>2009</v>
      </c>
      <c r="B611" s="11" t="s">
        <v>237</v>
      </c>
      <c r="C611" s="18">
        <v>10.8</v>
      </c>
      <c r="D611" s="18">
        <v>12.3</v>
      </c>
      <c r="E611" s="18">
        <v>56.4</v>
      </c>
      <c r="F611" s="15">
        <v>1.89</v>
      </c>
    </row>
    <row r="612" spans="1:6" x14ac:dyDescent="0.25">
      <c r="A612" s="11">
        <v>2009</v>
      </c>
      <c r="B612" s="11" t="s">
        <v>238</v>
      </c>
      <c r="C612" s="18">
        <v>9.4</v>
      </c>
      <c r="D612" s="18">
        <v>11.7</v>
      </c>
      <c r="E612" s="18">
        <v>52.3</v>
      </c>
      <c r="F612" s="15">
        <v>1.82</v>
      </c>
    </row>
    <row r="613" spans="1:6" x14ac:dyDescent="0.25">
      <c r="A613" s="11">
        <v>2009</v>
      </c>
      <c r="B613" s="11" t="s">
        <v>239</v>
      </c>
      <c r="C613" s="18">
        <v>12.2</v>
      </c>
      <c r="D613" s="18">
        <v>12.3</v>
      </c>
      <c r="E613" s="18">
        <v>60.3</v>
      </c>
      <c r="F613" s="15">
        <v>1.9</v>
      </c>
    </row>
    <row r="614" spans="1:6" x14ac:dyDescent="0.25">
      <c r="A614" s="11">
        <v>2009</v>
      </c>
      <c r="B614" s="11" t="s">
        <v>240</v>
      </c>
      <c r="C614" s="18">
        <v>11.4</v>
      </c>
      <c r="D614" s="18">
        <v>12</v>
      </c>
      <c r="E614" s="18">
        <v>58.2</v>
      </c>
      <c r="F614" s="15">
        <v>1.85</v>
      </c>
    </row>
    <row r="615" spans="1:6" x14ac:dyDescent="0.25">
      <c r="A615" s="11">
        <v>2009</v>
      </c>
      <c r="B615" s="11" t="s">
        <v>241</v>
      </c>
      <c r="C615" s="18">
        <v>12.9</v>
      </c>
      <c r="D615" s="18">
        <v>10.3</v>
      </c>
      <c r="E615" s="18">
        <v>54.2</v>
      </c>
      <c r="F615" s="15">
        <v>1.58</v>
      </c>
    </row>
    <row r="616" spans="1:6" x14ac:dyDescent="0.25">
      <c r="A616" s="11">
        <v>2009</v>
      </c>
      <c r="B616" s="11" t="s">
        <v>242</v>
      </c>
      <c r="C616" s="18">
        <v>10.4</v>
      </c>
      <c r="D616" s="18">
        <v>12.1</v>
      </c>
      <c r="E616" s="18">
        <v>57.5</v>
      </c>
      <c r="F616" s="15">
        <v>1.88</v>
      </c>
    </row>
    <row r="617" spans="1:6" x14ac:dyDescent="0.25">
      <c r="A617" s="11">
        <v>2009</v>
      </c>
      <c r="B617" s="11" t="s">
        <v>243</v>
      </c>
      <c r="C617" s="18">
        <v>10</v>
      </c>
      <c r="D617" s="18">
        <v>10.9</v>
      </c>
      <c r="E617" s="18">
        <v>51.6</v>
      </c>
      <c r="F617" s="15">
        <v>1.68</v>
      </c>
    </row>
    <row r="618" spans="1:6" x14ac:dyDescent="0.25">
      <c r="A618" s="11">
        <v>2009</v>
      </c>
      <c r="B618" s="11" t="s">
        <v>244</v>
      </c>
      <c r="C618" s="18">
        <v>11.6</v>
      </c>
      <c r="D618" s="18">
        <v>12.5</v>
      </c>
      <c r="E618" s="18">
        <v>59.8</v>
      </c>
      <c r="F618" s="15">
        <v>1.94</v>
      </c>
    </row>
    <row r="619" spans="1:6" x14ac:dyDescent="0.25">
      <c r="A619" s="11">
        <v>2009</v>
      </c>
      <c r="B619" s="11" t="s">
        <v>245</v>
      </c>
      <c r="C619" s="18">
        <v>10.4</v>
      </c>
      <c r="D619" s="18">
        <v>11.8</v>
      </c>
      <c r="E619" s="18">
        <v>56.1</v>
      </c>
      <c r="F619" s="15">
        <v>1.85</v>
      </c>
    </row>
    <row r="620" spans="1:6" x14ac:dyDescent="0.25">
      <c r="A620" s="11">
        <v>2009</v>
      </c>
      <c r="B620" s="11" t="s">
        <v>282</v>
      </c>
      <c r="C620" s="18">
        <v>8.3000000000000007</v>
      </c>
      <c r="D620" s="18">
        <v>10.8</v>
      </c>
      <c r="E620" s="18">
        <v>50.6</v>
      </c>
      <c r="F620" s="15">
        <v>1.67</v>
      </c>
    </row>
    <row r="621" spans="1:6" x14ac:dyDescent="0.25">
      <c r="A621" s="11">
        <v>2009</v>
      </c>
      <c r="B621" s="11" t="s">
        <v>247</v>
      </c>
      <c r="C621" s="18">
        <v>10.9</v>
      </c>
      <c r="D621" s="18">
        <v>12</v>
      </c>
      <c r="E621" s="18">
        <v>57.1</v>
      </c>
      <c r="F621" s="15">
        <v>1.86</v>
      </c>
    </row>
    <row r="622" spans="1:6" x14ac:dyDescent="0.25">
      <c r="A622" s="11">
        <v>2009</v>
      </c>
      <c r="B622" s="11" t="s">
        <v>248</v>
      </c>
      <c r="C622" s="18">
        <v>12.1</v>
      </c>
      <c r="D622" s="18">
        <v>11.8</v>
      </c>
      <c r="E622" s="18">
        <v>58.2</v>
      </c>
      <c r="F622" s="15">
        <v>1.82</v>
      </c>
    </row>
    <row r="623" spans="1:6" x14ac:dyDescent="0.25">
      <c r="A623" s="11">
        <v>2009</v>
      </c>
      <c r="B623" s="11" t="s">
        <v>249</v>
      </c>
      <c r="C623" s="18">
        <v>9.5</v>
      </c>
      <c r="D623" s="18">
        <v>11.6</v>
      </c>
      <c r="E623" s="18">
        <v>53.5</v>
      </c>
      <c r="F623" s="15">
        <v>1.81</v>
      </c>
    </row>
    <row r="624" spans="1:6" x14ac:dyDescent="0.25">
      <c r="A624" s="11">
        <v>2009</v>
      </c>
      <c r="B624" s="11" t="s">
        <v>250</v>
      </c>
      <c r="C624" s="18">
        <v>9.9</v>
      </c>
      <c r="D624" s="18">
        <v>11.8</v>
      </c>
      <c r="E624" s="18">
        <v>55.6</v>
      </c>
      <c r="F624" s="15">
        <v>1.84</v>
      </c>
    </row>
    <row r="625" spans="1:6" x14ac:dyDescent="0.25">
      <c r="A625" s="11">
        <v>2009</v>
      </c>
      <c r="B625" s="11" t="s">
        <v>251</v>
      </c>
      <c r="C625" s="18">
        <v>10.8</v>
      </c>
      <c r="D625" s="18">
        <v>11.2</v>
      </c>
      <c r="E625" s="18">
        <v>53.9</v>
      </c>
      <c r="F625" s="15">
        <v>1.74</v>
      </c>
    </row>
    <row r="626" spans="1:6" x14ac:dyDescent="0.25">
      <c r="A626" s="11">
        <v>2009</v>
      </c>
      <c r="B626" s="11" t="s">
        <v>252</v>
      </c>
      <c r="C626" s="18">
        <v>10.199999999999999</v>
      </c>
      <c r="D626" s="18">
        <v>13</v>
      </c>
      <c r="E626" s="18">
        <v>59.2</v>
      </c>
      <c r="F626" s="15">
        <v>2.02</v>
      </c>
    </row>
    <row r="627" spans="1:6" x14ac:dyDescent="0.25">
      <c r="A627" s="11">
        <v>2009</v>
      </c>
      <c r="B627" s="11" t="s">
        <v>253</v>
      </c>
      <c r="C627" s="18">
        <v>12</v>
      </c>
      <c r="D627" s="18">
        <v>13.7</v>
      </c>
      <c r="E627" s="18">
        <v>65.900000000000006</v>
      </c>
      <c r="F627" s="15">
        <v>2.13</v>
      </c>
    </row>
    <row r="628" spans="1:6" x14ac:dyDescent="0.25">
      <c r="A628" s="11">
        <v>2009</v>
      </c>
      <c r="B628" s="11" t="s">
        <v>254</v>
      </c>
      <c r="C628" s="18">
        <v>9.4</v>
      </c>
      <c r="D628" s="18">
        <v>11.3</v>
      </c>
      <c r="E628" s="18">
        <v>53.2</v>
      </c>
      <c r="F628" s="15">
        <v>1.75</v>
      </c>
    </row>
    <row r="629" spans="1:6" x14ac:dyDescent="0.25">
      <c r="A629" s="11">
        <v>2009</v>
      </c>
      <c r="B629" s="11" t="s">
        <v>255</v>
      </c>
      <c r="C629" s="18">
        <v>11.1</v>
      </c>
      <c r="D629" s="18">
        <v>11.6</v>
      </c>
      <c r="E629" s="18">
        <v>56.3</v>
      </c>
      <c r="F629" s="15">
        <v>1.79</v>
      </c>
    </row>
    <row r="630" spans="1:6" x14ac:dyDescent="0.25">
      <c r="A630" s="11">
        <v>2009</v>
      </c>
      <c r="B630" s="11" t="s">
        <v>256</v>
      </c>
      <c r="C630" s="18">
        <v>9.6999999999999993</v>
      </c>
      <c r="D630" s="18">
        <v>10.199999999999999</v>
      </c>
      <c r="E630" s="18">
        <v>47.7</v>
      </c>
      <c r="F630" s="15">
        <v>1.58</v>
      </c>
    </row>
    <row r="631" spans="1:6" x14ac:dyDescent="0.25">
      <c r="A631" s="11">
        <v>2009</v>
      </c>
      <c r="B631" s="11" t="s">
        <v>257</v>
      </c>
      <c r="C631" s="18">
        <v>11.9</v>
      </c>
      <c r="D631" s="18">
        <v>12</v>
      </c>
      <c r="E631" s="18">
        <v>58.2</v>
      </c>
      <c r="F631" s="15">
        <v>1.84</v>
      </c>
    </row>
    <row r="632" spans="1:6" x14ac:dyDescent="0.25">
      <c r="A632" s="11">
        <v>2009</v>
      </c>
      <c r="B632" s="11" t="s">
        <v>258</v>
      </c>
      <c r="C632" s="18">
        <v>12.9</v>
      </c>
      <c r="D632" s="18">
        <v>12.7</v>
      </c>
      <c r="E632" s="18">
        <v>61.4</v>
      </c>
      <c r="F632" s="15">
        <v>1.97</v>
      </c>
    </row>
    <row r="633" spans="1:6" x14ac:dyDescent="0.25">
      <c r="A633" s="11">
        <v>2010</v>
      </c>
      <c r="B633" s="11" t="s">
        <v>11</v>
      </c>
      <c r="C633" s="18">
        <v>11.2</v>
      </c>
      <c r="D633" s="18">
        <v>11.2</v>
      </c>
      <c r="E633" s="18">
        <v>55.6</v>
      </c>
      <c r="F633" s="15">
        <v>1.72</v>
      </c>
    </row>
    <row r="634" spans="1:6" x14ac:dyDescent="0.25">
      <c r="A634" s="11">
        <v>2010</v>
      </c>
      <c r="B634" s="11" t="s">
        <v>227</v>
      </c>
      <c r="C634" s="18">
        <v>11.8</v>
      </c>
      <c r="D634" s="18">
        <v>9.6</v>
      </c>
      <c r="E634" s="18">
        <v>51.3</v>
      </c>
      <c r="F634" s="15">
        <v>1.5</v>
      </c>
    </row>
    <row r="635" spans="1:6" x14ac:dyDescent="0.25">
      <c r="A635" s="11">
        <v>2010</v>
      </c>
      <c r="B635" s="11" t="s">
        <v>228</v>
      </c>
      <c r="C635" s="18">
        <v>10.8</v>
      </c>
      <c r="D635" s="18">
        <v>12.2</v>
      </c>
      <c r="E635" s="18">
        <v>58</v>
      </c>
      <c r="F635" s="15">
        <v>1.89</v>
      </c>
    </row>
    <row r="636" spans="1:6" x14ac:dyDescent="0.25">
      <c r="A636" s="11">
        <v>2010</v>
      </c>
      <c r="B636" s="11" t="s">
        <v>229</v>
      </c>
      <c r="C636" s="18">
        <v>9.5</v>
      </c>
      <c r="D636" s="18">
        <v>11.2</v>
      </c>
      <c r="E636" s="18">
        <v>53.7</v>
      </c>
      <c r="F636" s="15">
        <v>1.75</v>
      </c>
    </row>
    <row r="637" spans="1:6" x14ac:dyDescent="0.25">
      <c r="A637" s="11">
        <v>2010</v>
      </c>
      <c r="B637" s="11" t="s">
        <v>230</v>
      </c>
      <c r="C637" s="18">
        <v>8.6</v>
      </c>
      <c r="D637" s="18">
        <v>11.7</v>
      </c>
      <c r="E637" s="18">
        <v>54.1</v>
      </c>
      <c r="F637" s="15">
        <v>1.83</v>
      </c>
    </row>
    <row r="638" spans="1:6" x14ac:dyDescent="0.25">
      <c r="A638" s="11">
        <v>2010</v>
      </c>
      <c r="B638" s="11" t="s">
        <v>231</v>
      </c>
      <c r="C638" s="18">
        <v>11.8</v>
      </c>
      <c r="D638" s="18">
        <v>9.1</v>
      </c>
      <c r="E638" s="18">
        <v>49.6</v>
      </c>
      <c r="F638" s="15">
        <v>1.46</v>
      </c>
    </row>
    <row r="639" spans="1:6" x14ac:dyDescent="0.25">
      <c r="A639" s="11">
        <v>2010</v>
      </c>
      <c r="B639" s="11" t="s">
        <v>232</v>
      </c>
      <c r="C639" s="18">
        <v>12.1</v>
      </c>
      <c r="D639" s="18">
        <v>13</v>
      </c>
      <c r="E639" s="18">
        <v>62.5</v>
      </c>
      <c r="F639" s="15">
        <v>2.04</v>
      </c>
    </row>
    <row r="640" spans="1:6" x14ac:dyDescent="0.25">
      <c r="A640" s="11">
        <v>2010</v>
      </c>
      <c r="B640" s="11" t="s">
        <v>233</v>
      </c>
      <c r="C640" s="18">
        <v>9.6</v>
      </c>
      <c r="D640" s="18">
        <v>12.2</v>
      </c>
      <c r="E640" s="18">
        <v>57.1</v>
      </c>
      <c r="F640" s="15">
        <v>1.91</v>
      </c>
    </row>
    <row r="641" spans="1:6" x14ac:dyDescent="0.25">
      <c r="A641" s="11">
        <v>2010</v>
      </c>
      <c r="B641" s="11" t="s">
        <v>234</v>
      </c>
      <c r="C641" s="18">
        <v>11.9</v>
      </c>
      <c r="D641" s="18">
        <v>10.6</v>
      </c>
      <c r="E641" s="18">
        <v>54.4</v>
      </c>
      <c r="F641" s="15">
        <v>1.61</v>
      </c>
    </row>
    <row r="642" spans="1:6" x14ac:dyDescent="0.25">
      <c r="A642" s="11">
        <v>2010</v>
      </c>
      <c r="B642" s="11" t="s">
        <v>235</v>
      </c>
      <c r="C642" s="18">
        <v>10.9</v>
      </c>
      <c r="D642" s="18">
        <v>11.7</v>
      </c>
      <c r="E642" s="18">
        <v>56</v>
      </c>
      <c r="F642" s="15">
        <v>1.82</v>
      </c>
    </row>
    <row r="643" spans="1:6" x14ac:dyDescent="0.25">
      <c r="A643" s="11">
        <v>2010</v>
      </c>
      <c r="B643" s="11" t="s">
        <v>236</v>
      </c>
      <c r="C643" s="18">
        <v>8.8000000000000007</v>
      </c>
      <c r="D643" s="18">
        <v>11.4</v>
      </c>
      <c r="E643" s="18">
        <v>50.9</v>
      </c>
      <c r="F643" s="15">
        <v>1.77</v>
      </c>
    </row>
    <row r="644" spans="1:6" x14ac:dyDescent="0.25">
      <c r="A644" s="11">
        <v>2010</v>
      </c>
      <c r="B644" s="11" t="s">
        <v>237</v>
      </c>
      <c r="C644" s="18">
        <v>11.3</v>
      </c>
      <c r="D644" s="18">
        <v>13</v>
      </c>
      <c r="E644" s="18">
        <v>60</v>
      </c>
      <c r="F644" s="15">
        <v>2.0099999999999998</v>
      </c>
    </row>
    <row r="645" spans="1:6" x14ac:dyDescent="0.25">
      <c r="A645" s="11">
        <v>2010</v>
      </c>
      <c r="B645" s="11" t="s">
        <v>238</v>
      </c>
      <c r="C645" s="18">
        <v>9.6</v>
      </c>
      <c r="D645" s="18">
        <v>12.1</v>
      </c>
      <c r="E645" s="18">
        <v>54</v>
      </c>
      <c r="F645" s="15">
        <v>1.88</v>
      </c>
    </row>
    <row r="646" spans="1:6" x14ac:dyDescent="0.25">
      <c r="A646" s="11">
        <v>2010</v>
      </c>
      <c r="B646" s="11" t="s">
        <v>239</v>
      </c>
      <c r="C646" s="18">
        <v>12.1</v>
      </c>
      <c r="D646" s="18">
        <v>12.3</v>
      </c>
      <c r="E646" s="18">
        <v>60.7</v>
      </c>
      <c r="F646" s="15">
        <v>1.91</v>
      </c>
    </row>
    <row r="647" spans="1:6" x14ac:dyDescent="0.25">
      <c r="A647" s="11">
        <v>2010</v>
      </c>
      <c r="B647" s="11" t="s">
        <v>240</v>
      </c>
      <c r="C647" s="18">
        <v>11.5</v>
      </c>
      <c r="D647" s="18">
        <v>12.1</v>
      </c>
      <c r="E647" s="18">
        <v>59</v>
      </c>
      <c r="F647" s="15">
        <v>1.87</v>
      </c>
    </row>
    <row r="648" spans="1:6" x14ac:dyDescent="0.25">
      <c r="A648" s="11">
        <v>2010</v>
      </c>
      <c r="B648" s="11" t="s">
        <v>241</v>
      </c>
      <c r="C648" s="18">
        <v>12.9</v>
      </c>
      <c r="D648" s="18">
        <v>10.199999999999999</v>
      </c>
      <c r="E648" s="18">
        <v>54.3</v>
      </c>
      <c r="F648" s="15">
        <v>1.57</v>
      </c>
    </row>
    <row r="649" spans="1:6" x14ac:dyDescent="0.25">
      <c r="A649" s="11">
        <v>2010</v>
      </c>
      <c r="B649" s="11" t="s">
        <v>242</v>
      </c>
      <c r="C649" s="18">
        <v>10.7</v>
      </c>
      <c r="D649" s="18">
        <v>12.4</v>
      </c>
      <c r="E649" s="18">
        <v>60</v>
      </c>
      <c r="F649" s="15">
        <v>1.93</v>
      </c>
    </row>
    <row r="650" spans="1:6" x14ac:dyDescent="0.25">
      <c r="A650" s="11">
        <v>2010</v>
      </c>
      <c r="B650" s="11" t="s">
        <v>243</v>
      </c>
      <c r="C650" s="18">
        <v>9.6999999999999993</v>
      </c>
      <c r="D650" s="18">
        <v>10.7</v>
      </c>
      <c r="E650" s="18">
        <v>50.9</v>
      </c>
      <c r="F650" s="15">
        <v>1.65</v>
      </c>
    </row>
    <row r="651" spans="1:6" x14ac:dyDescent="0.25">
      <c r="A651" s="11">
        <v>2010</v>
      </c>
      <c r="B651" s="11" t="s">
        <v>244</v>
      </c>
      <c r="C651" s="18">
        <v>12.1</v>
      </c>
      <c r="D651" s="18">
        <v>13.2</v>
      </c>
      <c r="E651" s="18">
        <v>63.2</v>
      </c>
      <c r="F651" s="15">
        <v>2.0499999999999998</v>
      </c>
    </row>
    <row r="652" spans="1:6" x14ac:dyDescent="0.25">
      <c r="A652" s="11">
        <v>2010</v>
      </c>
      <c r="B652" s="11" t="s">
        <v>245</v>
      </c>
      <c r="C652" s="18">
        <v>9.9</v>
      </c>
      <c r="D652" s="18">
        <v>11.3</v>
      </c>
      <c r="E652" s="18">
        <v>54.4</v>
      </c>
      <c r="F652" s="15">
        <v>1.78</v>
      </c>
    </row>
    <row r="653" spans="1:6" x14ac:dyDescent="0.25">
      <c r="A653" s="11">
        <v>2010</v>
      </c>
      <c r="B653" s="11" t="s">
        <v>282</v>
      </c>
      <c r="C653" s="18">
        <v>8.5</v>
      </c>
      <c r="D653" s="18">
        <v>11.2</v>
      </c>
      <c r="E653" s="18">
        <v>52.4</v>
      </c>
      <c r="F653" s="15">
        <v>1.68</v>
      </c>
    </row>
    <row r="654" spans="1:6" x14ac:dyDescent="0.25">
      <c r="A654" s="11">
        <v>2010</v>
      </c>
      <c r="B654" s="11" t="s">
        <v>247</v>
      </c>
      <c r="C654" s="18">
        <v>10.5</v>
      </c>
      <c r="D654" s="18">
        <v>11.7</v>
      </c>
      <c r="E654" s="18">
        <v>56</v>
      </c>
      <c r="F654" s="15">
        <v>1.82</v>
      </c>
    </row>
    <row r="655" spans="1:6" x14ac:dyDescent="0.25">
      <c r="A655" s="11">
        <v>2010</v>
      </c>
      <c r="B655" s="11" t="s">
        <v>248</v>
      </c>
      <c r="C655" s="18">
        <v>11.7</v>
      </c>
      <c r="D655" s="18">
        <v>11.4</v>
      </c>
      <c r="E655" s="18">
        <v>56.9</v>
      </c>
      <c r="F655" s="15">
        <v>1.77</v>
      </c>
    </row>
    <row r="656" spans="1:6" x14ac:dyDescent="0.25">
      <c r="A656" s="11">
        <v>2010</v>
      </c>
      <c r="B656" s="11" t="s">
        <v>249</v>
      </c>
      <c r="C656" s="18">
        <v>9.3000000000000007</v>
      </c>
      <c r="D656" s="18">
        <v>11.2</v>
      </c>
      <c r="E656" s="18">
        <v>52.3</v>
      </c>
      <c r="F656" s="15">
        <v>1.77</v>
      </c>
    </row>
    <row r="657" spans="1:6" x14ac:dyDescent="0.25">
      <c r="A657" s="11">
        <v>2010</v>
      </c>
      <c r="B657" s="11" t="s">
        <v>250</v>
      </c>
      <c r="C657" s="18">
        <v>10.1</v>
      </c>
      <c r="D657" s="18">
        <v>12.1</v>
      </c>
      <c r="E657" s="18">
        <v>57.5</v>
      </c>
      <c r="F657" s="15">
        <v>1.87</v>
      </c>
    </row>
    <row r="658" spans="1:6" x14ac:dyDescent="0.25">
      <c r="A658" s="11">
        <v>2010</v>
      </c>
      <c r="B658" s="11" t="s">
        <v>251</v>
      </c>
      <c r="C658" s="18">
        <v>11.5</v>
      </c>
      <c r="D658" s="18">
        <v>12</v>
      </c>
      <c r="E658" s="18">
        <v>57.9</v>
      </c>
      <c r="F658" s="15">
        <v>1.84</v>
      </c>
    </row>
    <row r="659" spans="1:6" x14ac:dyDescent="0.25">
      <c r="A659" s="11">
        <v>2010</v>
      </c>
      <c r="B659" s="11" t="s">
        <v>252</v>
      </c>
      <c r="C659" s="18">
        <v>10.199999999999999</v>
      </c>
      <c r="D659" s="18">
        <v>13.1</v>
      </c>
      <c r="E659" s="18">
        <v>60.3</v>
      </c>
      <c r="F659" s="15">
        <v>2.0499999999999998</v>
      </c>
    </row>
    <row r="660" spans="1:6" x14ac:dyDescent="0.25">
      <c r="A660" s="11">
        <v>2010</v>
      </c>
      <c r="B660" s="11" t="s">
        <v>253</v>
      </c>
      <c r="C660" s="18">
        <v>11.5</v>
      </c>
      <c r="D660" s="18">
        <v>13</v>
      </c>
      <c r="E660" s="18">
        <v>63.5</v>
      </c>
      <c r="F660" s="15">
        <v>2.04</v>
      </c>
    </row>
    <row r="661" spans="1:6" x14ac:dyDescent="0.25">
      <c r="A661" s="11">
        <v>2010</v>
      </c>
      <c r="B661" s="11" t="s">
        <v>254</v>
      </c>
      <c r="C661" s="18">
        <v>9.1999999999999993</v>
      </c>
      <c r="D661" s="18">
        <v>11.1</v>
      </c>
      <c r="E661" s="18">
        <v>52.7</v>
      </c>
      <c r="F661" s="15">
        <v>1.72</v>
      </c>
    </row>
    <row r="662" spans="1:6" x14ac:dyDescent="0.25">
      <c r="A662" s="11">
        <v>2010</v>
      </c>
      <c r="B662" s="11" t="s">
        <v>255</v>
      </c>
      <c r="C662" s="18">
        <v>10.9</v>
      </c>
      <c r="D662" s="18">
        <v>11.5</v>
      </c>
      <c r="E662" s="18">
        <v>56.2</v>
      </c>
      <c r="F662" s="15">
        <v>1.78</v>
      </c>
    </row>
    <row r="663" spans="1:6" x14ac:dyDescent="0.25">
      <c r="A663" s="11">
        <v>2010</v>
      </c>
      <c r="B663" s="11" t="s">
        <v>256</v>
      </c>
      <c r="C663" s="18">
        <v>9.3000000000000007</v>
      </c>
      <c r="D663" s="18">
        <v>9.6999999999999993</v>
      </c>
      <c r="E663" s="18">
        <v>45.9</v>
      </c>
      <c r="F663" s="15">
        <v>1.54</v>
      </c>
    </row>
    <row r="664" spans="1:6" x14ac:dyDescent="0.25">
      <c r="A664" s="11">
        <v>2010</v>
      </c>
      <c r="B664" s="11" t="s">
        <v>257</v>
      </c>
      <c r="C664" s="18">
        <v>11.5</v>
      </c>
      <c r="D664" s="18">
        <v>11.7</v>
      </c>
      <c r="E664" s="18">
        <v>57.2</v>
      </c>
      <c r="F664" s="15">
        <v>1.8</v>
      </c>
    </row>
    <row r="665" spans="1:6" x14ac:dyDescent="0.25">
      <c r="A665" s="11">
        <v>2010</v>
      </c>
      <c r="B665" s="11" t="s">
        <v>258</v>
      </c>
      <c r="C665" s="18">
        <v>12.5</v>
      </c>
      <c r="D665" s="18">
        <v>12.4</v>
      </c>
      <c r="E665" s="18">
        <v>60.2</v>
      </c>
      <c r="F665" s="15">
        <v>1.92</v>
      </c>
    </row>
    <row r="666" spans="1:6" x14ac:dyDescent="0.25">
      <c r="A666" s="11">
        <v>2011</v>
      </c>
      <c r="B666" s="11" t="s">
        <v>11</v>
      </c>
      <c r="C666" s="18">
        <v>11.1</v>
      </c>
      <c r="D666" s="18">
        <v>11.1</v>
      </c>
      <c r="E666" s="18">
        <v>55.4</v>
      </c>
      <c r="F666" s="15">
        <v>1.69</v>
      </c>
    </row>
    <row r="667" spans="1:6" x14ac:dyDescent="0.25">
      <c r="A667" s="11">
        <v>2011</v>
      </c>
      <c r="B667" s="11" t="s">
        <v>227</v>
      </c>
      <c r="C667" s="18">
        <v>11.7</v>
      </c>
      <c r="D667" s="18">
        <v>9.3000000000000007</v>
      </c>
      <c r="E667" s="18">
        <v>50.4</v>
      </c>
      <c r="F667" s="15">
        <v>1.47</v>
      </c>
    </row>
    <row r="668" spans="1:6" x14ac:dyDescent="0.25">
      <c r="A668" s="11">
        <v>2011</v>
      </c>
      <c r="B668" s="11" t="s">
        <v>228</v>
      </c>
      <c r="C668" s="18">
        <v>10.6</v>
      </c>
      <c r="D668" s="18">
        <v>12</v>
      </c>
      <c r="E668" s="18">
        <v>57.6</v>
      </c>
      <c r="F668" s="15">
        <v>1.86</v>
      </c>
    </row>
    <row r="669" spans="1:6" x14ac:dyDescent="0.25">
      <c r="A669" s="11">
        <v>2011</v>
      </c>
      <c r="B669" s="11" t="s">
        <v>229</v>
      </c>
      <c r="C669" s="18">
        <v>9.9</v>
      </c>
      <c r="D669" s="18">
        <v>11.8</v>
      </c>
      <c r="E669" s="18">
        <v>57</v>
      </c>
      <c r="F669" s="15">
        <v>1.84</v>
      </c>
    </row>
    <row r="670" spans="1:6" x14ac:dyDescent="0.25">
      <c r="A670" s="11">
        <v>2011</v>
      </c>
      <c r="B670" s="11" t="s">
        <v>230</v>
      </c>
      <c r="C670" s="18">
        <v>8.4</v>
      </c>
      <c r="D670" s="18">
        <v>11.5</v>
      </c>
      <c r="E670" s="18">
        <v>53.2</v>
      </c>
      <c r="F670" s="15">
        <v>1.78</v>
      </c>
    </row>
    <row r="671" spans="1:6" x14ac:dyDescent="0.25">
      <c r="A671" s="11">
        <v>2011</v>
      </c>
      <c r="B671" s="11" t="s">
        <v>231</v>
      </c>
      <c r="C671" s="18">
        <v>11.6</v>
      </c>
      <c r="D671" s="18">
        <v>8.9</v>
      </c>
      <c r="E671" s="18">
        <v>48.7</v>
      </c>
      <c r="F671" s="15">
        <v>1.42</v>
      </c>
    </row>
    <row r="672" spans="1:6" x14ac:dyDescent="0.25">
      <c r="A672" s="11">
        <v>2011</v>
      </c>
      <c r="B672" s="11" t="s">
        <v>232</v>
      </c>
      <c r="C672" s="18">
        <v>11</v>
      </c>
      <c r="D672" s="18">
        <v>11.9</v>
      </c>
      <c r="E672" s="18">
        <v>57.6</v>
      </c>
      <c r="F672" s="15">
        <v>1.88</v>
      </c>
    </row>
    <row r="673" spans="1:6" x14ac:dyDescent="0.25">
      <c r="A673" s="11">
        <v>2011</v>
      </c>
      <c r="B673" s="11" t="s">
        <v>233</v>
      </c>
      <c r="C673" s="18">
        <v>9.1999999999999993</v>
      </c>
      <c r="D673" s="18">
        <v>11.8</v>
      </c>
      <c r="E673" s="18">
        <v>55.6</v>
      </c>
      <c r="F673" s="15">
        <v>1.83</v>
      </c>
    </row>
    <row r="674" spans="1:6" x14ac:dyDescent="0.25">
      <c r="A674" s="11">
        <v>2011</v>
      </c>
      <c r="B674" s="11" t="s">
        <v>234</v>
      </c>
      <c r="C674" s="18">
        <v>12</v>
      </c>
      <c r="D674" s="18">
        <v>10.5</v>
      </c>
      <c r="E674" s="18">
        <v>54.1</v>
      </c>
      <c r="F674" s="15">
        <v>1.59</v>
      </c>
    </row>
    <row r="675" spans="1:6" x14ac:dyDescent="0.25">
      <c r="A675" s="11">
        <v>2011</v>
      </c>
      <c r="B675" s="11" t="s">
        <v>235</v>
      </c>
      <c r="C675" s="18">
        <v>11.1</v>
      </c>
      <c r="D675" s="18">
        <v>12</v>
      </c>
      <c r="E675" s="18">
        <v>57.8</v>
      </c>
      <c r="F675" s="15">
        <v>1.84</v>
      </c>
    </row>
    <row r="676" spans="1:6" x14ac:dyDescent="0.25">
      <c r="A676" s="11">
        <v>2011</v>
      </c>
      <c r="B676" s="11" t="s">
        <v>236</v>
      </c>
      <c r="C676" s="18">
        <v>8.8000000000000007</v>
      </c>
      <c r="D676" s="18">
        <v>11.5</v>
      </c>
      <c r="E676" s="18">
        <v>51.7</v>
      </c>
      <c r="F676" s="15">
        <v>1.79</v>
      </c>
    </row>
    <row r="677" spans="1:6" x14ac:dyDescent="0.25">
      <c r="A677" s="11">
        <v>2011</v>
      </c>
      <c r="B677" s="11" t="s">
        <v>237</v>
      </c>
      <c r="C677" s="18">
        <v>11.3</v>
      </c>
      <c r="D677" s="18">
        <v>13</v>
      </c>
      <c r="E677" s="18">
        <v>60.4</v>
      </c>
      <c r="F677" s="15">
        <v>2.0099999999999998</v>
      </c>
    </row>
    <row r="678" spans="1:6" x14ac:dyDescent="0.25">
      <c r="A678" s="11">
        <v>2011</v>
      </c>
      <c r="B678" s="11" t="s">
        <v>238</v>
      </c>
      <c r="C678" s="18">
        <v>8.9</v>
      </c>
      <c r="D678" s="18">
        <v>11.3</v>
      </c>
      <c r="E678" s="18">
        <v>50.5</v>
      </c>
      <c r="F678" s="15">
        <v>1.75</v>
      </c>
    </row>
    <row r="679" spans="1:6" x14ac:dyDescent="0.25">
      <c r="A679" s="11">
        <v>2011</v>
      </c>
      <c r="B679" s="11" t="s">
        <v>239</v>
      </c>
      <c r="C679" s="18">
        <v>11.2</v>
      </c>
      <c r="D679" s="18">
        <v>11.5</v>
      </c>
      <c r="E679" s="18">
        <v>57.2</v>
      </c>
      <c r="F679" s="15">
        <v>1.78</v>
      </c>
    </row>
    <row r="680" spans="1:6" x14ac:dyDescent="0.25">
      <c r="A680" s="11">
        <v>2011</v>
      </c>
      <c r="B680" s="11" t="s">
        <v>240</v>
      </c>
      <c r="C680" s="18">
        <v>11.7</v>
      </c>
      <c r="D680" s="18">
        <v>12.4</v>
      </c>
      <c r="E680" s="18">
        <v>60.5</v>
      </c>
      <c r="F680" s="15">
        <v>1.91</v>
      </c>
    </row>
    <row r="681" spans="1:6" x14ac:dyDescent="0.25">
      <c r="A681" s="11">
        <v>2011</v>
      </c>
      <c r="B681" s="11" t="s">
        <v>241</v>
      </c>
      <c r="C681" s="18">
        <v>12.9</v>
      </c>
      <c r="D681" s="18">
        <v>10.1</v>
      </c>
      <c r="E681" s="18">
        <v>54.1</v>
      </c>
      <c r="F681" s="15">
        <v>1.55</v>
      </c>
    </row>
    <row r="682" spans="1:6" x14ac:dyDescent="0.25">
      <c r="A682" s="11">
        <v>2011</v>
      </c>
      <c r="B682" s="11" t="s">
        <v>242</v>
      </c>
      <c r="C682" s="18">
        <v>10.1</v>
      </c>
      <c r="D682" s="18">
        <v>11.7</v>
      </c>
      <c r="E682" s="18">
        <v>57.2</v>
      </c>
      <c r="F682" s="15">
        <v>1.82</v>
      </c>
    </row>
    <row r="683" spans="1:6" x14ac:dyDescent="0.25">
      <c r="A683" s="11">
        <v>2011</v>
      </c>
      <c r="B683" s="11" t="s">
        <v>243</v>
      </c>
      <c r="C683" s="18">
        <v>10</v>
      </c>
      <c r="D683" s="18">
        <v>11.1</v>
      </c>
      <c r="E683" s="18">
        <v>53.3</v>
      </c>
      <c r="F683" s="15">
        <v>1.7</v>
      </c>
    </row>
    <row r="684" spans="1:6" x14ac:dyDescent="0.25">
      <c r="A684" s="11">
        <v>2011</v>
      </c>
      <c r="B684" s="11" t="s">
        <v>244</v>
      </c>
      <c r="C684" s="18">
        <v>11.7</v>
      </c>
      <c r="D684" s="18">
        <v>12.9</v>
      </c>
      <c r="E684" s="18">
        <v>62.3</v>
      </c>
      <c r="F684" s="15">
        <v>1.98</v>
      </c>
    </row>
    <row r="685" spans="1:6" x14ac:dyDescent="0.25">
      <c r="A685" s="11">
        <v>2011</v>
      </c>
      <c r="B685" s="11" t="s">
        <v>245</v>
      </c>
      <c r="C685" s="18">
        <v>10.4</v>
      </c>
      <c r="D685" s="18">
        <v>12.1</v>
      </c>
      <c r="E685" s="18">
        <v>58.1</v>
      </c>
      <c r="F685" s="15">
        <v>1.89</v>
      </c>
    </row>
    <row r="686" spans="1:6" x14ac:dyDescent="0.25">
      <c r="A686" s="11">
        <v>2011</v>
      </c>
      <c r="B686" s="11" t="s">
        <v>282</v>
      </c>
      <c r="C686" s="18">
        <v>8.5</v>
      </c>
      <c r="D686" s="18">
        <v>11.2</v>
      </c>
      <c r="E686" s="18">
        <v>52.7</v>
      </c>
      <c r="F686" s="15">
        <v>1.75</v>
      </c>
    </row>
    <row r="687" spans="1:6" x14ac:dyDescent="0.25">
      <c r="A687" s="11">
        <v>2011</v>
      </c>
      <c r="B687" s="11" t="s">
        <v>247</v>
      </c>
      <c r="C687" s="18">
        <v>10.5</v>
      </c>
      <c r="D687" s="18">
        <v>11.9</v>
      </c>
      <c r="E687" s="18">
        <v>56.8</v>
      </c>
      <c r="F687" s="15">
        <v>1.83</v>
      </c>
    </row>
    <row r="688" spans="1:6" x14ac:dyDescent="0.25">
      <c r="A688" s="11">
        <v>2011</v>
      </c>
      <c r="B688" s="11" t="s">
        <v>248</v>
      </c>
      <c r="C688" s="18">
        <v>11.8</v>
      </c>
      <c r="D688" s="18">
        <v>11.7</v>
      </c>
      <c r="E688" s="18">
        <v>58.3</v>
      </c>
      <c r="F688" s="15">
        <v>1.8</v>
      </c>
    </row>
    <row r="689" spans="1:6" x14ac:dyDescent="0.25">
      <c r="A689" s="11">
        <v>2011</v>
      </c>
      <c r="B689" s="11" t="s">
        <v>249</v>
      </c>
      <c r="C689" s="18">
        <v>9.6</v>
      </c>
      <c r="D689" s="18">
        <v>11.7</v>
      </c>
      <c r="E689" s="18">
        <v>55.2</v>
      </c>
      <c r="F689" s="15">
        <v>1.83</v>
      </c>
    </row>
    <row r="690" spans="1:6" x14ac:dyDescent="0.25">
      <c r="A690" s="11">
        <v>2011</v>
      </c>
      <c r="B690" s="11" t="s">
        <v>250</v>
      </c>
      <c r="C690" s="18">
        <v>9.9</v>
      </c>
      <c r="D690" s="18">
        <v>11.9</v>
      </c>
      <c r="E690" s="18">
        <v>56.7</v>
      </c>
      <c r="F690" s="15">
        <v>1.84</v>
      </c>
    </row>
    <row r="691" spans="1:6" x14ac:dyDescent="0.25">
      <c r="A691" s="11">
        <v>2011</v>
      </c>
      <c r="B691" s="11" t="s">
        <v>251</v>
      </c>
      <c r="C691" s="18">
        <v>10.5</v>
      </c>
      <c r="D691" s="18">
        <v>11</v>
      </c>
      <c r="E691" s="18">
        <v>53.5</v>
      </c>
      <c r="F691" s="15">
        <v>1.68</v>
      </c>
    </row>
    <row r="692" spans="1:6" x14ac:dyDescent="0.25">
      <c r="A692" s="11">
        <v>2011</v>
      </c>
      <c r="B692" s="11" t="s">
        <v>252</v>
      </c>
      <c r="C692" s="18">
        <v>9.6999999999999993</v>
      </c>
      <c r="D692" s="18">
        <v>12.7</v>
      </c>
      <c r="E692" s="18">
        <v>58.5</v>
      </c>
      <c r="F692" s="15">
        <v>1.99</v>
      </c>
    </row>
    <row r="693" spans="1:6" x14ac:dyDescent="0.25">
      <c r="A693" s="11">
        <v>2011</v>
      </c>
      <c r="B693" s="11" t="s">
        <v>253</v>
      </c>
      <c r="C693" s="18">
        <v>10.4</v>
      </c>
      <c r="D693" s="18">
        <v>11.7</v>
      </c>
      <c r="E693" s="18">
        <v>57.8</v>
      </c>
      <c r="F693" s="15">
        <v>1.84</v>
      </c>
    </row>
    <row r="694" spans="1:6" x14ac:dyDescent="0.25">
      <c r="A694" s="11">
        <v>2011</v>
      </c>
      <c r="B694" s="11" t="s">
        <v>254</v>
      </c>
      <c r="C694" s="18">
        <v>9.5</v>
      </c>
      <c r="D694" s="18">
        <v>11.5</v>
      </c>
      <c r="E694" s="18">
        <v>54.9</v>
      </c>
      <c r="F694" s="15">
        <v>1.77</v>
      </c>
    </row>
    <row r="695" spans="1:6" x14ac:dyDescent="0.25">
      <c r="A695" s="11">
        <v>2011</v>
      </c>
      <c r="B695" s="11" t="s">
        <v>255</v>
      </c>
      <c r="C695" s="18">
        <v>11.2</v>
      </c>
      <c r="D695" s="18">
        <v>11.9</v>
      </c>
      <c r="E695" s="18">
        <v>58.2</v>
      </c>
      <c r="F695" s="15">
        <v>1.83</v>
      </c>
    </row>
    <row r="696" spans="1:6" x14ac:dyDescent="0.25">
      <c r="A696" s="11">
        <v>2011</v>
      </c>
      <c r="B696" s="11" t="s">
        <v>256</v>
      </c>
      <c r="C696" s="18">
        <v>9.1999999999999993</v>
      </c>
      <c r="D696" s="18">
        <v>9.5</v>
      </c>
      <c r="E696" s="18">
        <v>45.2</v>
      </c>
      <c r="F696" s="15">
        <v>1.53</v>
      </c>
    </row>
    <row r="697" spans="1:6" x14ac:dyDescent="0.25">
      <c r="A697" s="11">
        <v>2011</v>
      </c>
      <c r="B697" s="11" t="s">
        <v>257</v>
      </c>
      <c r="C697" s="18">
        <v>11.7</v>
      </c>
      <c r="D697" s="18">
        <v>12</v>
      </c>
      <c r="E697" s="18">
        <v>59.3</v>
      </c>
      <c r="F697" s="15">
        <v>1.84</v>
      </c>
    </row>
    <row r="698" spans="1:6" x14ac:dyDescent="0.25">
      <c r="A698" s="11">
        <v>2011</v>
      </c>
      <c r="B698" s="11" t="s">
        <v>258</v>
      </c>
      <c r="C698" s="18">
        <v>12.2</v>
      </c>
      <c r="D698" s="18">
        <v>12.2</v>
      </c>
      <c r="E698" s="18">
        <v>59.8</v>
      </c>
      <c r="F698" s="15">
        <v>1.91</v>
      </c>
    </row>
    <row r="699" spans="1:6" x14ac:dyDescent="0.25">
      <c r="A699" s="11">
        <v>2012</v>
      </c>
      <c r="B699" s="11" t="s">
        <v>11</v>
      </c>
      <c r="C699" s="18">
        <v>10.9</v>
      </c>
      <c r="D699" s="18">
        <v>10.9</v>
      </c>
      <c r="E699" s="18">
        <v>55.3</v>
      </c>
      <c r="F699" s="15">
        <v>1.68</v>
      </c>
    </row>
    <row r="700" spans="1:6" x14ac:dyDescent="0.25">
      <c r="A700" s="11">
        <v>2012</v>
      </c>
      <c r="B700" s="11" t="s">
        <v>227</v>
      </c>
      <c r="C700" s="18">
        <v>12</v>
      </c>
      <c r="D700" s="18">
        <v>9.5</v>
      </c>
      <c r="E700" s="18">
        <v>51.6</v>
      </c>
      <c r="F700" s="15">
        <v>1.5</v>
      </c>
    </row>
    <row r="701" spans="1:6" x14ac:dyDescent="0.25">
      <c r="A701" s="11">
        <v>2012</v>
      </c>
      <c r="B701" s="11" t="s">
        <v>228</v>
      </c>
      <c r="C701" s="18">
        <v>11.2</v>
      </c>
      <c r="D701" s="18">
        <v>12.7</v>
      </c>
      <c r="E701" s="18">
        <v>61.4</v>
      </c>
      <c r="F701" s="15">
        <v>1.96</v>
      </c>
    </row>
    <row r="702" spans="1:6" x14ac:dyDescent="0.25">
      <c r="A702" s="11">
        <v>2012</v>
      </c>
      <c r="B702" s="11" t="s">
        <v>229</v>
      </c>
      <c r="C702" s="18">
        <v>10</v>
      </c>
      <c r="D702" s="18">
        <v>11.9</v>
      </c>
      <c r="E702" s="18">
        <v>57.7</v>
      </c>
      <c r="F702" s="15">
        <v>1.86</v>
      </c>
    </row>
    <row r="703" spans="1:6" x14ac:dyDescent="0.25">
      <c r="A703" s="11">
        <v>2012</v>
      </c>
      <c r="B703" s="11" t="s">
        <v>230</v>
      </c>
      <c r="C703" s="18">
        <v>8.8000000000000007</v>
      </c>
      <c r="D703" s="18">
        <v>12.1</v>
      </c>
      <c r="E703" s="18">
        <v>56.1</v>
      </c>
      <c r="F703" s="15">
        <v>1.87</v>
      </c>
    </row>
    <row r="704" spans="1:6" x14ac:dyDescent="0.25">
      <c r="A704" s="11">
        <v>2012</v>
      </c>
      <c r="B704" s="11" t="s">
        <v>231</v>
      </c>
      <c r="C704" s="18">
        <v>11.7</v>
      </c>
      <c r="D704" s="18">
        <v>8.9</v>
      </c>
      <c r="E704" s="18">
        <v>49.2</v>
      </c>
      <c r="F704" s="15">
        <v>1.41</v>
      </c>
    </row>
    <row r="705" spans="1:6" x14ac:dyDescent="0.25">
      <c r="A705" s="11">
        <v>2012</v>
      </c>
      <c r="B705" s="11" t="s">
        <v>232</v>
      </c>
      <c r="C705" s="18">
        <v>12.2</v>
      </c>
      <c r="D705" s="18">
        <v>13.5</v>
      </c>
      <c r="E705" s="18">
        <v>65.8</v>
      </c>
      <c r="F705" s="15">
        <v>2.11</v>
      </c>
    </row>
    <row r="706" spans="1:6" x14ac:dyDescent="0.25">
      <c r="A706" s="11">
        <v>2012</v>
      </c>
      <c r="B706" s="11" t="s">
        <v>233</v>
      </c>
      <c r="C706" s="18">
        <v>9.1999999999999993</v>
      </c>
      <c r="D706" s="18">
        <v>11.8</v>
      </c>
      <c r="E706" s="18">
        <v>56.3</v>
      </c>
      <c r="F706" s="15">
        <v>1.83</v>
      </c>
    </row>
    <row r="707" spans="1:6" x14ac:dyDescent="0.25">
      <c r="A707" s="11">
        <v>2012</v>
      </c>
      <c r="B707" s="11" t="s">
        <v>234</v>
      </c>
      <c r="C707" s="18">
        <v>11.6</v>
      </c>
      <c r="D707" s="18">
        <v>10</v>
      </c>
      <c r="E707" s="18">
        <v>52.6</v>
      </c>
      <c r="F707" s="15">
        <v>1.54</v>
      </c>
    </row>
    <row r="708" spans="1:6" x14ac:dyDescent="0.25">
      <c r="A708" s="11">
        <v>2012</v>
      </c>
      <c r="B708" s="11" t="s">
        <v>235</v>
      </c>
      <c r="C708" s="18">
        <v>11.1</v>
      </c>
      <c r="D708" s="18">
        <v>12</v>
      </c>
      <c r="E708" s="18">
        <v>58.8</v>
      </c>
      <c r="F708" s="15">
        <v>1.87</v>
      </c>
    </row>
    <row r="709" spans="1:6" x14ac:dyDescent="0.25">
      <c r="A709" s="11">
        <v>2012</v>
      </c>
      <c r="B709" s="11" t="s">
        <v>236</v>
      </c>
      <c r="C709" s="18">
        <v>8.4</v>
      </c>
      <c r="D709" s="18">
        <v>11.1</v>
      </c>
      <c r="E709" s="18">
        <v>50.6</v>
      </c>
      <c r="F709" s="15">
        <v>1.75</v>
      </c>
    </row>
    <row r="710" spans="1:6" x14ac:dyDescent="0.25">
      <c r="A710" s="11">
        <v>2012</v>
      </c>
      <c r="B710" s="11" t="s">
        <v>237</v>
      </c>
      <c r="C710" s="18">
        <v>10.7</v>
      </c>
      <c r="D710" s="18">
        <v>12.3</v>
      </c>
      <c r="E710" s="18">
        <v>57.8</v>
      </c>
      <c r="F710" s="15">
        <v>1.91</v>
      </c>
    </row>
    <row r="711" spans="1:6" x14ac:dyDescent="0.25">
      <c r="A711" s="11">
        <v>2012</v>
      </c>
      <c r="B711" s="11" t="s">
        <v>238</v>
      </c>
      <c r="C711" s="18">
        <v>9.6999999999999993</v>
      </c>
      <c r="D711" s="18">
        <v>12.3</v>
      </c>
      <c r="E711" s="18">
        <v>55.6</v>
      </c>
      <c r="F711" s="15">
        <v>1.92</v>
      </c>
    </row>
    <row r="712" spans="1:6" x14ac:dyDescent="0.25">
      <c r="A712" s="11">
        <v>2012</v>
      </c>
      <c r="B712" s="11" t="s">
        <v>239</v>
      </c>
      <c r="C712" s="18">
        <v>11.5</v>
      </c>
      <c r="D712" s="18">
        <v>11.9</v>
      </c>
      <c r="E712" s="18">
        <v>59.5</v>
      </c>
      <c r="F712" s="15">
        <v>1.85</v>
      </c>
    </row>
    <row r="713" spans="1:6" x14ac:dyDescent="0.25">
      <c r="A713" s="11">
        <v>2012</v>
      </c>
      <c r="B713" s="11" t="s">
        <v>240</v>
      </c>
      <c r="C713" s="18">
        <v>11</v>
      </c>
      <c r="D713" s="18">
        <v>11.7</v>
      </c>
      <c r="E713" s="18">
        <v>57.5</v>
      </c>
      <c r="F713" s="15">
        <v>1.8</v>
      </c>
    </row>
    <row r="714" spans="1:6" x14ac:dyDescent="0.25">
      <c r="A714" s="11">
        <v>2012</v>
      </c>
      <c r="B714" s="11" t="s">
        <v>241</v>
      </c>
      <c r="C714" s="18">
        <v>12.7</v>
      </c>
      <c r="D714" s="18">
        <v>9.9</v>
      </c>
      <c r="E714" s="18">
        <v>53.8</v>
      </c>
      <c r="F714" s="15">
        <v>1.53</v>
      </c>
    </row>
    <row r="715" spans="1:6" x14ac:dyDescent="0.25">
      <c r="A715" s="11">
        <v>2012</v>
      </c>
      <c r="B715" s="11" t="s">
        <v>242</v>
      </c>
      <c r="C715" s="18">
        <v>10.199999999999999</v>
      </c>
      <c r="D715" s="18">
        <v>12</v>
      </c>
      <c r="E715" s="18">
        <v>58.8</v>
      </c>
      <c r="F715" s="15">
        <v>1.86</v>
      </c>
    </row>
    <row r="716" spans="1:6" x14ac:dyDescent="0.25">
      <c r="A716" s="11">
        <v>2012</v>
      </c>
      <c r="B716" s="11" t="s">
        <v>243</v>
      </c>
      <c r="C716" s="18">
        <v>9.5</v>
      </c>
      <c r="D716" s="18">
        <v>10.5</v>
      </c>
      <c r="E716" s="18">
        <v>51</v>
      </c>
      <c r="F716" s="15">
        <v>1.62</v>
      </c>
    </row>
    <row r="717" spans="1:6" x14ac:dyDescent="0.25">
      <c r="A717" s="11">
        <v>2012</v>
      </c>
      <c r="B717" s="11" t="s">
        <v>244</v>
      </c>
      <c r="C717" s="18">
        <v>12.6</v>
      </c>
      <c r="D717" s="18">
        <v>13.8</v>
      </c>
      <c r="E717" s="18">
        <v>67</v>
      </c>
      <c r="F717" s="15">
        <v>2.13</v>
      </c>
    </row>
    <row r="718" spans="1:6" x14ac:dyDescent="0.25">
      <c r="A718" s="11">
        <v>2012</v>
      </c>
      <c r="B718" s="11" t="s">
        <v>245</v>
      </c>
      <c r="C718" s="18">
        <v>9.9</v>
      </c>
      <c r="D718" s="18">
        <v>11.5</v>
      </c>
      <c r="E718" s="18">
        <v>55.5</v>
      </c>
      <c r="F718" s="15">
        <v>1.8</v>
      </c>
    </row>
    <row r="719" spans="1:6" x14ac:dyDescent="0.25">
      <c r="A719" s="11">
        <v>2012</v>
      </c>
      <c r="B719" s="11" t="s">
        <v>282</v>
      </c>
      <c r="C719" s="18">
        <v>8.6</v>
      </c>
      <c r="D719" s="18">
        <v>11.4</v>
      </c>
      <c r="E719" s="18">
        <v>53.8</v>
      </c>
      <c r="F719" s="15">
        <v>1.79</v>
      </c>
    </row>
    <row r="720" spans="1:6" x14ac:dyDescent="0.25">
      <c r="A720" s="11">
        <v>2012</v>
      </c>
      <c r="B720" s="11" t="s">
        <v>247</v>
      </c>
      <c r="C720" s="18">
        <v>9.8000000000000007</v>
      </c>
      <c r="D720" s="18">
        <v>11.2</v>
      </c>
      <c r="E720" s="18">
        <v>53.8</v>
      </c>
      <c r="F720" s="15">
        <v>1.73</v>
      </c>
    </row>
    <row r="721" spans="1:6" x14ac:dyDescent="0.25">
      <c r="A721" s="11">
        <v>2012</v>
      </c>
      <c r="B721" s="11" t="s">
        <v>248</v>
      </c>
      <c r="C721" s="18">
        <v>11.1</v>
      </c>
      <c r="D721" s="18">
        <v>11</v>
      </c>
      <c r="E721" s="18">
        <v>55.1</v>
      </c>
      <c r="F721" s="15">
        <v>1.69</v>
      </c>
    </row>
    <row r="722" spans="1:6" x14ac:dyDescent="0.25">
      <c r="A722" s="11">
        <v>2012</v>
      </c>
      <c r="B722" s="11" t="s">
        <v>249</v>
      </c>
      <c r="C722" s="18">
        <v>9.3000000000000007</v>
      </c>
      <c r="D722" s="18">
        <v>11.3</v>
      </c>
      <c r="E722" s="18">
        <v>54.7</v>
      </c>
      <c r="F722" s="15">
        <v>1.77</v>
      </c>
    </row>
    <row r="723" spans="1:6" x14ac:dyDescent="0.25">
      <c r="A723" s="11">
        <v>2012</v>
      </c>
      <c r="B723" s="11" t="s">
        <v>250</v>
      </c>
      <c r="C723" s="18">
        <v>8.6999999999999993</v>
      </c>
      <c r="D723" s="18">
        <v>10.5</v>
      </c>
      <c r="E723" s="18">
        <v>50.4</v>
      </c>
      <c r="F723" s="15">
        <v>1.62</v>
      </c>
    </row>
    <row r="724" spans="1:6" x14ac:dyDescent="0.25">
      <c r="A724" s="11">
        <v>2012</v>
      </c>
      <c r="B724" s="11" t="s">
        <v>251</v>
      </c>
      <c r="C724" s="18">
        <v>11.2</v>
      </c>
      <c r="D724" s="18">
        <v>11.8</v>
      </c>
      <c r="E724" s="18">
        <v>58.3</v>
      </c>
      <c r="F724" s="15">
        <v>1.81</v>
      </c>
    </row>
    <row r="725" spans="1:6" x14ac:dyDescent="0.25">
      <c r="A725" s="11">
        <v>2012</v>
      </c>
      <c r="B725" s="11" t="s">
        <v>252</v>
      </c>
      <c r="C725" s="18">
        <v>10</v>
      </c>
      <c r="D725" s="18">
        <v>13.2</v>
      </c>
      <c r="E725" s="18">
        <v>61.4</v>
      </c>
      <c r="F725" s="15">
        <v>2.0699999999999998</v>
      </c>
    </row>
    <row r="726" spans="1:6" x14ac:dyDescent="0.25">
      <c r="A726" s="11">
        <v>2012</v>
      </c>
      <c r="B726" s="11" t="s">
        <v>253</v>
      </c>
      <c r="C726" s="18">
        <v>11.9</v>
      </c>
      <c r="D726" s="18">
        <v>13.6</v>
      </c>
      <c r="E726" s="18">
        <v>66.400000000000006</v>
      </c>
      <c r="F726" s="15">
        <v>2.11</v>
      </c>
    </row>
    <row r="727" spans="1:6" x14ac:dyDescent="0.25">
      <c r="A727" s="11">
        <v>2012</v>
      </c>
      <c r="B727" s="11" t="s">
        <v>254</v>
      </c>
      <c r="C727" s="18">
        <v>8.8000000000000007</v>
      </c>
      <c r="D727" s="18">
        <v>10.7</v>
      </c>
      <c r="E727" s="18">
        <v>51.6</v>
      </c>
      <c r="F727" s="15">
        <v>1.66</v>
      </c>
    </row>
    <row r="728" spans="1:6" x14ac:dyDescent="0.25">
      <c r="A728" s="11">
        <v>2012</v>
      </c>
      <c r="B728" s="11" t="s">
        <v>255</v>
      </c>
      <c r="C728" s="18">
        <v>10.7</v>
      </c>
      <c r="D728" s="18">
        <v>11.4</v>
      </c>
      <c r="E728" s="18">
        <v>56.6</v>
      </c>
      <c r="F728" s="15">
        <v>1.76</v>
      </c>
    </row>
    <row r="729" spans="1:6" x14ac:dyDescent="0.25">
      <c r="A729" s="11">
        <v>2012</v>
      </c>
      <c r="B729" s="11" t="s">
        <v>256</v>
      </c>
      <c r="C729" s="18">
        <v>9.1</v>
      </c>
      <c r="D729" s="18">
        <v>9.5</v>
      </c>
      <c r="E729" s="18">
        <v>45.3</v>
      </c>
      <c r="F729" s="15">
        <v>1.53</v>
      </c>
    </row>
    <row r="730" spans="1:6" x14ac:dyDescent="0.25">
      <c r="A730" s="11">
        <v>2012</v>
      </c>
      <c r="B730" s="11" t="s">
        <v>257</v>
      </c>
      <c r="C730" s="18">
        <v>11.7</v>
      </c>
      <c r="D730" s="18">
        <v>12</v>
      </c>
      <c r="E730" s="18">
        <v>59.9</v>
      </c>
      <c r="F730" s="15">
        <v>1.84</v>
      </c>
    </row>
    <row r="731" spans="1:6" x14ac:dyDescent="0.25">
      <c r="A731" s="11">
        <v>2012</v>
      </c>
      <c r="B731" s="11" t="s">
        <v>258</v>
      </c>
      <c r="C731" s="18">
        <v>11.9</v>
      </c>
      <c r="D731" s="18">
        <v>12</v>
      </c>
      <c r="E731" s="18">
        <v>59.2</v>
      </c>
      <c r="F731" s="15">
        <v>1.88</v>
      </c>
    </row>
    <row r="732" spans="1:6" x14ac:dyDescent="0.25">
      <c r="A732" s="11">
        <v>2013</v>
      </c>
      <c r="B732" s="11" t="s">
        <v>11</v>
      </c>
      <c r="C732" s="18">
        <v>10.5</v>
      </c>
      <c r="D732" s="18">
        <v>10.5</v>
      </c>
      <c r="E732" s="18">
        <v>54</v>
      </c>
      <c r="F732" s="15">
        <v>1.62</v>
      </c>
    </row>
    <row r="733" spans="1:6" x14ac:dyDescent="0.25">
      <c r="A733" s="11">
        <v>2013</v>
      </c>
      <c r="B733" s="11" t="s">
        <v>227</v>
      </c>
      <c r="C733" s="18">
        <v>11.1</v>
      </c>
      <c r="D733" s="18">
        <v>8.6999999999999993</v>
      </c>
      <c r="E733" s="18">
        <v>47.8</v>
      </c>
      <c r="F733" s="15">
        <v>1.37</v>
      </c>
    </row>
    <row r="734" spans="1:6" x14ac:dyDescent="0.25">
      <c r="A734" s="11">
        <v>2013</v>
      </c>
      <c r="B734" s="11" t="s">
        <v>228</v>
      </c>
      <c r="C734" s="18">
        <v>10.4</v>
      </c>
      <c r="D734" s="18">
        <v>11.7</v>
      </c>
      <c r="E734" s="18">
        <v>57.5</v>
      </c>
      <c r="F734" s="15">
        <v>1.82</v>
      </c>
    </row>
    <row r="735" spans="1:6" x14ac:dyDescent="0.25">
      <c r="A735" s="11">
        <v>2013</v>
      </c>
      <c r="B735" s="11" t="s">
        <v>229</v>
      </c>
      <c r="C735" s="18">
        <v>9.6</v>
      </c>
      <c r="D735" s="18">
        <v>11.5</v>
      </c>
      <c r="E735" s="18">
        <v>56</v>
      </c>
      <c r="F735" s="15">
        <v>1.79</v>
      </c>
    </row>
    <row r="736" spans="1:6" x14ac:dyDescent="0.25">
      <c r="A736" s="11">
        <v>2013</v>
      </c>
      <c r="B736" s="11" t="s">
        <v>230</v>
      </c>
      <c r="C736" s="18">
        <v>8</v>
      </c>
      <c r="D736" s="18">
        <v>11</v>
      </c>
      <c r="E736" s="18">
        <v>52.4</v>
      </c>
      <c r="F736" s="15">
        <v>1.7</v>
      </c>
    </row>
    <row r="737" spans="1:6" x14ac:dyDescent="0.25">
      <c r="A737" s="11">
        <v>2013</v>
      </c>
      <c r="B737" s="11" t="s">
        <v>231</v>
      </c>
      <c r="C737" s="18">
        <v>11.4</v>
      </c>
      <c r="D737" s="18">
        <v>8.6999999999999993</v>
      </c>
      <c r="E737" s="18">
        <v>48.3</v>
      </c>
      <c r="F737" s="15">
        <v>1.38</v>
      </c>
    </row>
    <row r="738" spans="1:6" x14ac:dyDescent="0.25">
      <c r="A738" s="11">
        <v>2013</v>
      </c>
      <c r="B738" s="11" t="s">
        <v>232</v>
      </c>
      <c r="C738" s="18">
        <v>10.7</v>
      </c>
      <c r="D738" s="18">
        <v>12</v>
      </c>
      <c r="E738" s="18">
        <v>58.8</v>
      </c>
      <c r="F738" s="15">
        <v>1.86</v>
      </c>
    </row>
    <row r="739" spans="1:6" x14ac:dyDescent="0.25">
      <c r="A739" s="11">
        <v>2013</v>
      </c>
      <c r="B739" s="11" t="s">
        <v>233</v>
      </c>
      <c r="C739" s="18">
        <v>8.8000000000000007</v>
      </c>
      <c r="D739" s="18">
        <v>11.3</v>
      </c>
      <c r="E739" s="18">
        <v>54.6</v>
      </c>
      <c r="F739" s="15">
        <v>1.75</v>
      </c>
    </row>
    <row r="740" spans="1:6" x14ac:dyDescent="0.25">
      <c r="A740" s="11">
        <v>2013</v>
      </c>
      <c r="B740" s="11" t="s">
        <v>234</v>
      </c>
      <c r="C740" s="18">
        <v>10.8</v>
      </c>
      <c r="D740" s="18">
        <v>9.3000000000000007</v>
      </c>
      <c r="E740" s="18">
        <v>49.3</v>
      </c>
      <c r="F740" s="15">
        <v>1.44</v>
      </c>
    </row>
    <row r="741" spans="1:6" x14ac:dyDescent="0.25">
      <c r="A741" s="11">
        <v>2013</v>
      </c>
      <c r="B741" s="11" t="s">
        <v>235</v>
      </c>
      <c r="C741" s="18">
        <v>11</v>
      </c>
      <c r="D741" s="18">
        <v>12</v>
      </c>
      <c r="E741" s="18">
        <v>59.4</v>
      </c>
      <c r="F741" s="15">
        <v>1.86</v>
      </c>
    </row>
    <row r="742" spans="1:6" x14ac:dyDescent="0.25">
      <c r="A742" s="11">
        <v>2013</v>
      </c>
      <c r="B742" s="11" t="s">
        <v>236</v>
      </c>
      <c r="C742" s="18">
        <v>8.6999999999999993</v>
      </c>
      <c r="D742" s="18">
        <v>11.4</v>
      </c>
      <c r="E742" s="18">
        <v>53</v>
      </c>
      <c r="F742" s="15">
        <v>1.78</v>
      </c>
    </row>
    <row r="743" spans="1:6" x14ac:dyDescent="0.25">
      <c r="A743" s="11">
        <v>2013</v>
      </c>
      <c r="B743" s="11" t="s">
        <v>237</v>
      </c>
      <c r="C743" s="18">
        <v>10.4</v>
      </c>
      <c r="D743" s="18">
        <v>11.9</v>
      </c>
      <c r="E743" s="18">
        <v>56.8</v>
      </c>
      <c r="F743" s="15">
        <v>1.84</v>
      </c>
    </row>
    <row r="744" spans="1:6" x14ac:dyDescent="0.25">
      <c r="A744" s="11">
        <v>2013</v>
      </c>
      <c r="B744" s="11" t="s">
        <v>238</v>
      </c>
      <c r="C744" s="18">
        <v>9.6</v>
      </c>
      <c r="D744" s="18">
        <v>12</v>
      </c>
      <c r="E744" s="18">
        <v>55.7</v>
      </c>
      <c r="F744" s="15">
        <v>1.89</v>
      </c>
    </row>
    <row r="745" spans="1:6" x14ac:dyDescent="0.25">
      <c r="A745" s="11">
        <v>2013</v>
      </c>
      <c r="B745" s="11" t="s">
        <v>239</v>
      </c>
      <c r="C745" s="18">
        <v>10.6</v>
      </c>
      <c r="D745" s="18">
        <v>11.1</v>
      </c>
      <c r="E745" s="18">
        <v>55.7</v>
      </c>
      <c r="F745" s="15">
        <v>1.72</v>
      </c>
    </row>
    <row r="746" spans="1:6" x14ac:dyDescent="0.25">
      <c r="A746" s="11">
        <v>2013</v>
      </c>
      <c r="B746" s="11" t="s">
        <v>240</v>
      </c>
      <c r="C746" s="18">
        <v>10.6</v>
      </c>
      <c r="D746" s="18">
        <v>11.3</v>
      </c>
      <c r="E746" s="18">
        <v>56.1</v>
      </c>
      <c r="F746" s="15">
        <v>1.74</v>
      </c>
    </row>
    <row r="747" spans="1:6" x14ac:dyDescent="0.25">
      <c r="A747" s="11">
        <v>2013</v>
      </c>
      <c r="B747" s="11" t="s">
        <v>241</v>
      </c>
      <c r="C747" s="18">
        <v>12.3</v>
      </c>
      <c r="D747" s="18">
        <v>9.5</v>
      </c>
      <c r="E747" s="18">
        <v>52.5</v>
      </c>
      <c r="F747" s="15">
        <v>1.48</v>
      </c>
    </row>
    <row r="748" spans="1:6" x14ac:dyDescent="0.25">
      <c r="A748" s="11">
        <v>2013</v>
      </c>
      <c r="B748" s="11" t="s">
        <v>242</v>
      </c>
      <c r="C748" s="18">
        <v>9.6</v>
      </c>
      <c r="D748" s="18">
        <v>11.2</v>
      </c>
      <c r="E748" s="18">
        <v>55.9</v>
      </c>
      <c r="F748" s="15">
        <v>1.75</v>
      </c>
    </row>
    <row r="749" spans="1:6" x14ac:dyDescent="0.25">
      <c r="A749" s="11">
        <v>2013</v>
      </c>
      <c r="B749" s="11" t="s">
        <v>243</v>
      </c>
      <c r="C749" s="18">
        <v>9.3000000000000007</v>
      </c>
      <c r="D749" s="18">
        <v>10.4</v>
      </c>
      <c r="E749" s="18">
        <v>51.4</v>
      </c>
      <c r="F749" s="15">
        <v>1.6</v>
      </c>
    </row>
    <row r="750" spans="1:6" x14ac:dyDescent="0.25">
      <c r="A750" s="11">
        <v>2013</v>
      </c>
      <c r="B750" s="11" t="s">
        <v>244</v>
      </c>
      <c r="C750" s="18">
        <v>11.9</v>
      </c>
      <c r="D750" s="18">
        <v>12.9</v>
      </c>
      <c r="E750" s="18">
        <v>64.099999999999994</v>
      </c>
      <c r="F750" s="15">
        <v>2.0099999999999998</v>
      </c>
    </row>
    <row r="751" spans="1:6" x14ac:dyDescent="0.25">
      <c r="A751" s="11">
        <v>2013</v>
      </c>
      <c r="B751" s="11" t="s">
        <v>245</v>
      </c>
      <c r="C751" s="18">
        <v>10.199999999999999</v>
      </c>
      <c r="D751" s="18">
        <v>11.8</v>
      </c>
      <c r="E751" s="18">
        <v>57.8</v>
      </c>
      <c r="F751" s="15">
        <v>1.83</v>
      </c>
    </row>
    <row r="752" spans="1:6" x14ac:dyDescent="0.25">
      <c r="A752" s="11">
        <v>2013</v>
      </c>
      <c r="B752" s="11" t="s">
        <v>282</v>
      </c>
      <c r="C752" s="18">
        <v>9</v>
      </c>
      <c r="D752" s="18">
        <v>11.8</v>
      </c>
      <c r="E752" s="18">
        <v>56.8</v>
      </c>
      <c r="F752" s="15">
        <v>1.87</v>
      </c>
    </row>
    <row r="753" spans="1:6" x14ac:dyDescent="0.25">
      <c r="A753" s="11">
        <v>2013</v>
      </c>
      <c r="B753" s="11" t="s">
        <v>247</v>
      </c>
      <c r="C753" s="18">
        <v>9.5</v>
      </c>
      <c r="D753" s="18">
        <v>10.9</v>
      </c>
      <c r="E753" s="18">
        <v>53.2</v>
      </c>
      <c r="F753" s="15">
        <v>1.69</v>
      </c>
    </row>
    <row r="754" spans="1:6" x14ac:dyDescent="0.25">
      <c r="A754" s="11">
        <v>2013</v>
      </c>
      <c r="B754" s="11" t="s">
        <v>248</v>
      </c>
      <c r="C754" s="18">
        <v>11.1</v>
      </c>
      <c r="D754" s="18">
        <v>11</v>
      </c>
      <c r="E754" s="18">
        <v>55.9</v>
      </c>
      <c r="F754" s="15">
        <v>1.71</v>
      </c>
    </row>
    <row r="755" spans="1:6" x14ac:dyDescent="0.25">
      <c r="A755" s="11">
        <v>2013</v>
      </c>
      <c r="B755" s="11" t="s">
        <v>249</v>
      </c>
      <c r="C755" s="18">
        <v>9.3000000000000007</v>
      </c>
      <c r="D755" s="18">
        <v>11.3</v>
      </c>
      <c r="E755" s="18">
        <v>55.7</v>
      </c>
      <c r="F755" s="15">
        <v>1.75</v>
      </c>
    </row>
    <row r="756" spans="1:6" x14ac:dyDescent="0.25">
      <c r="A756" s="11">
        <v>2013</v>
      </c>
      <c r="B756" s="11" t="s">
        <v>250</v>
      </c>
      <c r="C756" s="18">
        <v>9</v>
      </c>
      <c r="D756" s="18">
        <v>10.8</v>
      </c>
      <c r="E756" s="18">
        <v>52.9</v>
      </c>
      <c r="F756" s="15">
        <v>1.69</v>
      </c>
    </row>
    <row r="757" spans="1:6" x14ac:dyDescent="0.25">
      <c r="A757" s="11">
        <v>2013</v>
      </c>
      <c r="B757" s="11" t="s">
        <v>251</v>
      </c>
      <c r="C757" s="18">
        <v>10.3</v>
      </c>
      <c r="D757" s="18">
        <v>10.8</v>
      </c>
      <c r="E757" s="18">
        <v>54.1</v>
      </c>
      <c r="F757" s="15">
        <v>1.67</v>
      </c>
    </row>
    <row r="758" spans="1:6" x14ac:dyDescent="0.25">
      <c r="A758" s="11">
        <v>2013</v>
      </c>
      <c r="B758" s="11" t="s">
        <v>252</v>
      </c>
      <c r="C758" s="18">
        <v>10</v>
      </c>
      <c r="D758" s="18">
        <v>13.2</v>
      </c>
      <c r="E758" s="18">
        <v>62</v>
      </c>
      <c r="F758" s="15">
        <v>2.0699999999999998</v>
      </c>
    </row>
    <row r="759" spans="1:6" x14ac:dyDescent="0.25">
      <c r="A759" s="11">
        <v>2013</v>
      </c>
      <c r="B759" s="11" t="s">
        <v>253</v>
      </c>
      <c r="C759" s="18">
        <v>11.3</v>
      </c>
      <c r="D759" s="18">
        <v>12.9</v>
      </c>
      <c r="E759" s="18">
        <v>63.4</v>
      </c>
      <c r="F759" s="15">
        <v>2.0099999999999998</v>
      </c>
    </row>
    <row r="760" spans="1:6" x14ac:dyDescent="0.25">
      <c r="A760" s="11">
        <v>2013</v>
      </c>
      <c r="B760" s="11" t="s">
        <v>254</v>
      </c>
      <c r="C760" s="18">
        <v>8.9</v>
      </c>
      <c r="D760" s="18">
        <v>10.8</v>
      </c>
      <c r="E760" s="18">
        <v>52.4</v>
      </c>
      <c r="F760" s="15">
        <v>1.66</v>
      </c>
    </row>
    <row r="761" spans="1:6" x14ac:dyDescent="0.25">
      <c r="A761" s="11">
        <v>2013</v>
      </c>
      <c r="B761" s="11" t="s">
        <v>255</v>
      </c>
      <c r="C761" s="18">
        <v>10.4</v>
      </c>
      <c r="D761" s="18">
        <v>11.1</v>
      </c>
      <c r="E761" s="18">
        <v>55.5</v>
      </c>
      <c r="F761" s="15">
        <v>1.71</v>
      </c>
    </row>
    <row r="762" spans="1:6" x14ac:dyDescent="0.25">
      <c r="A762" s="11">
        <v>2013</v>
      </c>
      <c r="B762" s="11" t="s">
        <v>256</v>
      </c>
      <c r="C762" s="18">
        <v>8.9</v>
      </c>
      <c r="D762" s="18">
        <v>9.5</v>
      </c>
      <c r="E762" s="18">
        <v>45.6</v>
      </c>
      <c r="F762" s="15">
        <v>1.51</v>
      </c>
    </row>
    <row r="763" spans="1:6" x14ac:dyDescent="0.25">
      <c r="A763" s="11">
        <v>2013</v>
      </c>
      <c r="B763" s="11" t="s">
        <v>257</v>
      </c>
      <c r="C763" s="18">
        <v>10.9</v>
      </c>
      <c r="D763" s="18">
        <v>11.1</v>
      </c>
      <c r="E763" s="18">
        <v>56.8</v>
      </c>
      <c r="F763" s="15">
        <v>1.72</v>
      </c>
    </row>
    <row r="764" spans="1:6" x14ac:dyDescent="0.25">
      <c r="A764" s="11">
        <v>2013</v>
      </c>
      <c r="B764" s="11" t="s">
        <v>258</v>
      </c>
      <c r="C764" s="18">
        <v>11.6</v>
      </c>
      <c r="D764" s="18">
        <v>11.8</v>
      </c>
      <c r="E764" s="18">
        <v>58.7</v>
      </c>
      <c r="F764" s="15">
        <v>1.84</v>
      </c>
    </row>
    <row r="765" spans="1:6" x14ac:dyDescent="0.25">
      <c r="A765" s="11">
        <v>2014</v>
      </c>
      <c r="B765" s="11" t="s">
        <v>11</v>
      </c>
      <c r="C765" s="18">
        <v>10.6</v>
      </c>
      <c r="D765" s="18">
        <v>10.6</v>
      </c>
      <c r="E765" s="18">
        <v>55.1</v>
      </c>
      <c r="F765" s="15">
        <v>1.64</v>
      </c>
    </row>
    <row r="766" spans="1:6" x14ac:dyDescent="0.25">
      <c r="A766" s="11">
        <v>2014</v>
      </c>
      <c r="B766" s="11" t="s">
        <v>227</v>
      </c>
      <c r="C766" s="18">
        <v>11.3</v>
      </c>
      <c r="D766" s="18">
        <v>8.8000000000000007</v>
      </c>
      <c r="E766" s="18">
        <v>49</v>
      </c>
      <c r="F766" s="15">
        <v>1.4</v>
      </c>
    </row>
    <row r="767" spans="1:6" x14ac:dyDescent="0.25">
      <c r="A767" s="11">
        <v>2014</v>
      </c>
      <c r="B767" s="11" t="s">
        <v>228</v>
      </c>
      <c r="C767" s="18">
        <v>10.9</v>
      </c>
      <c r="D767" s="18">
        <v>12</v>
      </c>
      <c r="E767" s="18">
        <v>60.2</v>
      </c>
      <c r="F767" s="15">
        <v>1.86</v>
      </c>
    </row>
    <row r="768" spans="1:6" x14ac:dyDescent="0.25">
      <c r="A768" s="11">
        <v>2014</v>
      </c>
      <c r="B768" s="11" t="s">
        <v>229</v>
      </c>
      <c r="C768" s="18">
        <v>9.8000000000000007</v>
      </c>
      <c r="D768" s="18">
        <v>11.8</v>
      </c>
      <c r="E768" s="18">
        <v>58.2</v>
      </c>
      <c r="F768" s="15">
        <v>1.84</v>
      </c>
    </row>
    <row r="769" spans="1:6" x14ac:dyDescent="0.25">
      <c r="A769" s="11">
        <v>2014</v>
      </c>
      <c r="B769" s="11" t="s">
        <v>230</v>
      </c>
      <c r="C769" s="18">
        <v>8.1999999999999993</v>
      </c>
      <c r="D769" s="18">
        <v>11.4</v>
      </c>
      <c r="E769" s="18">
        <v>54.5</v>
      </c>
      <c r="F769" s="15">
        <v>1.78</v>
      </c>
    </row>
    <row r="770" spans="1:6" x14ac:dyDescent="0.25">
      <c r="A770" s="11">
        <v>2014</v>
      </c>
      <c r="B770" s="11" t="s">
        <v>231</v>
      </c>
      <c r="C770" s="18">
        <v>11.4</v>
      </c>
      <c r="D770" s="18">
        <v>8.6999999999999993</v>
      </c>
      <c r="E770" s="18">
        <v>49</v>
      </c>
      <c r="F770" s="15">
        <v>1.4</v>
      </c>
    </row>
    <row r="771" spans="1:6" x14ac:dyDescent="0.25">
      <c r="A771" s="11">
        <v>2014</v>
      </c>
      <c r="B771" s="11" t="s">
        <v>232</v>
      </c>
      <c r="C771" s="18">
        <v>10.8</v>
      </c>
      <c r="D771" s="18">
        <v>12.2</v>
      </c>
      <c r="E771" s="18">
        <v>60.8</v>
      </c>
      <c r="F771" s="15">
        <v>1.9</v>
      </c>
    </row>
    <row r="772" spans="1:6" x14ac:dyDescent="0.25">
      <c r="A772" s="11">
        <v>2014</v>
      </c>
      <c r="B772" s="11" t="s">
        <v>233</v>
      </c>
      <c r="C772" s="18">
        <v>8.6</v>
      </c>
      <c r="D772" s="18">
        <v>11</v>
      </c>
      <c r="E772" s="18">
        <v>54.1</v>
      </c>
      <c r="F772" s="15">
        <v>1.7</v>
      </c>
    </row>
    <row r="773" spans="1:6" x14ac:dyDescent="0.25">
      <c r="A773" s="11">
        <v>2014</v>
      </c>
      <c r="B773" s="11" t="s">
        <v>234</v>
      </c>
      <c r="C773" s="18">
        <v>11.6</v>
      </c>
      <c r="D773" s="18">
        <v>10.1</v>
      </c>
      <c r="E773" s="18">
        <v>54.2</v>
      </c>
      <c r="F773" s="15">
        <v>1.56</v>
      </c>
    </row>
    <row r="774" spans="1:6" x14ac:dyDescent="0.25">
      <c r="A774" s="11">
        <v>2014</v>
      </c>
      <c r="B774" s="11" t="s">
        <v>235</v>
      </c>
      <c r="C774" s="18">
        <v>10.3</v>
      </c>
      <c r="D774" s="18">
        <v>11.2</v>
      </c>
      <c r="E774" s="18">
        <v>56.5</v>
      </c>
      <c r="F774" s="15">
        <v>1.74</v>
      </c>
    </row>
    <row r="775" spans="1:6" x14ac:dyDescent="0.25">
      <c r="A775" s="11">
        <v>2014</v>
      </c>
      <c r="B775" s="11" t="s">
        <v>236</v>
      </c>
      <c r="C775" s="18">
        <v>8.6999999999999993</v>
      </c>
      <c r="D775" s="18">
        <v>11.1</v>
      </c>
      <c r="E775" s="18">
        <v>52.9</v>
      </c>
      <c r="F775" s="15">
        <v>1.76</v>
      </c>
    </row>
    <row r="776" spans="1:6" x14ac:dyDescent="0.25">
      <c r="A776" s="11">
        <v>2014</v>
      </c>
      <c r="B776" s="11" t="s">
        <v>237</v>
      </c>
      <c r="C776" s="18">
        <v>9.8000000000000007</v>
      </c>
      <c r="D776" s="18">
        <v>11.2</v>
      </c>
      <c r="E776" s="18">
        <v>54.5</v>
      </c>
      <c r="F776" s="15">
        <v>1.74</v>
      </c>
    </row>
    <row r="777" spans="1:6" x14ac:dyDescent="0.25">
      <c r="A777" s="11">
        <v>2014</v>
      </c>
      <c r="B777" s="11" t="s">
        <v>238</v>
      </c>
      <c r="C777" s="18">
        <v>9.1999999999999993</v>
      </c>
      <c r="D777" s="18">
        <v>11.4</v>
      </c>
      <c r="E777" s="18">
        <v>53.9</v>
      </c>
      <c r="F777" s="15">
        <v>1.8</v>
      </c>
    </row>
    <row r="778" spans="1:6" x14ac:dyDescent="0.25">
      <c r="A778" s="11">
        <v>2014</v>
      </c>
      <c r="B778" s="11" t="s">
        <v>239</v>
      </c>
      <c r="C778" s="18">
        <v>10.9</v>
      </c>
      <c r="D778" s="18">
        <v>11.4</v>
      </c>
      <c r="E778" s="18">
        <v>57.9</v>
      </c>
      <c r="F778" s="15">
        <v>1.79</v>
      </c>
    </row>
    <row r="779" spans="1:6" x14ac:dyDescent="0.25">
      <c r="A779" s="11">
        <v>2014</v>
      </c>
      <c r="B779" s="11" t="s">
        <v>240</v>
      </c>
      <c r="C779" s="18">
        <v>10.6</v>
      </c>
      <c r="D779" s="18">
        <v>11.4</v>
      </c>
      <c r="E779" s="18">
        <v>57.2</v>
      </c>
      <c r="F779" s="15">
        <v>1.76</v>
      </c>
    </row>
    <row r="780" spans="1:6" x14ac:dyDescent="0.25">
      <c r="A780" s="11">
        <v>2014</v>
      </c>
      <c r="B780" s="11" t="s">
        <v>241</v>
      </c>
      <c r="C780" s="18">
        <v>12.6</v>
      </c>
      <c r="D780" s="18">
        <v>9.6999999999999993</v>
      </c>
      <c r="E780" s="18">
        <v>54.5</v>
      </c>
      <c r="F780" s="15">
        <v>1.51</v>
      </c>
    </row>
    <row r="781" spans="1:6" x14ac:dyDescent="0.25">
      <c r="A781" s="11">
        <v>2014</v>
      </c>
      <c r="B781" s="11" t="s">
        <v>242</v>
      </c>
      <c r="C781" s="18">
        <v>9.9</v>
      </c>
      <c r="D781" s="18">
        <v>11.6</v>
      </c>
      <c r="E781" s="18">
        <v>58.7</v>
      </c>
      <c r="F781" s="15">
        <v>1.82</v>
      </c>
    </row>
    <row r="782" spans="1:6" x14ac:dyDescent="0.25">
      <c r="A782" s="11">
        <v>2014</v>
      </c>
      <c r="B782" s="11" t="s">
        <v>243</v>
      </c>
      <c r="C782" s="18">
        <v>9.1999999999999993</v>
      </c>
      <c r="D782" s="18">
        <v>10.3</v>
      </c>
      <c r="E782" s="18">
        <v>51.8</v>
      </c>
      <c r="F782" s="15">
        <v>1.61</v>
      </c>
    </row>
    <row r="783" spans="1:6" x14ac:dyDescent="0.25">
      <c r="A783" s="11">
        <v>2014</v>
      </c>
      <c r="B783" s="11" t="s">
        <v>244</v>
      </c>
      <c r="C783" s="18">
        <v>11.9</v>
      </c>
      <c r="D783" s="18">
        <v>12.7</v>
      </c>
      <c r="E783" s="18">
        <v>63.9</v>
      </c>
      <c r="F783" s="15">
        <v>1.98</v>
      </c>
    </row>
    <row r="784" spans="1:6" x14ac:dyDescent="0.25">
      <c r="A784" s="11">
        <v>2014</v>
      </c>
      <c r="B784" s="11" t="s">
        <v>245</v>
      </c>
      <c r="C784" s="18">
        <v>9.9</v>
      </c>
      <c r="D784" s="18">
        <v>11.4</v>
      </c>
      <c r="E784" s="18">
        <v>56.6</v>
      </c>
      <c r="F784" s="15">
        <v>1.78</v>
      </c>
    </row>
    <row r="785" spans="1:6" x14ac:dyDescent="0.25">
      <c r="A785" s="11">
        <v>2014</v>
      </c>
      <c r="B785" s="11" t="s">
        <v>282</v>
      </c>
      <c r="C785" s="18">
        <v>8.3000000000000007</v>
      </c>
      <c r="D785" s="18">
        <v>11.1</v>
      </c>
      <c r="E785" s="18">
        <v>53.9</v>
      </c>
      <c r="F785" s="15">
        <v>1.72</v>
      </c>
    </row>
    <row r="786" spans="1:6" x14ac:dyDescent="0.25">
      <c r="A786" s="11">
        <v>2014</v>
      </c>
      <c r="B786" s="11" t="s">
        <v>247</v>
      </c>
      <c r="C786" s="18">
        <v>9.4</v>
      </c>
      <c r="D786" s="18">
        <v>10.8</v>
      </c>
      <c r="E786" s="18">
        <v>53.2</v>
      </c>
      <c r="F786" s="15">
        <v>1.67</v>
      </c>
    </row>
    <row r="787" spans="1:6" x14ac:dyDescent="0.25">
      <c r="A787" s="11">
        <v>2014</v>
      </c>
      <c r="B787" s="11" t="s">
        <v>248</v>
      </c>
      <c r="C787" s="18">
        <v>11</v>
      </c>
      <c r="D787" s="18">
        <v>11</v>
      </c>
      <c r="E787" s="18">
        <v>56.3</v>
      </c>
      <c r="F787" s="15">
        <v>1.71</v>
      </c>
    </row>
    <row r="788" spans="1:6" x14ac:dyDescent="0.25">
      <c r="A788" s="11">
        <v>2014</v>
      </c>
      <c r="B788" s="11" t="s">
        <v>249</v>
      </c>
      <c r="C788" s="18">
        <v>8.4</v>
      </c>
      <c r="D788" s="18">
        <v>10.199999999999999</v>
      </c>
      <c r="E788" s="18">
        <v>50.8</v>
      </c>
      <c r="F788" s="15">
        <v>1.57</v>
      </c>
    </row>
    <row r="789" spans="1:6" x14ac:dyDescent="0.25">
      <c r="A789" s="11">
        <v>2014</v>
      </c>
      <c r="B789" s="11" t="s">
        <v>250</v>
      </c>
      <c r="C789" s="18">
        <v>9.1999999999999993</v>
      </c>
      <c r="D789" s="18">
        <v>11</v>
      </c>
      <c r="E789" s="18">
        <v>54.4</v>
      </c>
      <c r="F789" s="15">
        <v>1.71</v>
      </c>
    </row>
    <row r="790" spans="1:6" x14ac:dyDescent="0.25">
      <c r="A790" s="11">
        <v>2014</v>
      </c>
      <c r="B790" s="11" t="s">
        <v>251</v>
      </c>
      <c r="C790" s="18">
        <v>10.3</v>
      </c>
      <c r="D790" s="18">
        <v>10.8</v>
      </c>
      <c r="E790" s="18">
        <v>55.2</v>
      </c>
      <c r="F790" s="15">
        <v>1.67</v>
      </c>
    </row>
    <row r="791" spans="1:6" x14ac:dyDescent="0.25">
      <c r="A791" s="11">
        <v>2014</v>
      </c>
      <c r="B791" s="11" t="s">
        <v>252</v>
      </c>
      <c r="C791" s="18">
        <v>9.4</v>
      </c>
      <c r="D791" s="18">
        <v>12.5</v>
      </c>
      <c r="E791" s="18">
        <v>59.7</v>
      </c>
      <c r="F791" s="15">
        <v>1.95</v>
      </c>
    </row>
    <row r="792" spans="1:6" x14ac:dyDescent="0.25">
      <c r="A792" s="11">
        <v>2014</v>
      </c>
      <c r="B792" s="11" t="s">
        <v>253</v>
      </c>
      <c r="C792" s="18">
        <v>10.8</v>
      </c>
      <c r="D792" s="18">
        <v>12.4</v>
      </c>
      <c r="E792" s="18">
        <v>61.8</v>
      </c>
      <c r="F792" s="15">
        <v>1.95</v>
      </c>
    </row>
    <row r="793" spans="1:6" x14ac:dyDescent="0.25">
      <c r="A793" s="11">
        <v>2014</v>
      </c>
      <c r="B793" s="11" t="s">
        <v>254</v>
      </c>
      <c r="C793" s="18">
        <v>9.1999999999999993</v>
      </c>
      <c r="D793" s="18">
        <v>11.2</v>
      </c>
      <c r="E793" s="18">
        <v>55.2</v>
      </c>
      <c r="F793" s="15">
        <v>1.74</v>
      </c>
    </row>
    <row r="794" spans="1:6" x14ac:dyDescent="0.25">
      <c r="A794" s="11">
        <v>2014</v>
      </c>
      <c r="B794" s="11" t="s">
        <v>255</v>
      </c>
      <c r="C794" s="18">
        <v>10.7</v>
      </c>
      <c r="D794" s="18">
        <v>11.5</v>
      </c>
      <c r="E794" s="18">
        <v>58.2</v>
      </c>
      <c r="F794" s="15">
        <v>1.76</v>
      </c>
    </row>
    <row r="795" spans="1:6" x14ac:dyDescent="0.25">
      <c r="A795" s="11">
        <v>2014</v>
      </c>
      <c r="B795" s="11" t="s">
        <v>256</v>
      </c>
      <c r="C795" s="18">
        <v>9.3000000000000007</v>
      </c>
      <c r="D795" s="18">
        <v>10.1</v>
      </c>
      <c r="E795" s="18">
        <v>48.4</v>
      </c>
      <c r="F795" s="15">
        <v>1.6</v>
      </c>
    </row>
    <row r="796" spans="1:6" x14ac:dyDescent="0.25">
      <c r="A796" s="11">
        <v>2014</v>
      </c>
      <c r="B796" s="11" t="s">
        <v>257</v>
      </c>
      <c r="C796" s="18">
        <v>11</v>
      </c>
      <c r="D796" s="18">
        <v>11.2</v>
      </c>
      <c r="E796" s="18">
        <v>58.3</v>
      </c>
      <c r="F796" s="15">
        <v>1.74</v>
      </c>
    </row>
    <row r="797" spans="1:6" x14ac:dyDescent="0.25">
      <c r="A797" s="11">
        <v>2014</v>
      </c>
      <c r="B797" s="11" t="s">
        <v>258</v>
      </c>
      <c r="C797" s="18">
        <v>11.5</v>
      </c>
      <c r="D797" s="18">
        <v>11.8</v>
      </c>
      <c r="E797" s="18">
        <v>59.3</v>
      </c>
      <c r="F797" s="15">
        <v>1.83</v>
      </c>
    </row>
    <row r="798" spans="1:6" x14ac:dyDescent="0.25">
      <c r="A798" s="11">
        <v>2015</v>
      </c>
      <c r="B798" s="11" t="s">
        <v>11</v>
      </c>
      <c r="C798" s="18">
        <v>10.3</v>
      </c>
      <c r="D798" s="18">
        <v>10.3</v>
      </c>
      <c r="E798" s="18">
        <v>53.7</v>
      </c>
      <c r="F798" s="15">
        <v>1.58</v>
      </c>
    </row>
    <row r="799" spans="1:6" x14ac:dyDescent="0.25">
      <c r="A799" s="11">
        <v>2015</v>
      </c>
      <c r="B799" s="11" t="s">
        <v>227</v>
      </c>
      <c r="C799" s="18">
        <v>11.5</v>
      </c>
      <c r="D799" s="18">
        <v>9</v>
      </c>
      <c r="E799" s="18">
        <v>49.8</v>
      </c>
      <c r="F799" s="15">
        <v>1.42</v>
      </c>
    </row>
    <row r="800" spans="1:6" x14ac:dyDescent="0.25">
      <c r="A800" s="11">
        <v>2015</v>
      </c>
      <c r="B800" s="11" t="s">
        <v>228</v>
      </c>
      <c r="C800" s="18">
        <v>11</v>
      </c>
      <c r="D800" s="18">
        <v>12.1</v>
      </c>
      <c r="E800" s="18">
        <v>61.3</v>
      </c>
      <c r="F800" s="15">
        <v>1.86</v>
      </c>
    </row>
    <row r="801" spans="1:6" x14ac:dyDescent="0.25">
      <c r="A801" s="11">
        <v>2015</v>
      </c>
      <c r="B801" s="11" t="s">
        <v>229</v>
      </c>
      <c r="C801" s="18">
        <v>9.1</v>
      </c>
      <c r="D801" s="18">
        <v>10.9</v>
      </c>
      <c r="E801" s="18">
        <v>54.6</v>
      </c>
      <c r="F801" s="15">
        <v>1.7</v>
      </c>
    </row>
    <row r="802" spans="1:6" x14ac:dyDescent="0.25">
      <c r="A802" s="11">
        <v>2015</v>
      </c>
      <c r="B802" s="11" t="s">
        <v>230</v>
      </c>
      <c r="C802" s="18">
        <v>7.8</v>
      </c>
      <c r="D802" s="18">
        <v>10.8</v>
      </c>
      <c r="E802" s="18">
        <v>52.9</v>
      </c>
      <c r="F802" s="15">
        <v>1.69</v>
      </c>
    </row>
    <row r="803" spans="1:6" x14ac:dyDescent="0.25">
      <c r="A803" s="11">
        <v>2015</v>
      </c>
      <c r="B803" s="11" t="s">
        <v>231</v>
      </c>
      <c r="C803" s="18">
        <v>10.8</v>
      </c>
      <c r="D803" s="18">
        <v>8.1999999999999993</v>
      </c>
      <c r="E803" s="18">
        <v>45.7</v>
      </c>
      <c r="F803" s="15">
        <v>1.29</v>
      </c>
    </row>
    <row r="804" spans="1:6" x14ac:dyDescent="0.25">
      <c r="A804" s="11">
        <v>2015</v>
      </c>
      <c r="B804" s="11" t="s">
        <v>232</v>
      </c>
      <c r="C804" s="18">
        <v>10.7</v>
      </c>
      <c r="D804" s="18">
        <v>12.2</v>
      </c>
      <c r="E804" s="18">
        <v>61</v>
      </c>
      <c r="F804" s="15">
        <v>1.9</v>
      </c>
    </row>
    <row r="805" spans="1:6" x14ac:dyDescent="0.25">
      <c r="A805" s="11">
        <v>2015</v>
      </c>
      <c r="B805" s="11" t="s">
        <v>233</v>
      </c>
      <c r="C805" s="18">
        <v>8.4</v>
      </c>
      <c r="D805" s="18">
        <v>10.8</v>
      </c>
      <c r="E805" s="18">
        <v>53.8</v>
      </c>
      <c r="F805" s="15">
        <v>1.66</v>
      </c>
    </row>
    <row r="806" spans="1:6" x14ac:dyDescent="0.25">
      <c r="A806" s="11">
        <v>2015</v>
      </c>
      <c r="B806" s="11" t="s">
        <v>234</v>
      </c>
      <c r="C806" s="18">
        <v>10.6</v>
      </c>
      <c r="D806" s="18">
        <v>9.1999999999999993</v>
      </c>
      <c r="E806" s="18">
        <v>49.4</v>
      </c>
      <c r="F806" s="15">
        <v>1.41</v>
      </c>
    </row>
    <row r="807" spans="1:6" x14ac:dyDescent="0.25">
      <c r="A807" s="11">
        <v>2015</v>
      </c>
      <c r="B807" s="11" t="s">
        <v>235</v>
      </c>
      <c r="C807" s="18">
        <v>10.9</v>
      </c>
      <c r="D807" s="18">
        <v>12</v>
      </c>
      <c r="E807" s="18">
        <v>60.7</v>
      </c>
      <c r="F807" s="15">
        <v>1.85</v>
      </c>
    </row>
    <row r="808" spans="1:6" x14ac:dyDescent="0.25">
      <c r="A808" s="11">
        <v>2015</v>
      </c>
      <c r="B808" s="11" t="s">
        <v>236</v>
      </c>
      <c r="C808" s="18">
        <v>9</v>
      </c>
      <c r="D808" s="18">
        <v>11.6</v>
      </c>
      <c r="E808" s="18">
        <v>55.8</v>
      </c>
      <c r="F808" s="15">
        <v>1.79</v>
      </c>
    </row>
    <row r="809" spans="1:6" x14ac:dyDescent="0.25">
      <c r="A809" s="11">
        <v>2015</v>
      </c>
      <c r="B809" s="11" t="s">
        <v>237</v>
      </c>
      <c r="C809" s="18">
        <v>10.199999999999999</v>
      </c>
      <c r="D809" s="18">
        <v>11.6</v>
      </c>
      <c r="E809" s="18">
        <v>56.7</v>
      </c>
      <c r="F809" s="15">
        <v>1.79</v>
      </c>
    </row>
    <row r="810" spans="1:6" x14ac:dyDescent="0.25">
      <c r="A810" s="11">
        <v>2015</v>
      </c>
      <c r="B810" s="11" t="s">
        <v>238</v>
      </c>
      <c r="C810" s="18">
        <v>9.4</v>
      </c>
      <c r="D810" s="18">
        <v>11.6</v>
      </c>
      <c r="E810" s="18">
        <v>55.2</v>
      </c>
      <c r="F810" s="15">
        <v>1.77</v>
      </c>
    </row>
    <row r="811" spans="1:6" x14ac:dyDescent="0.25">
      <c r="A811" s="11">
        <v>2015</v>
      </c>
      <c r="B811" s="11" t="s">
        <v>239</v>
      </c>
      <c r="C811" s="18">
        <v>10.1</v>
      </c>
      <c r="D811" s="18">
        <v>10.6</v>
      </c>
      <c r="E811" s="18">
        <v>54.1</v>
      </c>
      <c r="F811" s="15">
        <v>1.66</v>
      </c>
    </row>
    <row r="812" spans="1:6" x14ac:dyDescent="0.25">
      <c r="A812" s="11">
        <v>2015</v>
      </c>
      <c r="B812" s="11" t="s">
        <v>240</v>
      </c>
      <c r="C812" s="18">
        <v>10.199999999999999</v>
      </c>
      <c r="D812" s="18">
        <v>11</v>
      </c>
      <c r="E812" s="18">
        <v>55.7</v>
      </c>
      <c r="F812" s="15">
        <v>1.7</v>
      </c>
    </row>
    <row r="813" spans="1:6" x14ac:dyDescent="0.25">
      <c r="A813" s="11">
        <v>2015</v>
      </c>
      <c r="B813" s="11" t="s">
        <v>241</v>
      </c>
      <c r="C813" s="18">
        <v>11.9</v>
      </c>
      <c r="D813" s="18">
        <v>9.1999999999999993</v>
      </c>
      <c r="E813" s="18">
        <v>51.7</v>
      </c>
      <c r="F813" s="15">
        <v>1.44</v>
      </c>
    </row>
    <row r="814" spans="1:6" x14ac:dyDescent="0.25">
      <c r="A814" s="11">
        <v>2015</v>
      </c>
      <c r="B814" s="11" t="s">
        <v>242</v>
      </c>
      <c r="C814" s="18">
        <v>9.5</v>
      </c>
      <c r="D814" s="18">
        <v>11.2</v>
      </c>
      <c r="E814" s="18">
        <v>56.9</v>
      </c>
      <c r="F814" s="15">
        <v>1.76</v>
      </c>
    </row>
    <row r="815" spans="1:6" x14ac:dyDescent="0.25">
      <c r="A815" s="11">
        <v>2015</v>
      </c>
      <c r="B815" s="11" t="s">
        <v>243</v>
      </c>
      <c r="C815" s="18">
        <v>8.8000000000000007</v>
      </c>
      <c r="D815" s="18">
        <v>10</v>
      </c>
      <c r="E815" s="18">
        <v>50.5</v>
      </c>
      <c r="F815" s="15">
        <v>1.54</v>
      </c>
    </row>
    <row r="816" spans="1:6" x14ac:dyDescent="0.25">
      <c r="A816" s="11">
        <v>2015</v>
      </c>
      <c r="B816" s="11" t="s">
        <v>244</v>
      </c>
      <c r="C816" s="18">
        <v>12.3</v>
      </c>
      <c r="D816" s="18">
        <v>12.8</v>
      </c>
      <c r="E816" s="18">
        <v>65.900000000000006</v>
      </c>
      <c r="F816" s="15">
        <v>2</v>
      </c>
    </row>
    <row r="817" spans="1:6" x14ac:dyDescent="0.25">
      <c r="A817" s="11">
        <v>2015</v>
      </c>
      <c r="B817" s="11" t="s">
        <v>245</v>
      </c>
      <c r="C817" s="18">
        <v>9.5</v>
      </c>
      <c r="D817" s="18">
        <v>11</v>
      </c>
      <c r="E817" s="18">
        <v>55.2</v>
      </c>
      <c r="F817" s="15">
        <v>1.72</v>
      </c>
    </row>
    <row r="818" spans="1:6" x14ac:dyDescent="0.25">
      <c r="A818" s="11">
        <v>2015</v>
      </c>
      <c r="B818" s="11" t="s">
        <v>282</v>
      </c>
      <c r="C818" s="18">
        <v>8.1999999999999993</v>
      </c>
      <c r="D818" s="18">
        <v>11.1</v>
      </c>
      <c r="E818" s="18">
        <v>54.6</v>
      </c>
      <c r="F818" s="15">
        <v>1.74</v>
      </c>
    </row>
    <row r="819" spans="1:6" x14ac:dyDescent="0.25">
      <c r="A819" s="11">
        <v>2015</v>
      </c>
      <c r="B819" s="11" t="s">
        <v>247</v>
      </c>
      <c r="C819" s="18">
        <v>9.1999999999999993</v>
      </c>
      <c r="D819" s="18">
        <v>10.6</v>
      </c>
      <c r="E819" s="18">
        <v>53</v>
      </c>
      <c r="F819" s="15">
        <v>1.65</v>
      </c>
    </row>
    <row r="820" spans="1:6" x14ac:dyDescent="0.25">
      <c r="A820" s="11">
        <v>2015</v>
      </c>
      <c r="B820" s="11" t="s">
        <v>248</v>
      </c>
      <c r="C820" s="18">
        <v>11</v>
      </c>
      <c r="D820" s="18">
        <v>11</v>
      </c>
      <c r="E820" s="18">
        <v>56.8</v>
      </c>
      <c r="F820" s="15">
        <v>1.71</v>
      </c>
    </row>
    <row r="821" spans="1:6" x14ac:dyDescent="0.25">
      <c r="A821" s="11">
        <v>2015</v>
      </c>
      <c r="B821" s="11" t="s">
        <v>249</v>
      </c>
      <c r="C821" s="18">
        <v>8.9</v>
      </c>
      <c r="D821" s="18">
        <v>10.8</v>
      </c>
      <c r="E821" s="18">
        <v>54.4</v>
      </c>
      <c r="F821" s="15">
        <v>1.66</v>
      </c>
    </row>
    <row r="822" spans="1:6" x14ac:dyDescent="0.25">
      <c r="A822" s="11">
        <v>2015</v>
      </c>
      <c r="B822" s="11" t="s">
        <v>250</v>
      </c>
      <c r="C822" s="18">
        <v>9.1</v>
      </c>
      <c r="D822" s="18">
        <v>11</v>
      </c>
      <c r="E822" s="18">
        <v>54.9</v>
      </c>
      <c r="F822" s="15">
        <v>1.7</v>
      </c>
    </row>
    <row r="823" spans="1:6" x14ac:dyDescent="0.25">
      <c r="A823" s="11">
        <v>2015</v>
      </c>
      <c r="B823" s="11" t="s">
        <v>251</v>
      </c>
      <c r="C823" s="18">
        <v>9.6999999999999993</v>
      </c>
      <c r="D823" s="18">
        <v>10.199999999999999</v>
      </c>
      <c r="E823" s="18">
        <v>52.4</v>
      </c>
      <c r="F823" s="15">
        <v>1.57</v>
      </c>
    </row>
    <row r="824" spans="1:6" x14ac:dyDescent="0.25">
      <c r="A824" s="11">
        <v>2015</v>
      </c>
      <c r="B824" s="11" t="s">
        <v>252</v>
      </c>
      <c r="C824" s="18">
        <v>9</v>
      </c>
      <c r="D824" s="18">
        <v>12</v>
      </c>
      <c r="E824" s="18">
        <v>57.8</v>
      </c>
      <c r="F824" s="15">
        <v>1.88</v>
      </c>
    </row>
    <row r="825" spans="1:6" x14ac:dyDescent="0.25">
      <c r="A825" s="11">
        <v>2015</v>
      </c>
      <c r="B825" s="11" t="s">
        <v>253</v>
      </c>
      <c r="C825" s="18">
        <v>10</v>
      </c>
      <c r="D825" s="18">
        <v>11.4</v>
      </c>
      <c r="E825" s="18">
        <v>57.2</v>
      </c>
      <c r="F825" s="15">
        <v>1.78</v>
      </c>
    </row>
    <row r="826" spans="1:6" x14ac:dyDescent="0.25">
      <c r="A826" s="11">
        <v>2015</v>
      </c>
      <c r="B826" s="11" t="s">
        <v>254</v>
      </c>
      <c r="C826" s="18">
        <v>9.1999999999999993</v>
      </c>
      <c r="D826" s="18">
        <v>11.3</v>
      </c>
      <c r="E826" s="18">
        <v>56.2</v>
      </c>
      <c r="F826" s="15">
        <v>1.75</v>
      </c>
    </row>
    <row r="827" spans="1:6" x14ac:dyDescent="0.25">
      <c r="A827" s="11">
        <v>2015</v>
      </c>
      <c r="B827" s="11" t="s">
        <v>255</v>
      </c>
      <c r="C827" s="18">
        <v>10</v>
      </c>
      <c r="D827" s="18">
        <v>10.7</v>
      </c>
      <c r="E827" s="18">
        <v>54.8</v>
      </c>
      <c r="F827" s="15">
        <v>1.66</v>
      </c>
    </row>
    <row r="828" spans="1:6" x14ac:dyDescent="0.25">
      <c r="A828" s="11">
        <v>2015</v>
      </c>
      <c r="B828" s="11" t="s">
        <v>256</v>
      </c>
      <c r="C828" s="18">
        <v>8.6999999999999993</v>
      </c>
      <c r="D828" s="18">
        <v>9.5</v>
      </c>
      <c r="E828" s="18">
        <v>45.6</v>
      </c>
      <c r="F828" s="15">
        <v>1.51</v>
      </c>
    </row>
    <row r="829" spans="1:6" x14ac:dyDescent="0.25">
      <c r="A829" s="11">
        <v>2015</v>
      </c>
      <c r="B829" s="11" t="s">
        <v>257</v>
      </c>
      <c r="C829" s="18">
        <v>10.3</v>
      </c>
      <c r="D829" s="18">
        <v>10.5</v>
      </c>
      <c r="E829" s="18">
        <v>55.1</v>
      </c>
      <c r="F829" s="15">
        <v>1.62</v>
      </c>
    </row>
    <row r="830" spans="1:6" x14ac:dyDescent="0.25">
      <c r="A830" s="11">
        <v>2015</v>
      </c>
      <c r="B830" s="11" t="s">
        <v>258</v>
      </c>
      <c r="C830" s="18">
        <v>11.1</v>
      </c>
      <c r="D830" s="18">
        <v>11.4</v>
      </c>
      <c r="E830" s="18">
        <v>57.9</v>
      </c>
      <c r="F830" s="15">
        <v>1.77</v>
      </c>
    </row>
    <row r="831" spans="1:6" x14ac:dyDescent="0.25">
      <c r="A831" s="11">
        <v>2016</v>
      </c>
      <c r="B831" s="11" t="s">
        <v>11</v>
      </c>
      <c r="C831" s="18">
        <v>10.1</v>
      </c>
      <c r="D831" s="18">
        <v>10.1</v>
      </c>
      <c r="E831" s="18">
        <v>53.4</v>
      </c>
      <c r="F831" s="15">
        <v>1.56</v>
      </c>
    </row>
    <row r="832" spans="1:6" x14ac:dyDescent="0.25">
      <c r="A832" s="11">
        <v>2016</v>
      </c>
      <c r="B832" s="11" t="s">
        <v>227</v>
      </c>
      <c r="C832" s="18">
        <v>11.2</v>
      </c>
      <c r="D832" s="18">
        <v>8.8000000000000007</v>
      </c>
      <c r="E832" s="18">
        <v>48.9</v>
      </c>
      <c r="F832" s="15">
        <v>1.38</v>
      </c>
    </row>
    <row r="833" spans="1:6" x14ac:dyDescent="0.25">
      <c r="A833" s="11">
        <v>2016</v>
      </c>
      <c r="B833" s="11" t="s">
        <v>228</v>
      </c>
      <c r="C833" s="18">
        <v>10.7</v>
      </c>
      <c r="D833" s="18">
        <v>11.8</v>
      </c>
      <c r="E833" s="18">
        <v>60.7</v>
      </c>
      <c r="F833" s="15">
        <v>1.83</v>
      </c>
    </row>
    <row r="834" spans="1:6" x14ac:dyDescent="0.25">
      <c r="A834" s="11">
        <v>2016</v>
      </c>
      <c r="B834" s="11" t="s">
        <v>229</v>
      </c>
      <c r="C834" s="18">
        <v>8.8000000000000007</v>
      </c>
      <c r="D834" s="18">
        <v>10.6</v>
      </c>
      <c r="E834" s="18">
        <v>53.4</v>
      </c>
      <c r="F834" s="15">
        <v>1.64</v>
      </c>
    </row>
    <row r="835" spans="1:6" x14ac:dyDescent="0.25">
      <c r="A835" s="11">
        <v>2016</v>
      </c>
      <c r="B835" s="11" t="s">
        <v>230</v>
      </c>
      <c r="C835" s="18">
        <v>7.9</v>
      </c>
      <c r="D835" s="18">
        <v>11</v>
      </c>
      <c r="E835" s="18">
        <v>54.5</v>
      </c>
      <c r="F835" s="15">
        <v>1.7</v>
      </c>
    </row>
    <row r="836" spans="1:6" x14ac:dyDescent="0.25">
      <c r="A836" s="11">
        <v>2016</v>
      </c>
      <c r="B836" s="11" t="s">
        <v>231</v>
      </c>
      <c r="C836" s="18">
        <v>10.7</v>
      </c>
      <c r="D836" s="18">
        <v>8.1</v>
      </c>
      <c r="E836" s="18">
        <v>45.3</v>
      </c>
      <c r="F836" s="15">
        <v>1.28</v>
      </c>
    </row>
    <row r="837" spans="1:6" x14ac:dyDescent="0.25">
      <c r="A837" s="11">
        <v>2016</v>
      </c>
      <c r="B837" s="11" t="s">
        <v>232</v>
      </c>
      <c r="C837" s="18">
        <v>9.8000000000000007</v>
      </c>
      <c r="D837" s="18">
        <v>11.1</v>
      </c>
      <c r="E837" s="18">
        <v>56.1</v>
      </c>
      <c r="F837" s="15">
        <v>1.73</v>
      </c>
    </row>
    <row r="838" spans="1:6" x14ac:dyDescent="0.25">
      <c r="A838" s="11">
        <v>2016</v>
      </c>
      <c r="B838" s="11" t="s">
        <v>233</v>
      </c>
      <c r="C838" s="18">
        <v>8.9</v>
      </c>
      <c r="D838" s="18">
        <v>11.4</v>
      </c>
      <c r="E838" s="18">
        <v>57.7</v>
      </c>
      <c r="F838" s="15">
        <v>1.76</v>
      </c>
    </row>
    <row r="839" spans="1:6" x14ac:dyDescent="0.25">
      <c r="A839" s="11">
        <v>2016</v>
      </c>
      <c r="B839" s="11" t="s">
        <v>234</v>
      </c>
      <c r="C839" s="18">
        <v>10.7</v>
      </c>
      <c r="D839" s="18">
        <v>9.3000000000000007</v>
      </c>
      <c r="E839" s="18">
        <v>50.4</v>
      </c>
      <c r="F839" s="15">
        <v>1.43</v>
      </c>
    </row>
    <row r="840" spans="1:6" x14ac:dyDescent="0.25">
      <c r="A840" s="11">
        <v>2016</v>
      </c>
      <c r="B840" s="11" t="s">
        <v>235</v>
      </c>
      <c r="C840" s="18">
        <v>10.5</v>
      </c>
      <c r="D840" s="18">
        <v>11.5</v>
      </c>
      <c r="E840" s="18">
        <v>59.4</v>
      </c>
      <c r="F840" s="15">
        <v>1.78</v>
      </c>
    </row>
    <row r="841" spans="1:6" x14ac:dyDescent="0.25">
      <c r="A841" s="11">
        <v>2016</v>
      </c>
      <c r="B841" s="11" t="s">
        <v>236</v>
      </c>
      <c r="C841" s="18">
        <v>8.8000000000000007</v>
      </c>
      <c r="D841" s="18">
        <v>11.2</v>
      </c>
      <c r="E841" s="18">
        <v>55.1</v>
      </c>
      <c r="F841" s="15">
        <v>1.73</v>
      </c>
    </row>
    <row r="842" spans="1:6" x14ac:dyDescent="0.25">
      <c r="A842" s="11">
        <v>2016</v>
      </c>
      <c r="B842" s="11" t="s">
        <v>237</v>
      </c>
      <c r="C842" s="18">
        <v>9.9</v>
      </c>
      <c r="D842" s="18">
        <v>11.2</v>
      </c>
      <c r="E842" s="18">
        <v>55.9</v>
      </c>
      <c r="F842" s="15">
        <v>1.74</v>
      </c>
    </row>
    <row r="843" spans="1:6" x14ac:dyDescent="0.25">
      <c r="A843" s="11">
        <v>2016</v>
      </c>
      <c r="B843" s="11" t="s">
        <v>238</v>
      </c>
      <c r="C843" s="18">
        <v>9.1999999999999993</v>
      </c>
      <c r="D843" s="18">
        <v>11.3</v>
      </c>
      <c r="E843" s="18">
        <v>54.6</v>
      </c>
      <c r="F843" s="15">
        <v>1.73</v>
      </c>
    </row>
    <row r="844" spans="1:6" x14ac:dyDescent="0.25">
      <c r="A844" s="11">
        <v>2016</v>
      </c>
      <c r="B844" s="11" t="s">
        <v>239</v>
      </c>
      <c r="C844" s="18">
        <v>9.9</v>
      </c>
      <c r="D844" s="18">
        <v>10.4</v>
      </c>
      <c r="E844" s="18">
        <v>53.4</v>
      </c>
      <c r="F844" s="15">
        <v>1.62</v>
      </c>
    </row>
    <row r="845" spans="1:6" x14ac:dyDescent="0.25">
      <c r="A845" s="11">
        <v>2016</v>
      </c>
      <c r="B845" s="11" t="s">
        <v>240</v>
      </c>
      <c r="C845" s="18">
        <v>10.1</v>
      </c>
      <c r="D845" s="18">
        <v>11</v>
      </c>
      <c r="E845" s="18">
        <v>55.9</v>
      </c>
      <c r="F845" s="15">
        <v>1.69</v>
      </c>
    </row>
    <row r="846" spans="1:6" x14ac:dyDescent="0.25">
      <c r="A846" s="11">
        <v>2016</v>
      </c>
      <c r="B846" s="11" t="s">
        <v>241</v>
      </c>
      <c r="C846" s="18">
        <v>11.4</v>
      </c>
      <c r="D846" s="18">
        <v>8.8000000000000007</v>
      </c>
      <c r="E846" s="18">
        <v>49.3</v>
      </c>
      <c r="F846" s="15">
        <v>1.36</v>
      </c>
    </row>
    <row r="847" spans="1:6" x14ac:dyDescent="0.25">
      <c r="A847" s="11">
        <v>2016</v>
      </c>
      <c r="B847" s="11" t="s">
        <v>242</v>
      </c>
      <c r="C847" s="18">
        <v>9.1999999999999993</v>
      </c>
      <c r="D847" s="18">
        <v>10.8</v>
      </c>
      <c r="E847" s="18">
        <v>55.5</v>
      </c>
      <c r="F847" s="15">
        <v>1.68</v>
      </c>
    </row>
    <row r="848" spans="1:6" x14ac:dyDescent="0.25">
      <c r="A848" s="11">
        <v>2016</v>
      </c>
      <c r="B848" s="11" t="s">
        <v>243</v>
      </c>
      <c r="C848" s="18">
        <v>8.8000000000000007</v>
      </c>
      <c r="D848" s="18">
        <v>10</v>
      </c>
      <c r="E848" s="18">
        <v>51</v>
      </c>
      <c r="F848" s="15">
        <v>1.54</v>
      </c>
    </row>
    <row r="849" spans="1:6" x14ac:dyDescent="0.25">
      <c r="A849" s="11">
        <v>2016</v>
      </c>
      <c r="B849" s="11" t="s">
        <v>244</v>
      </c>
      <c r="C849" s="18">
        <v>12.2</v>
      </c>
      <c r="D849" s="18">
        <v>12.6</v>
      </c>
      <c r="E849" s="18">
        <v>65.599999999999994</v>
      </c>
      <c r="F849" s="15">
        <v>1.95</v>
      </c>
    </row>
    <row r="850" spans="1:6" x14ac:dyDescent="0.25">
      <c r="A850" s="11">
        <v>2016</v>
      </c>
      <c r="B850" s="11" t="s">
        <v>245</v>
      </c>
      <c r="C850" s="18">
        <v>9.9</v>
      </c>
      <c r="D850" s="18">
        <v>11.4</v>
      </c>
      <c r="E850" s="18">
        <v>58.3</v>
      </c>
      <c r="F850" s="15">
        <v>1.77</v>
      </c>
    </row>
    <row r="851" spans="1:6" x14ac:dyDescent="0.25">
      <c r="A851" s="11">
        <v>2016</v>
      </c>
      <c r="B851" s="11" t="s">
        <v>282</v>
      </c>
      <c r="C851" s="18">
        <v>8.9</v>
      </c>
      <c r="D851" s="18">
        <v>12</v>
      </c>
      <c r="E851" s="18">
        <v>59.4</v>
      </c>
      <c r="F851" s="15">
        <v>1.88</v>
      </c>
    </row>
    <row r="852" spans="1:6" x14ac:dyDescent="0.25">
      <c r="A852" s="11">
        <v>2016</v>
      </c>
      <c r="B852" s="11" t="s">
        <v>247</v>
      </c>
      <c r="C852" s="18">
        <v>9.1999999999999993</v>
      </c>
      <c r="D852" s="18">
        <v>10.6</v>
      </c>
      <c r="E852" s="18">
        <v>53.5</v>
      </c>
      <c r="F852" s="15">
        <v>1.64</v>
      </c>
    </row>
    <row r="853" spans="1:6" x14ac:dyDescent="0.25">
      <c r="A853" s="11">
        <v>2016</v>
      </c>
      <c r="B853" s="11" t="s">
        <v>248</v>
      </c>
      <c r="C853" s="18">
        <v>10.3</v>
      </c>
      <c r="D853" s="18">
        <v>10.5</v>
      </c>
      <c r="E853" s="18">
        <v>54.1</v>
      </c>
      <c r="F853" s="15">
        <v>1.61</v>
      </c>
    </row>
    <row r="854" spans="1:6" x14ac:dyDescent="0.25">
      <c r="A854" s="11">
        <v>2016</v>
      </c>
      <c r="B854" s="11" t="s">
        <v>249</v>
      </c>
      <c r="C854" s="18">
        <v>8.1999999999999993</v>
      </c>
      <c r="D854" s="18">
        <v>10</v>
      </c>
      <c r="E854" s="18">
        <v>51.3</v>
      </c>
      <c r="F854" s="15">
        <v>1.54</v>
      </c>
    </row>
    <row r="855" spans="1:6" x14ac:dyDescent="0.25">
      <c r="A855" s="11">
        <v>2016</v>
      </c>
      <c r="B855" s="11" t="s">
        <v>250</v>
      </c>
      <c r="C855" s="18">
        <v>8.9</v>
      </c>
      <c r="D855" s="18">
        <v>10.7</v>
      </c>
      <c r="E855" s="18">
        <v>54</v>
      </c>
      <c r="F855" s="15">
        <v>1.65</v>
      </c>
    </row>
    <row r="856" spans="1:6" x14ac:dyDescent="0.25">
      <c r="A856" s="11">
        <v>2016</v>
      </c>
      <c r="B856" s="11" t="s">
        <v>251</v>
      </c>
      <c r="C856" s="18">
        <v>10</v>
      </c>
      <c r="D856" s="18">
        <v>10.3</v>
      </c>
      <c r="E856" s="18">
        <v>54.1</v>
      </c>
      <c r="F856" s="15">
        <v>1.59</v>
      </c>
    </row>
    <row r="857" spans="1:6" x14ac:dyDescent="0.25">
      <c r="A857" s="11">
        <v>2016</v>
      </c>
      <c r="B857" s="11" t="s">
        <v>252</v>
      </c>
      <c r="C857" s="18">
        <v>8.6999999999999993</v>
      </c>
      <c r="D857" s="18">
        <v>11.6</v>
      </c>
      <c r="E857" s="18">
        <v>56.7</v>
      </c>
      <c r="F857" s="15">
        <v>1.8</v>
      </c>
    </row>
    <row r="858" spans="1:6" x14ac:dyDescent="0.25">
      <c r="A858" s="11">
        <v>2016</v>
      </c>
      <c r="B858" s="11" t="s">
        <v>253</v>
      </c>
      <c r="C858" s="18">
        <v>11.4</v>
      </c>
      <c r="D858" s="18">
        <v>13.1</v>
      </c>
      <c r="E858" s="18">
        <v>66.599999999999994</v>
      </c>
      <c r="F858" s="15">
        <v>2.0299999999999998</v>
      </c>
    </row>
    <row r="859" spans="1:6" x14ac:dyDescent="0.25">
      <c r="A859" s="11">
        <v>2016</v>
      </c>
      <c r="B859" s="11" t="s">
        <v>254</v>
      </c>
      <c r="C859" s="18">
        <v>8.6999999999999993</v>
      </c>
      <c r="D859" s="18">
        <v>10.8</v>
      </c>
      <c r="E859" s="18">
        <v>54.2</v>
      </c>
      <c r="F859" s="15">
        <v>1.66</v>
      </c>
    </row>
    <row r="860" spans="1:6" x14ac:dyDescent="0.25">
      <c r="A860" s="11">
        <v>2016</v>
      </c>
      <c r="B860" s="11" t="s">
        <v>255</v>
      </c>
      <c r="C860" s="18">
        <v>10.4</v>
      </c>
      <c r="D860" s="18">
        <v>11.2</v>
      </c>
      <c r="E860" s="18">
        <v>57.5</v>
      </c>
      <c r="F860" s="15">
        <v>1.72</v>
      </c>
    </row>
    <row r="861" spans="1:6" x14ac:dyDescent="0.25">
      <c r="A861" s="11">
        <v>2016</v>
      </c>
      <c r="B861" s="11" t="s">
        <v>256</v>
      </c>
      <c r="C861" s="18">
        <v>8.8000000000000007</v>
      </c>
      <c r="D861" s="18">
        <v>9.5</v>
      </c>
      <c r="E861" s="18">
        <v>46.3</v>
      </c>
      <c r="F861" s="15">
        <v>1.51</v>
      </c>
    </row>
    <row r="862" spans="1:6" x14ac:dyDescent="0.25">
      <c r="A862" s="11">
        <v>2016</v>
      </c>
      <c r="B862" s="11" t="s">
        <v>257</v>
      </c>
      <c r="C862" s="18">
        <v>10.6</v>
      </c>
      <c r="D862" s="18">
        <v>10.9</v>
      </c>
      <c r="E862" s="18">
        <v>57.8</v>
      </c>
      <c r="F862" s="15">
        <v>1.67</v>
      </c>
    </row>
    <row r="863" spans="1:6" x14ac:dyDescent="0.25">
      <c r="A863" s="11">
        <v>2016</v>
      </c>
      <c r="B863" s="11" t="s">
        <v>258</v>
      </c>
      <c r="C863" s="18">
        <v>11.2</v>
      </c>
      <c r="D863" s="18">
        <v>11.4</v>
      </c>
      <c r="E863" s="18">
        <v>58.6</v>
      </c>
      <c r="F863" s="15">
        <v>1.76</v>
      </c>
    </row>
    <row r="864" spans="1:6" x14ac:dyDescent="0.25">
      <c r="A864" s="11">
        <v>2017</v>
      </c>
      <c r="B864" s="11" t="s">
        <v>11</v>
      </c>
      <c r="C864" s="18">
        <v>9.8000000000000007</v>
      </c>
      <c r="D864" s="18">
        <v>9.8000000000000007</v>
      </c>
      <c r="E864" s="18">
        <v>52</v>
      </c>
      <c r="F864" s="15">
        <v>1.51</v>
      </c>
    </row>
    <row r="865" spans="1:6" x14ac:dyDescent="0.25">
      <c r="A865" s="11">
        <v>2017</v>
      </c>
      <c r="B865" s="11" t="s">
        <v>227</v>
      </c>
      <c r="C865" s="18">
        <v>10.7</v>
      </c>
      <c r="D865" s="18">
        <v>8.6</v>
      </c>
      <c r="E865" s="18">
        <v>47.4</v>
      </c>
      <c r="F865" s="15">
        <v>1.33</v>
      </c>
    </row>
    <row r="866" spans="1:6" x14ac:dyDescent="0.25">
      <c r="A866" s="11">
        <v>2017</v>
      </c>
      <c r="B866" s="11" t="s">
        <v>228</v>
      </c>
      <c r="C866" s="18">
        <v>10.1</v>
      </c>
      <c r="D866" s="18">
        <v>11.4</v>
      </c>
      <c r="E866" s="18">
        <v>58.6</v>
      </c>
      <c r="F866" s="15">
        <v>1.77</v>
      </c>
    </row>
    <row r="867" spans="1:6" x14ac:dyDescent="0.25">
      <c r="A867" s="11">
        <v>2017</v>
      </c>
      <c r="B867" s="11" t="s">
        <v>229</v>
      </c>
      <c r="C867" s="18">
        <v>9.1</v>
      </c>
      <c r="D867" s="18">
        <v>10.9</v>
      </c>
      <c r="E867" s="18">
        <v>55.8</v>
      </c>
      <c r="F867" s="15">
        <v>1.69</v>
      </c>
    </row>
    <row r="868" spans="1:6" x14ac:dyDescent="0.25">
      <c r="A868" s="11">
        <v>2017</v>
      </c>
      <c r="B868" s="11" t="s">
        <v>230</v>
      </c>
      <c r="C868" s="18">
        <v>7.5</v>
      </c>
      <c r="D868" s="18">
        <v>10.4</v>
      </c>
      <c r="E868" s="18">
        <v>52.7</v>
      </c>
      <c r="F868" s="15">
        <v>1.61</v>
      </c>
    </row>
    <row r="869" spans="1:6" x14ac:dyDescent="0.25">
      <c r="A869" s="11">
        <v>2017</v>
      </c>
      <c r="B869" s="11" t="s">
        <v>231</v>
      </c>
      <c r="C869" s="18">
        <v>10.1</v>
      </c>
      <c r="D869" s="18">
        <v>7.6</v>
      </c>
      <c r="E869" s="18">
        <v>42.6</v>
      </c>
      <c r="F869" s="15">
        <v>1.21</v>
      </c>
    </row>
    <row r="870" spans="1:6" x14ac:dyDescent="0.25">
      <c r="A870" s="11">
        <v>2017</v>
      </c>
      <c r="B870" s="11" t="s">
        <v>232</v>
      </c>
      <c r="C870" s="18">
        <v>10.4</v>
      </c>
      <c r="D870" s="18">
        <v>11.7</v>
      </c>
      <c r="E870" s="18">
        <v>59.8</v>
      </c>
      <c r="F870" s="15">
        <v>1.81</v>
      </c>
    </row>
    <row r="871" spans="1:6" x14ac:dyDescent="0.25">
      <c r="A871" s="11">
        <v>2017</v>
      </c>
      <c r="B871" s="11" t="s">
        <v>233</v>
      </c>
      <c r="C871" s="18">
        <v>8.4</v>
      </c>
      <c r="D871" s="18">
        <v>10.8</v>
      </c>
      <c r="E871" s="18">
        <v>55.7</v>
      </c>
      <c r="F871" s="15">
        <v>1.66</v>
      </c>
    </row>
    <row r="872" spans="1:6" x14ac:dyDescent="0.25">
      <c r="A872" s="11">
        <v>2017</v>
      </c>
      <c r="B872" s="11" t="s">
        <v>234</v>
      </c>
      <c r="C872" s="18">
        <v>10.1</v>
      </c>
      <c r="D872" s="18">
        <v>8.8000000000000007</v>
      </c>
      <c r="E872" s="18">
        <v>47.3</v>
      </c>
      <c r="F872" s="15">
        <v>1.34</v>
      </c>
    </row>
    <row r="873" spans="1:6" x14ac:dyDescent="0.25">
      <c r="A873" s="11">
        <v>2017</v>
      </c>
      <c r="B873" s="11" t="s">
        <v>235</v>
      </c>
      <c r="C873" s="18">
        <v>9.5</v>
      </c>
      <c r="D873" s="18">
        <v>10.4</v>
      </c>
      <c r="E873" s="18">
        <v>54.6</v>
      </c>
      <c r="F873" s="15">
        <v>1.62</v>
      </c>
    </row>
    <row r="874" spans="1:6" x14ac:dyDescent="0.25">
      <c r="A874" s="11">
        <v>2017</v>
      </c>
      <c r="B874" s="11" t="s">
        <v>236</v>
      </c>
      <c r="C874" s="18">
        <v>9.6</v>
      </c>
      <c r="D874" s="18">
        <v>12</v>
      </c>
      <c r="E874" s="18">
        <v>60.1</v>
      </c>
      <c r="F874" s="15">
        <v>1.81</v>
      </c>
    </row>
    <row r="875" spans="1:6" x14ac:dyDescent="0.25">
      <c r="A875" s="11">
        <v>2017</v>
      </c>
      <c r="B875" s="11" t="s">
        <v>237</v>
      </c>
      <c r="C875" s="18">
        <v>9.1999999999999993</v>
      </c>
      <c r="D875" s="18">
        <v>10.4</v>
      </c>
      <c r="E875" s="18">
        <v>52.3</v>
      </c>
      <c r="F875" s="15">
        <v>1.61</v>
      </c>
    </row>
    <row r="876" spans="1:6" x14ac:dyDescent="0.25">
      <c r="A876" s="11">
        <v>2017</v>
      </c>
      <c r="B876" s="11" t="s">
        <v>238</v>
      </c>
      <c r="C876" s="18">
        <v>9.3000000000000007</v>
      </c>
      <c r="D876" s="18">
        <v>11.5</v>
      </c>
      <c r="E876" s="18">
        <v>56.2</v>
      </c>
      <c r="F876" s="15">
        <v>1.75</v>
      </c>
    </row>
    <row r="877" spans="1:6" x14ac:dyDescent="0.25">
      <c r="A877" s="11">
        <v>2017</v>
      </c>
      <c r="B877" s="11" t="s">
        <v>239</v>
      </c>
      <c r="C877" s="18">
        <v>9.8000000000000007</v>
      </c>
      <c r="D877" s="18">
        <v>10.3</v>
      </c>
      <c r="E877" s="18">
        <v>53.8</v>
      </c>
      <c r="F877" s="15">
        <v>1.6</v>
      </c>
    </row>
    <row r="878" spans="1:6" x14ac:dyDescent="0.25">
      <c r="A878" s="11">
        <v>2017</v>
      </c>
      <c r="B878" s="11" t="s">
        <v>240</v>
      </c>
      <c r="C878" s="18">
        <v>9.4</v>
      </c>
      <c r="D878" s="18">
        <v>10.199999999999999</v>
      </c>
      <c r="E878" s="18">
        <v>52.1</v>
      </c>
      <c r="F878" s="15">
        <v>1.56</v>
      </c>
    </row>
    <row r="879" spans="1:6" x14ac:dyDescent="0.25">
      <c r="A879" s="11">
        <v>2017</v>
      </c>
      <c r="B879" s="11" t="s">
        <v>241</v>
      </c>
      <c r="C879" s="18">
        <v>11.3</v>
      </c>
      <c r="D879" s="18">
        <v>8.6999999999999993</v>
      </c>
      <c r="E879" s="18">
        <v>49.2</v>
      </c>
      <c r="F879" s="15">
        <v>1.36</v>
      </c>
    </row>
    <row r="880" spans="1:6" x14ac:dyDescent="0.25">
      <c r="A880" s="11">
        <v>2017</v>
      </c>
      <c r="B880" s="11" t="s">
        <v>242</v>
      </c>
      <c r="C880" s="18">
        <v>8.9</v>
      </c>
      <c r="D880" s="18">
        <v>10.5</v>
      </c>
      <c r="E880" s="18">
        <v>54.6</v>
      </c>
      <c r="F880" s="15">
        <v>1.64</v>
      </c>
    </row>
    <row r="881" spans="1:6" x14ac:dyDescent="0.25">
      <c r="A881" s="11">
        <v>2017</v>
      </c>
      <c r="B881" s="11" t="s">
        <v>243</v>
      </c>
      <c r="C881" s="18">
        <v>8.4</v>
      </c>
      <c r="D881" s="18">
        <v>9.4</v>
      </c>
      <c r="E881" s="18">
        <v>48.9</v>
      </c>
      <c r="F881" s="15">
        <v>1.45</v>
      </c>
    </row>
    <row r="882" spans="1:6" x14ac:dyDescent="0.25">
      <c r="A882" s="11">
        <v>2017</v>
      </c>
      <c r="B882" s="11" t="s">
        <v>244</v>
      </c>
      <c r="C882" s="18">
        <v>12.2</v>
      </c>
      <c r="D882" s="18">
        <v>12.4</v>
      </c>
      <c r="E882" s="18">
        <v>66</v>
      </c>
      <c r="F882" s="15">
        <v>1.91</v>
      </c>
    </row>
    <row r="883" spans="1:6" x14ac:dyDescent="0.25">
      <c r="A883" s="11">
        <v>2017</v>
      </c>
      <c r="B883" s="11" t="s">
        <v>245</v>
      </c>
      <c r="C883" s="18">
        <v>9</v>
      </c>
      <c r="D883" s="18">
        <v>10.5</v>
      </c>
      <c r="E883" s="18">
        <v>54.6</v>
      </c>
      <c r="F883" s="15">
        <v>1.65</v>
      </c>
    </row>
    <row r="884" spans="1:6" x14ac:dyDescent="0.25">
      <c r="A884" s="11">
        <v>2017</v>
      </c>
      <c r="B884" s="11" t="s">
        <v>282</v>
      </c>
      <c r="C884" s="18">
        <v>8.1</v>
      </c>
      <c r="D884" s="18">
        <v>11</v>
      </c>
      <c r="E884" s="18">
        <v>54.6</v>
      </c>
      <c r="F884" s="15">
        <v>1.7</v>
      </c>
    </row>
    <row r="885" spans="1:6" x14ac:dyDescent="0.25">
      <c r="A885" s="11">
        <v>2017</v>
      </c>
      <c r="B885" s="11" t="s">
        <v>247</v>
      </c>
      <c r="C885" s="18">
        <v>8.8000000000000007</v>
      </c>
      <c r="D885" s="18">
        <v>10.199999999999999</v>
      </c>
      <c r="E885" s="18">
        <v>52.1</v>
      </c>
      <c r="F885" s="15">
        <v>1.58</v>
      </c>
    </row>
    <row r="886" spans="1:6" x14ac:dyDescent="0.25">
      <c r="A886" s="11">
        <v>2017</v>
      </c>
      <c r="B886" s="11" t="s">
        <v>248</v>
      </c>
      <c r="C886" s="18">
        <v>10.5</v>
      </c>
      <c r="D886" s="18">
        <v>10.6</v>
      </c>
      <c r="E886" s="18">
        <v>55.2</v>
      </c>
      <c r="F886" s="15">
        <v>1.64</v>
      </c>
    </row>
    <row r="887" spans="1:6" x14ac:dyDescent="0.25">
      <c r="A887" s="11">
        <v>2017</v>
      </c>
      <c r="B887" s="11" t="s">
        <v>249</v>
      </c>
      <c r="C887" s="18">
        <v>8.5</v>
      </c>
      <c r="D887" s="18">
        <v>10.199999999999999</v>
      </c>
      <c r="E887" s="18">
        <v>53.3</v>
      </c>
      <c r="F887" s="15">
        <v>1.55</v>
      </c>
    </row>
    <row r="888" spans="1:6" x14ac:dyDescent="0.25">
      <c r="A888" s="11">
        <v>2017</v>
      </c>
      <c r="B888" s="11" t="s">
        <v>250</v>
      </c>
      <c r="C888" s="18">
        <v>8.1</v>
      </c>
      <c r="D888" s="18">
        <v>9.6999999999999993</v>
      </c>
      <c r="E888" s="18">
        <v>49.8</v>
      </c>
      <c r="F888" s="15">
        <v>1.5</v>
      </c>
    </row>
    <row r="889" spans="1:6" x14ac:dyDescent="0.25">
      <c r="A889" s="11">
        <v>2017</v>
      </c>
      <c r="B889" s="11" t="s">
        <v>251</v>
      </c>
      <c r="C889" s="18">
        <v>10</v>
      </c>
      <c r="D889" s="18">
        <v>10.3</v>
      </c>
      <c r="E889" s="18">
        <v>54.7</v>
      </c>
      <c r="F889" s="15">
        <v>1.58</v>
      </c>
    </row>
    <row r="890" spans="1:6" x14ac:dyDescent="0.25">
      <c r="A890" s="11">
        <v>2017</v>
      </c>
      <c r="B890" s="11" t="s">
        <v>252</v>
      </c>
      <c r="C890" s="18">
        <v>8.5</v>
      </c>
      <c r="D890" s="18">
        <v>11.3</v>
      </c>
      <c r="E890" s="18">
        <v>56.2</v>
      </c>
      <c r="F890" s="15">
        <v>1.75</v>
      </c>
    </row>
    <row r="891" spans="1:6" x14ac:dyDescent="0.25">
      <c r="A891" s="11">
        <v>2017</v>
      </c>
      <c r="B891" s="11" t="s">
        <v>253</v>
      </c>
      <c r="C891" s="18">
        <v>9.4</v>
      </c>
      <c r="D891" s="18">
        <v>11</v>
      </c>
      <c r="E891" s="18">
        <v>56.1</v>
      </c>
      <c r="F891" s="15">
        <v>1.69</v>
      </c>
    </row>
    <row r="892" spans="1:6" x14ac:dyDescent="0.25">
      <c r="A892" s="11">
        <v>2017</v>
      </c>
      <c r="B892" s="11" t="s">
        <v>254</v>
      </c>
      <c r="C892" s="18">
        <v>8.3000000000000007</v>
      </c>
      <c r="D892" s="18">
        <v>10.4</v>
      </c>
      <c r="E892" s="18">
        <v>52.9</v>
      </c>
      <c r="F892" s="15">
        <v>1.6</v>
      </c>
    </row>
    <row r="893" spans="1:6" x14ac:dyDescent="0.25">
      <c r="A893" s="11">
        <v>2017</v>
      </c>
      <c r="B893" s="11" t="s">
        <v>255</v>
      </c>
      <c r="C893" s="18">
        <v>10</v>
      </c>
      <c r="D893" s="18">
        <v>10.7</v>
      </c>
      <c r="E893" s="18">
        <v>55.9</v>
      </c>
      <c r="F893" s="15">
        <v>1.66</v>
      </c>
    </row>
    <row r="894" spans="1:6" x14ac:dyDescent="0.25">
      <c r="A894" s="11">
        <v>2017</v>
      </c>
      <c r="B894" s="11" t="s">
        <v>256</v>
      </c>
      <c r="C894" s="18">
        <v>8.8000000000000007</v>
      </c>
      <c r="D894" s="18">
        <v>9.5</v>
      </c>
      <c r="E894" s="18">
        <v>46.4</v>
      </c>
      <c r="F894" s="15">
        <v>1.52</v>
      </c>
    </row>
    <row r="895" spans="1:6" x14ac:dyDescent="0.25">
      <c r="A895" s="11">
        <v>2017</v>
      </c>
      <c r="B895" s="11" t="s">
        <v>257</v>
      </c>
      <c r="C895" s="18">
        <v>9.9</v>
      </c>
      <c r="D895" s="18">
        <v>10.199999999999999</v>
      </c>
      <c r="E895" s="18">
        <v>54.2</v>
      </c>
      <c r="F895" s="15">
        <v>1.57</v>
      </c>
    </row>
    <row r="896" spans="1:6" x14ac:dyDescent="0.25">
      <c r="A896" s="11">
        <v>2017</v>
      </c>
      <c r="B896" s="11" t="s">
        <v>258</v>
      </c>
      <c r="C896" s="18">
        <v>10.8</v>
      </c>
      <c r="D896" s="18">
        <v>10.9</v>
      </c>
      <c r="E896" s="18">
        <v>57</v>
      </c>
      <c r="F896" s="15">
        <v>1.69</v>
      </c>
    </row>
    <row r="897" spans="1:6" x14ac:dyDescent="0.25">
      <c r="A897" s="11">
        <v>2018</v>
      </c>
      <c r="B897" s="11" t="s">
        <v>11</v>
      </c>
      <c r="C897" s="18">
        <v>9.5</v>
      </c>
      <c r="D897" s="18">
        <v>9.5</v>
      </c>
      <c r="E897" s="18">
        <v>50.6</v>
      </c>
      <c r="F897" s="15">
        <v>1.46</v>
      </c>
    </row>
    <row r="898" spans="1:6" x14ac:dyDescent="0.25">
      <c r="A898" s="11">
        <v>2018</v>
      </c>
      <c r="B898" s="11" t="s">
        <v>227</v>
      </c>
      <c r="C898" s="18">
        <v>10.5</v>
      </c>
      <c r="D898" s="18">
        <v>8.4</v>
      </c>
      <c r="E898" s="18">
        <v>46.4</v>
      </c>
      <c r="F898" s="15">
        <v>1.32</v>
      </c>
    </row>
    <row r="899" spans="1:6" x14ac:dyDescent="0.25">
      <c r="A899" s="11">
        <v>2018</v>
      </c>
      <c r="B899" s="11" t="s">
        <v>228</v>
      </c>
      <c r="C899" s="18">
        <v>10.3</v>
      </c>
      <c r="D899" s="18">
        <v>11.7</v>
      </c>
      <c r="E899" s="18">
        <v>60.8</v>
      </c>
      <c r="F899" s="15">
        <v>1.82</v>
      </c>
    </row>
    <row r="900" spans="1:6" x14ac:dyDescent="0.25">
      <c r="A900" s="11">
        <v>2018</v>
      </c>
      <c r="B900" s="11" t="s">
        <v>229</v>
      </c>
      <c r="C900" s="18">
        <v>8.3000000000000007</v>
      </c>
      <c r="D900" s="18">
        <v>10.1</v>
      </c>
      <c r="E900" s="18">
        <v>51.9</v>
      </c>
      <c r="F900" s="15">
        <v>1.56</v>
      </c>
    </row>
    <row r="901" spans="1:6" x14ac:dyDescent="0.25">
      <c r="A901" s="11">
        <v>2018</v>
      </c>
      <c r="B901" s="11" t="s">
        <v>230</v>
      </c>
      <c r="C901" s="18">
        <v>7.4</v>
      </c>
      <c r="D901" s="18">
        <v>10.3</v>
      </c>
      <c r="E901" s="18">
        <v>52.4</v>
      </c>
      <c r="F901" s="15">
        <v>1.6</v>
      </c>
    </row>
    <row r="902" spans="1:6" x14ac:dyDescent="0.25">
      <c r="A902" s="11">
        <v>2018</v>
      </c>
      <c r="B902" s="11" t="s">
        <v>231</v>
      </c>
      <c r="C902" s="18">
        <v>9.6999999999999993</v>
      </c>
      <c r="D902" s="18">
        <v>7.4</v>
      </c>
      <c r="E902" s="18">
        <v>40.9</v>
      </c>
      <c r="F902" s="15">
        <v>1.17</v>
      </c>
    </row>
    <row r="903" spans="1:6" x14ac:dyDescent="0.25">
      <c r="A903" s="11">
        <v>2018</v>
      </c>
      <c r="B903" s="11" t="s">
        <v>232</v>
      </c>
      <c r="C903" s="18">
        <v>9</v>
      </c>
      <c r="D903" s="18">
        <v>10.199999999999999</v>
      </c>
      <c r="E903" s="18">
        <v>52.8</v>
      </c>
      <c r="F903" s="15">
        <v>1.58</v>
      </c>
    </row>
    <row r="904" spans="1:6" x14ac:dyDescent="0.25">
      <c r="A904" s="11">
        <v>2018</v>
      </c>
      <c r="B904" s="11" t="s">
        <v>233</v>
      </c>
      <c r="C904" s="18">
        <v>8.1999999999999993</v>
      </c>
      <c r="D904" s="18">
        <v>10.4</v>
      </c>
      <c r="E904" s="18">
        <v>54.6</v>
      </c>
      <c r="F904" s="15">
        <v>1.62</v>
      </c>
    </row>
    <row r="905" spans="1:6" x14ac:dyDescent="0.25">
      <c r="A905" s="11">
        <v>2018</v>
      </c>
      <c r="B905" s="11" t="s">
        <v>234</v>
      </c>
      <c r="C905" s="18">
        <v>10.1</v>
      </c>
      <c r="D905" s="18">
        <v>8.6999999999999993</v>
      </c>
      <c r="E905" s="18">
        <v>46.9</v>
      </c>
      <c r="F905" s="15">
        <v>1.34</v>
      </c>
    </row>
    <row r="906" spans="1:6" x14ac:dyDescent="0.25">
      <c r="A906" s="11">
        <v>2018</v>
      </c>
      <c r="B906" s="11" t="s">
        <v>235</v>
      </c>
      <c r="C906" s="18">
        <v>9.6999999999999993</v>
      </c>
      <c r="D906" s="18">
        <v>10.7</v>
      </c>
      <c r="E906" s="18">
        <v>56.4</v>
      </c>
      <c r="F906" s="15">
        <v>1.66</v>
      </c>
    </row>
    <row r="907" spans="1:6" x14ac:dyDescent="0.25">
      <c r="A907" s="11">
        <v>2018</v>
      </c>
      <c r="B907" s="11" t="s">
        <v>236</v>
      </c>
      <c r="C907" s="18">
        <v>8.8000000000000007</v>
      </c>
      <c r="D907" s="18">
        <v>11</v>
      </c>
      <c r="E907" s="18">
        <v>55.5</v>
      </c>
      <c r="F907" s="15">
        <v>1.67</v>
      </c>
    </row>
    <row r="908" spans="1:6" x14ac:dyDescent="0.25">
      <c r="A908" s="11">
        <v>2018</v>
      </c>
      <c r="B908" s="11" t="s">
        <v>237</v>
      </c>
      <c r="C908" s="18">
        <v>9.5</v>
      </c>
      <c r="D908" s="18">
        <v>10.7</v>
      </c>
      <c r="E908" s="18">
        <v>54.6</v>
      </c>
      <c r="F908" s="15">
        <v>1.65</v>
      </c>
    </row>
    <row r="909" spans="1:6" x14ac:dyDescent="0.25">
      <c r="A909" s="11">
        <v>2018</v>
      </c>
      <c r="B909" s="11" t="s">
        <v>238</v>
      </c>
      <c r="C909" s="18">
        <v>9</v>
      </c>
      <c r="D909" s="18">
        <v>11.1</v>
      </c>
      <c r="E909" s="18">
        <v>54.3</v>
      </c>
      <c r="F909" s="15">
        <v>1.68</v>
      </c>
    </row>
    <row r="910" spans="1:6" x14ac:dyDescent="0.25">
      <c r="A910" s="11">
        <v>2018</v>
      </c>
      <c r="B910" s="11" t="s">
        <v>239</v>
      </c>
      <c r="C910" s="18">
        <v>9.4</v>
      </c>
      <c r="D910" s="18">
        <v>9.9</v>
      </c>
      <c r="E910" s="18">
        <v>51.8</v>
      </c>
      <c r="F910" s="15">
        <v>1.52</v>
      </c>
    </row>
    <row r="911" spans="1:6" x14ac:dyDescent="0.25">
      <c r="A911" s="11">
        <v>2018</v>
      </c>
      <c r="B911" s="11" t="s">
        <v>240</v>
      </c>
      <c r="C911" s="18">
        <v>9.4</v>
      </c>
      <c r="D911" s="18">
        <v>10.199999999999999</v>
      </c>
      <c r="E911" s="18">
        <v>52.8</v>
      </c>
      <c r="F911" s="15">
        <v>1.57</v>
      </c>
    </row>
    <row r="912" spans="1:6" x14ac:dyDescent="0.25">
      <c r="A912" s="11">
        <v>2018</v>
      </c>
      <c r="B912" s="11" t="s">
        <v>241</v>
      </c>
      <c r="C912" s="18">
        <v>10.8</v>
      </c>
      <c r="D912" s="18">
        <v>8.1999999999999993</v>
      </c>
      <c r="E912" s="18">
        <v>46.3</v>
      </c>
      <c r="F912" s="15">
        <v>1.28</v>
      </c>
    </row>
    <row r="913" spans="1:6" x14ac:dyDescent="0.25">
      <c r="A913" s="11">
        <v>2018</v>
      </c>
      <c r="B913" s="11" t="s">
        <v>242</v>
      </c>
      <c r="C913" s="18">
        <v>8.5</v>
      </c>
      <c r="D913" s="18">
        <v>10.199999999999999</v>
      </c>
      <c r="E913" s="18">
        <v>53</v>
      </c>
      <c r="F913" s="15">
        <v>1.58</v>
      </c>
    </row>
    <row r="914" spans="1:6" x14ac:dyDescent="0.25">
      <c r="A914" s="11">
        <v>2018</v>
      </c>
      <c r="B914" s="11" t="s">
        <v>243</v>
      </c>
      <c r="C914" s="18">
        <v>8.6999999999999993</v>
      </c>
      <c r="D914" s="18">
        <v>9.9</v>
      </c>
      <c r="E914" s="18">
        <v>51.5</v>
      </c>
      <c r="F914" s="15">
        <v>1.53</v>
      </c>
    </row>
    <row r="915" spans="1:6" x14ac:dyDescent="0.25">
      <c r="A915" s="11">
        <v>2018</v>
      </c>
      <c r="B915" s="11" t="s">
        <v>244</v>
      </c>
      <c r="C915" s="18">
        <v>11.7</v>
      </c>
      <c r="D915" s="18">
        <v>11.7</v>
      </c>
      <c r="E915" s="18">
        <v>63.3</v>
      </c>
      <c r="F915" s="15">
        <v>1.79</v>
      </c>
    </row>
    <row r="916" spans="1:6" x14ac:dyDescent="0.25">
      <c r="A916" s="11">
        <v>2018</v>
      </c>
      <c r="B916" s="11" t="s">
        <v>245</v>
      </c>
      <c r="C916" s="18">
        <v>8.8000000000000007</v>
      </c>
      <c r="D916" s="18">
        <v>10.199999999999999</v>
      </c>
      <c r="E916" s="18">
        <v>53.6</v>
      </c>
      <c r="F916" s="15">
        <v>1.6</v>
      </c>
    </row>
    <row r="917" spans="1:6" x14ac:dyDescent="0.25">
      <c r="A917" s="11">
        <v>2018</v>
      </c>
      <c r="B917" s="11" t="s">
        <v>282</v>
      </c>
      <c r="C917" s="18">
        <v>7.8</v>
      </c>
      <c r="D917" s="18">
        <v>10.7</v>
      </c>
      <c r="E917" s="18">
        <v>53.5</v>
      </c>
      <c r="F917" s="15">
        <v>1.66</v>
      </c>
    </row>
    <row r="918" spans="1:6" x14ac:dyDescent="0.25">
      <c r="A918" s="11">
        <v>2018</v>
      </c>
      <c r="B918" s="11" t="s">
        <v>247</v>
      </c>
      <c r="C918" s="18">
        <v>8.3000000000000007</v>
      </c>
      <c r="D918" s="18">
        <v>9.6999999999999993</v>
      </c>
      <c r="E918" s="18">
        <v>50</v>
      </c>
      <c r="F918" s="15">
        <v>1.5</v>
      </c>
    </row>
    <row r="919" spans="1:6" x14ac:dyDescent="0.25">
      <c r="A919" s="11">
        <v>2018</v>
      </c>
      <c r="B919" s="11" t="s">
        <v>248</v>
      </c>
      <c r="C919" s="18">
        <v>10</v>
      </c>
      <c r="D919" s="18">
        <v>10.1</v>
      </c>
      <c r="E919" s="18">
        <v>52.9</v>
      </c>
      <c r="F919" s="15">
        <v>1.57</v>
      </c>
    </row>
    <row r="920" spans="1:6" x14ac:dyDescent="0.25">
      <c r="A920" s="11">
        <v>2018</v>
      </c>
      <c r="B920" s="11" t="s">
        <v>249</v>
      </c>
      <c r="C920" s="18">
        <v>8.5</v>
      </c>
      <c r="D920" s="18">
        <v>10.199999999999999</v>
      </c>
      <c r="E920" s="18">
        <v>54.3</v>
      </c>
      <c r="F920" s="15">
        <v>1.56</v>
      </c>
    </row>
    <row r="921" spans="1:6" x14ac:dyDescent="0.25">
      <c r="A921" s="11">
        <v>2018</v>
      </c>
      <c r="B921" s="11" t="s">
        <v>250</v>
      </c>
      <c r="C921" s="18">
        <v>8.1</v>
      </c>
      <c r="D921" s="18">
        <v>9.8000000000000007</v>
      </c>
      <c r="E921" s="18">
        <v>50.9</v>
      </c>
      <c r="F921" s="15">
        <v>1.53</v>
      </c>
    </row>
    <row r="922" spans="1:6" x14ac:dyDescent="0.25">
      <c r="A922" s="11">
        <v>2018</v>
      </c>
      <c r="B922" s="11" t="s">
        <v>251</v>
      </c>
      <c r="C922" s="18">
        <v>9.5</v>
      </c>
      <c r="D922" s="18">
        <v>9.6</v>
      </c>
      <c r="E922" s="18">
        <v>51.6</v>
      </c>
      <c r="F922" s="15">
        <v>1.47</v>
      </c>
    </row>
    <row r="923" spans="1:6" x14ac:dyDescent="0.25">
      <c r="A923" s="11">
        <v>2018</v>
      </c>
      <c r="B923" s="11" t="s">
        <v>252</v>
      </c>
      <c r="C923" s="18">
        <v>8.5</v>
      </c>
      <c r="D923" s="18">
        <v>11.2</v>
      </c>
      <c r="E923" s="18">
        <v>56.6</v>
      </c>
      <c r="F923" s="15">
        <v>1.74</v>
      </c>
    </row>
    <row r="924" spans="1:6" x14ac:dyDescent="0.25">
      <c r="A924" s="11">
        <v>2018</v>
      </c>
      <c r="B924" s="11" t="s">
        <v>253</v>
      </c>
      <c r="C924" s="18">
        <v>9.3000000000000007</v>
      </c>
      <c r="D924" s="18">
        <v>11</v>
      </c>
      <c r="E924" s="18">
        <v>56.8</v>
      </c>
      <c r="F924" s="15">
        <v>1.71</v>
      </c>
    </row>
    <row r="925" spans="1:6" x14ac:dyDescent="0.25">
      <c r="A925" s="11">
        <v>2018</v>
      </c>
      <c r="B925" s="11" t="s">
        <v>254</v>
      </c>
      <c r="C925" s="18">
        <v>8.3000000000000007</v>
      </c>
      <c r="D925" s="18">
        <v>10.4</v>
      </c>
      <c r="E925" s="18">
        <v>53.6</v>
      </c>
      <c r="F925" s="15">
        <v>1.6</v>
      </c>
    </row>
    <row r="926" spans="1:6" x14ac:dyDescent="0.25">
      <c r="A926" s="11">
        <v>2018</v>
      </c>
      <c r="B926" s="11" t="s">
        <v>255</v>
      </c>
      <c r="C926" s="18">
        <v>9.8000000000000007</v>
      </c>
      <c r="D926" s="18">
        <v>10.5</v>
      </c>
      <c r="E926" s="18">
        <v>55.2</v>
      </c>
      <c r="F926" s="15">
        <v>1.62</v>
      </c>
    </row>
    <row r="927" spans="1:6" x14ac:dyDescent="0.25">
      <c r="A927" s="11">
        <v>2018</v>
      </c>
      <c r="B927" s="11" t="s">
        <v>256</v>
      </c>
      <c r="C927" s="18">
        <v>8.1999999999999993</v>
      </c>
      <c r="D927" s="18">
        <v>9</v>
      </c>
      <c r="E927" s="18">
        <v>43.7</v>
      </c>
      <c r="F927" s="15">
        <v>1.43</v>
      </c>
    </row>
    <row r="928" spans="1:6" x14ac:dyDescent="0.25">
      <c r="A928" s="11">
        <v>2018</v>
      </c>
      <c r="B928" s="11" t="s">
        <v>257</v>
      </c>
      <c r="C928" s="18">
        <v>9.9</v>
      </c>
      <c r="D928" s="18">
        <v>10.1</v>
      </c>
      <c r="E928" s="18">
        <v>54.4</v>
      </c>
      <c r="F928" s="15">
        <v>1.56</v>
      </c>
    </row>
    <row r="929" spans="1:6" x14ac:dyDescent="0.25">
      <c r="A929" s="11">
        <v>2018</v>
      </c>
      <c r="B929" s="11" t="s">
        <v>258</v>
      </c>
      <c r="C929" s="18">
        <v>9.8000000000000007</v>
      </c>
      <c r="D929" s="18">
        <v>10</v>
      </c>
      <c r="E929" s="18">
        <v>52.5</v>
      </c>
      <c r="F929" s="15">
        <v>1.54</v>
      </c>
    </row>
    <row r="930" spans="1:6" x14ac:dyDescent="0.25">
      <c r="A930" s="11">
        <v>2019</v>
      </c>
      <c r="B930" s="11" t="s">
        <v>11</v>
      </c>
      <c r="C930" s="18">
        <v>9.1999999999999993</v>
      </c>
      <c r="D930" s="18">
        <v>9.1999999999999993</v>
      </c>
      <c r="E930" s="18">
        <v>49.2</v>
      </c>
      <c r="F930" s="15">
        <v>1.42</v>
      </c>
    </row>
    <row r="931" spans="1:6" x14ac:dyDescent="0.25">
      <c r="A931" s="11">
        <v>2019</v>
      </c>
      <c r="B931" s="11" t="s">
        <v>227</v>
      </c>
      <c r="C931" s="18">
        <v>10.1</v>
      </c>
      <c r="D931" s="18">
        <v>8.1999999999999993</v>
      </c>
      <c r="E931" s="18">
        <v>44.8</v>
      </c>
      <c r="F931" s="15">
        <v>1.28</v>
      </c>
    </row>
    <row r="932" spans="1:6" x14ac:dyDescent="0.25">
      <c r="A932" s="11">
        <v>2019</v>
      </c>
      <c r="B932" s="11" t="s">
        <v>228</v>
      </c>
      <c r="C932" s="18">
        <v>9.1999999999999993</v>
      </c>
      <c r="D932" s="18">
        <v>10.6</v>
      </c>
      <c r="E932" s="18">
        <v>55.1</v>
      </c>
      <c r="F932" s="15">
        <v>1.63</v>
      </c>
    </row>
    <row r="933" spans="1:6" x14ac:dyDescent="0.25">
      <c r="A933" s="11">
        <v>2019</v>
      </c>
      <c r="B933" s="11" t="s">
        <v>229</v>
      </c>
      <c r="C933" s="18">
        <v>8.4</v>
      </c>
      <c r="D933" s="18">
        <v>10.1</v>
      </c>
      <c r="E933" s="18">
        <v>52.6</v>
      </c>
      <c r="F933" s="15">
        <v>1.59</v>
      </c>
    </row>
    <row r="934" spans="1:6" x14ac:dyDescent="0.25">
      <c r="A934" s="11">
        <v>2019</v>
      </c>
      <c r="B934" s="11" t="s">
        <v>230</v>
      </c>
      <c r="C934" s="18">
        <v>7.2</v>
      </c>
      <c r="D934" s="18">
        <v>10.1</v>
      </c>
      <c r="E934" s="18">
        <v>51.7</v>
      </c>
      <c r="F934" s="15">
        <v>1.57</v>
      </c>
    </row>
    <row r="935" spans="1:6" x14ac:dyDescent="0.25">
      <c r="A935" s="11">
        <v>2019</v>
      </c>
      <c r="B935" s="11" t="s">
        <v>231</v>
      </c>
      <c r="C935" s="18">
        <v>9.1999999999999993</v>
      </c>
      <c r="D935" s="18">
        <v>7</v>
      </c>
      <c r="E935" s="18">
        <v>38.6</v>
      </c>
      <c r="F935" s="15">
        <v>1.1100000000000001</v>
      </c>
    </row>
    <row r="936" spans="1:6" x14ac:dyDescent="0.25">
      <c r="A936" s="11">
        <v>2019</v>
      </c>
      <c r="B936" s="11" t="s">
        <v>232</v>
      </c>
      <c r="C936" s="18">
        <v>8</v>
      </c>
      <c r="D936" s="18">
        <v>9.1</v>
      </c>
      <c r="E936" s="18">
        <v>47.3</v>
      </c>
      <c r="F936" s="15">
        <v>1.42</v>
      </c>
    </row>
    <row r="937" spans="1:6" x14ac:dyDescent="0.25">
      <c r="A937" s="11">
        <v>2019</v>
      </c>
      <c r="B937" s="11" t="s">
        <v>233</v>
      </c>
      <c r="C937" s="18">
        <v>7.9</v>
      </c>
      <c r="D937" s="18">
        <v>10.1</v>
      </c>
      <c r="E937" s="18">
        <v>53.2</v>
      </c>
      <c r="F937" s="15">
        <v>1.57</v>
      </c>
    </row>
    <row r="938" spans="1:6" x14ac:dyDescent="0.25">
      <c r="A938" s="11">
        <v>2019</v>
      </c>
      <c r="B938" s="11" t="s">
        <v>234</v>
      </c>
      <c r="C938" s="18">
        <v>9.6</v>
      </c>
      <c r="D938" s="18">
        <v>8.3000000000000007</v>
      </c>
      <c r="E938" s="18">
        <v>44.3</v>
      </c>
      <c r="F938" s="15">
        <v>1.28</v>
      </c>
    </row>
    <row r="939" spans="1:6" x14ac:dyDescent="0.25">
      <c r="A939" s="11">
        <v>2019</v>
      </c>
      <c r="B939" s="11" t="s">
        <v>235</v>
      </c>
      <c r="C939" s="18">
        <v>9.6999999999999993</v>
      </c>
      <c r="D939" s="18">
        <v>10.7</v>
      </c>
      <c r="E939" s="18">
        <v>56.7</v>
      </c>
      <c r="F939" s="15">
        <v>1.67</v>
      </c>
    </row>
    <row r="940" spans="1:6" x14ac:dyDescent="0.25">
      <c r="A940" s="11">
        <v>2019</v>
      </c>
      <c r="B940" s="11" t="s">
        <v>236</v>
      </c>
      <c r="C940" s="18">
        <v>8.4</v>
      </c>
      <c r="D940" s="18">
        <v>10.6</v>
      </c>
      <c r="E940" s="18">
        <v>53.4</v>
      </c>
      <c r="F940" s="15">
        <v>1.59</v>
      </c>
    </row>
    <row r="941" spans="1:6" x14ac:dyDescent="0.25">
      <c r="A941" s="11">
        <v>2019</v>
      </c>
      <c r="B941" s="11" t="s">
        <v>237</v>
      </c>
      <c r="C941" s="18">
        <v>9</v>
      </c>
      <c r="D941" s="18">
        <v>10.1</v>
      </c>
      <c r="E941" s="18">
        <v>51.7</v>
      </c>
      <c r="F941" s="15">
        <v>1.56</v>
      </c>
    </row>
    <row r="942" spans="1:6" x14ac:dyDescent="0.25">
      <c r="A942" s="11">
        <v>2019</v>
      </c>
      <c r="B942" s="11" t="s">
        <v>238</v>
      </c>
      <c r="C942" s="18">
        <v>8.5</v>
      </c>
      <c r="D942" s="18">
        <v>10.6</v>
      </c>
      <c r="E942" s="18">
        <v>51.7</v>
      </c>
      <c r="F942" s="15">
        <v>1.61</v>
      </c>
    </row>
    <row r="943" spans="1:6" x14ac:dyDescent="0.25">
      <c r="A943" s="11">
        <v>2019</v>
      </c>
      <c r="B943" s="11" t="s">
        <v>239</v>
      </c>
      <c r="C943" s="18">
        <v>9.1999999999999993</v>
      </c>
      <c r="D943" s="18">
        <v>9.6</v>
      </c>
      <c r="E943" s="18">
        <v>51</v>
      </c>
      <c r="F943" s="15">
        <v>1.49</v>
      </c>
    </row>
    <row r="944" spans="1:6" x14ac:dyDescent="0.25">
      <c r="A944" s="11">
        <v>2019</v>
      </c>
      <c r="B944" s="11" t="s">
        <v>240</v>
      </c>
      <c r="C944" s="18">
        <v>9</v>
      </c>
      <c r="D944" s="18">
        <v>9.6999999999999993</v>
      </c>
      <c r="E944" s="18">
        <v>50.4</v>
      </c>
      <c r="F944" s="15">
        <v>1.5</v>
      </c>
    </row>
    <row r="945" spans="1:6" x14ac:dyDescent="0.25">
      <c r="A945" s="11">
        <v>2019</v>
      </c>
      <c r="B945" s="11" t="s">
        <v>241</v>
      </c>
      <c r="C945" s="18">
        <v>10.7</v>
      </c>
      <c r="D945" s="18">
        <v>8.1</v>
      </c>
      <c r="E945" s="18">
        <v>45.8</v>
      </c>
      <c r="F945" s="15">
        <v>1.26</v>
      </c>
    </row>
    <row r="946" spans="1:6" x14ac:dyDescent="0.25">
      <c r="A946" s="11">
        <v>2019</v>
      </c>
      <c r="B946" s="11" t="s">
        <v>242</v>
      </c>
      <c r="C946" s="18">
        <v>8.4</v>
      </c>
      <c r="D946" s="18">
        <v>10</v>
      </c>
      <c r="E946" s="18">
        <v>52.4</v>
      </c>
      <c r="F946" s="15">
        <v>1.56</v>
      </c>
    </row>
    <row r="947" spans="1:6" x14ac:dyDescent="0.25">
      <c r="A947" s="11">
        <v>2019</v>
      </c>
      <c r="B947" s="11" t="s">
        <v>243</v>
      </c>
      <c r="C947" s="18">
        <v>7.8</v>
      </c>
      <c r="D947" s="18">
        <v>8.9</v>
      </c>
      <c r="E947" s="18">
        <v>46.4</v>
      </c>
      <c r="F947" s="15">
        <v>1.37</v>
      </c>
    </row>
    <row r="948" spans="1:6" x14ac:dyDescent="0.25">
      <c r="A948" s="11">
        <v>2019</v>
      </c>
      <c r="B948" s="11" t="s">
        <v>244</v>
      </c>
      <c r="C948" s="18">
        <v>11.3</v>
      </c>
      <c r="D948" s="18">
        <v>11.3</v>
      </c>
      <c r="E948" s="18">
        <v>61.5</v>
      </c>
      <c r="F948" s="15">
        <v>1.73</v>
      </c>
    </row>
    <row r="949" spans="1:6" x14ac:dyDescent="0.25">
      <c r="A949" s="11">
        <v>2019</v>
      </c>
      <c r="B949" s="11" t="s">
        <v>245</v>
      </c>
      <c r="C949" s="18">
        <v>8.6999999999999993</v>
      </c>
      <c r="D949" s="18">
        <v>10.1</v>
      </c>
      <c r="E949" s="18">
        <v>53.6</v>
      </c>
      <c r="F949" s="15">
        <v>1.58</v>
      </c>
    </row>
    <row r="950" spans="1:6" x14ac:dyDescent="0.25">
      <c r="A950" s="11">
        <v>2019</v>
      </c>
      <c r="B950" s="11" t="s">
        <v>282</v>
      </c>
      <c r="C950" s="18">
        <v>7.6</v>
      </c>
      <c r="D950" s="18">
        <v>10.6</v>
      </c>
      <c r="E950" s="18">
        <v>52.5</v>
      </c>
      <c r="F950" s="15">
        <v>1.68</v>
      </c>
    </row>
    <row r="951" spans="1:6" x14ac:dyDescent="0.25">
      <c r="A951" s="11">
        <v>2019</v>
      </c>
      <c r="B951" s="11" t="s">
        <v>247</v>
      </c>
      <c r="C951" s="18">
        <v>8.4</v>
      </c>
      <c r="D951" s="18">
        <v>9.8000000000000007</v>
      </c>
      <c r="E951" s="18">
        <v>50.7</v>
      </c>
      <c r="F951" s="15">
        <v>1.52</v>
      </c>
    </row>
    <row r="952" spans="1:6" x14ac:dyDescent="0.25">
      <c r="A952" s="11">
        <v>2019</v>
      </c>
      <c r="B952" s="11" t="s">
        <v>248</v>
      </c>
      <c r="C952" s="18">
        <v>10.1</v>
      </c>
      <c r="D952" s="18">
        <v>10.199999999999999</v>
      </c>
      <c r="E952" s="18">
        <v>53.7</v>
      </c>
      <c r="F952" s="15">
        <v>1.59</v>
      </c>
    </row>
    <row r="953" spans="1:6" x14ac:dyDescent="0.25">
      <c r="A953" s="11">
        <v>2019</v>
      </c>
      <c r="B953" s="11" t="s">
        <v>249</v>
      </c>
      <c r="C953" s="18">
        <v>8.3000000000000007</v>
      </c>
      <c r="D953" s="18">
        <v>10.1</v>
      </c>
      <c r="E953" s="18">
        <v>53.9</v>
      </c>
      <c r="F953" s="15">
        <v>1.54</v>
      </c>
    </row>
    <row r="954" spans="1:6" x14ac:dyDescent="0.25">
      <c r="A954" s="11">
        <v>2019</v>
      </c>
      <c r="B954" s="11" t="s">
        <v>250</v>
      </c>
      <c r="C954" s="18">
        <v>8</v>
      </c>
      <c r="D954" s="18">
        <v>9.6999999999999993</v>
      </c>
      <c r="E954" s="18">
        <v>50.5</v>
      </c>
      <c r="F954" s="15">
        <v>1.5</v>
      </c>
    </row>
    <row r="955" spans="1:6" x14ac:dyDescent="0.25">
      <c r="A955" s="11">
        <v>2019</v>
      </c>
      <c r="B955" s="11" t="s">
        <v>251</v>
      </c>
      <c r="C955" s="18">
        <v>9.4</v>
      </c>
      <c r="D955" s="18">
        <v>9.4</v>
      </c>
      <c r="E955" s="18">
        <v>50.8</v>
      </c>
      <c r="F955" s="15">
        <v>1.44</v>
      </c>
    </row>
    <row r="956" spans="1:6" x14ac:dyDescent="0.25">
      <c r="A956" s="11">
        <v>2019</v>
      </c>
      <c r="B956" s="11" t="s">
        <v>252</v>
      </c>
      <c r="C956" s="18">
        <v>7.9</v>
      </c>
      <c r="D956" s="18">
        <v>10.4</v>
      </c>
      <c r="E956" s="18">
        <v>53.1</v>
      </c>
      <c r="F956" s="15">
        <v>1.61</v>
      </c>
    </row>
    <row r="957" spans="1:6" x14ac:dyDescent="0.25">
      <c r="A957" s="11">
        <v>2019</v>
      </c>
      <c r="B957" s="11" t="s">
        <v>253</v>
      </c>
      <c r="C957" s="18">
        <v>8.9</v>
      </c>
      <c r="D957" s="18">
        <v>10.6</v>
      </c>
      <c r="E957" s="18">
        <v>55.6</v>
      </c>
      <c r="F957" s="15">
        <v>1.66</v>
      </c>
    </row>
    <row r="958" spans="1:6" x14ac:dyDescent="0.25">
      <c r="A958" s="11">
        <v>2019</v>
      </c>
      <c r="B958" s="11" t="s">
        <v>254</v>
      </c>
      <c r="C958" s="18">
        <v>7.5</v>
      </c>
      <c r="D958" s="18">
        <v>9.3000000000000007</v>
      </c>
      <c r="E958" s="18">
        <v>48.6</v>
      </c>
      <c r="F958" s="15">
        <v>1.45</v>
      </c>
    </row>
    <row r="959" spans="1:6" x14ac:dyDescent="0.25">
      <c r="A959" s="11">
        <v>2019</v>
      </c>
      <c r="B959" s="11" t="s">
        <v>255</v>
      </c>
      <c r="C959" s="18">
        <v>9.6</v>
      </c>
      <c r="D959" s="18">
        <v>10.3</v>
      </c>
      <c r="E959" s="18">
        <v>54.3</v>
      </c>
      <c r="F959" s="15">
        <v>1.59</v>
      </c>
    </row>
    <row r="960" spans="1:6" x14ac:dyDescent="0.25">
      <c r="A960" s="11">
        <v>2019</v>
      </c>
      <c r="B960" s="11" t="s">
        <v>256</v>
      </c>
      <c r="C960" s="18">
        <v>8</v>
      </c>
      <c r="D960" s="18">
        <v>8.8000000000000007</v>
      </c>
      <c r="E960" s="18">
        <v>42.5</v>
      </c>
      <c r="F960" s="15">
        <v>1.4</v>
      </c>
    </row>
    <row r="961" spans="1:6" x14ac:dyDescent="0.25">
      <c r="A961" s="11">
        <v>2019</v>
      </c>
      <c r="B961" s="11" t="s">
        <v>257</v>
      </c>
      <c r="C961" s="18">
        <v>9.4</v>
      </c>
      <c r="D961" s="18">
        <v>9.6999999999999993</v>
      </c>
      <c r="E961" s="18">
        <v>52.5</v>
      </c>
      <c r="F961" s="15">
        <v>1.49</v>
      </c>
    </row>
    <row r="962" spans="1:6" x14ac:dyDescent="0.25">
      <c r="A962" s="11">
        <v>2019</v>
      </c>
      <c r="B962" s="11" t="s">
        <v>258</v>
      </c>
      <c r="C962" s="18">
        <v>10</v>
      </c>
      <c r="D962" s="18">
        <v>10.199999999999999</v>
      </c>
      <c r="E962" s="18">
        <v>54.2</v>
      </c>
      <c r="F962" s="15">
        <v>1.6</v>
      </c>
    </row>
    <row r="963" spans="1:6" x14ac:dyDescent="0.25">
      <c r="A963" s="11">
        <v>2020</v>
      </c>
      <c r="B963" s="11" t="s">
        <v>11</v>
      </c>
      <c r="C963" s="18">
        <v>8.6999999999999993</v>
      </c>
      <c r="D963" s="18">
        <v>8.6999999999999993</v>
      </c>
      <c r="E963" s="18">
        <v>46.3</v>
      </c>
      <c r="F963" s="15">
        <v>1.33</v>
      </c>
    </row>
    <row r="964" spans="1:6" x14ac:dyDescent="0.25">
      <c r="A964" s="11">
        <v>2020</v>
      </c>
      <c r="B964" s="11" t="s">
        <v>227</v>
      </c>
      <c r="C964" s="18">
        <v>9</v>
      </c>
      <c r="D964" s="18">
        <v>7.4</v>
      </c>
      <c r="E964" s="18">
        <v>40</v>
      </c>
      <c r="F964" s="15">
        <v>1.1399999999999999</v>
      </c>
    </row>
    <row r="965" spans="1:6" x14ac:dyDescent="0.25">
      <c r="A965" s="11">
        <v>2020</v>
      </c>
      <c r="B965" s="11" t="s">
        <v>228</v>
      </c>
      <c r="C965" s="18">
        <v>8.6999999999999993</v>
      </c>
      <c r="D965" s="18">
        <v>10.199999999999999</v>
      </c>
      <c r="E965" s="18">
        <v>53</v>
      </c>
      <c r="F965" s="15">
        <v>1.59</v>
      </c>
    </row>
    <row r="966" spans="1:6" x14ac:dyDescent="0.25">
      <c r="A966" s="11">
        <v>2020</v>
      </c>
      <c r="B966" s="11" t="s">
        <v>229</v>
      </c>
      <c r="C966" s="18">
        <v>7.5</v>
      </c>
      <c r="D966" s="18">
        <v>9.1</v>
      </c>
      <c r="E966" s="18">
        <v>47.2</v>
      </c>
      <c r="F966" s="15">
        <v>1.43</v>
      </c>
    </row>
    <row r="967" spans="1:6" x14ac:dyDescent="0.25">
      <c r="A967" s="11">
        <v>2020</v>
      </c>
      <c r="B967" s="11" t="s">
        <v>230</v>
      </c>
      <c r="C967" s="18">
        <v>6.8</v>
      </c>
      <c r="D967" s="18">
        <v>9.4</v>
      </c>
      <c r="E967" s="18">
        <v>49.2</v>
      </c>
      <c r="F967" s="15">
        <v>1.49</v>
      </c>
    </row>
    <row r="968" spans="1:6" x14ac:dyDescent="0.25">
      <c r="A968" s="11">
        <v>2020</v>
      </c>
      <c r="B968" s="11" t="s">
        <v>231</v>
      </c>
      <c r="C968" s="18">
        <v>8.9</v>
      </c>
      <c r="D968" s="18">
        <v>6.7</v>
      </c>
      <c r="E968" s="18">
        <v>37.4</v>
      </c>
      <c r="F968" s="15">
        <v>1.07</v>
      </c>
    </row>
    <row r="969" spans="1:6" x14ac:dyDescent="0.25">
      <c r="A969" s="11">
        <v>2020</v>
      </c>
      <c r="B969" s="11" t="s">
        <v>232</v>
      </c>
      <c r="C969" s="18">
        <v>8.6</v>
      </c>
      <c r="D969" s="18">
        <v>9.6999999999999993</v>
      </c>
      <c r="E969" s="18">
        <v>50.8</v>
      </c>
      <c r="F969" s="15">
        <v>1.51</v>
      </c>
    </row>
    <row r="970" spans="1:6" x14ac:dyDescent="0.25">
      <c r="A970" s="11">
        <v>2020</v>
      </c>
      <c r="B970" s="11" t="s">
        <v>233</v>
      </c>
      <c r="C970" s="18">
        <v>7.8</v>
      </c>
      <c r="D970" s="18">
        <v>10</v>
      </c>
      <c r="E970" s="18">
        <v>52.8</v>
      </c>
      <c r="F970" s="15">
        <v>1.56</v>
      </c>
    </row>
    <row r="971" spans="1:6" x14ac:dyDescent="0.25">
      <c r="A971" s="11">
        <v>2020</v>
      </c>
      <c r="B971" s="11" t="s">
        <v>234</v>
      </c>
      <c r="C971" s="18">
        <v>8.6999999999999993</v>
      </c>
      <c r="D971" s="18">
        <v>7.6</v>
      </c>
      <c r="E971" s="18">
        <v>40.200000000000003</v>
      </c>
      <c r="F971" s="15">
        <v>1.17</v>
      </c>
    </row>
    <row r="972" spans="1:6" x14ac:dyDescent="0.25">
      <c r="A972" s="11">
        <v>2020</v>
      </c>
      <c r="B972" s="11" t="s">
        <v>235</v>
      </c>
      <c r="C972" s="18">
        <v>9.1999999999999993</v>
      </c>
      <c r="D972" s="18">
        <v>10.199999999999999</v>
      </c>
      <c r="E972" s="18">
        <v>54.3</v>
      </c>
      <c r="F972" s="15">
        <v>1.6</v>
      </c>
    </row>
    <row r="973" spans="1:6" x14ac:dyDescent="0.25">
      <c r="A973" s="11">
        <v>2020</v>
      </c>
      <c r="B973" s="11" t="s">
        <v>236</v>
      </c>
      <c r="C973" s="18">
        <v>8.1</v>
      </c>
      <c r="D973" s="18">
        <v>10.4</v>
      </c>
      <c r="E973" s="18">
        <v>52</v>
      </c>
      <c r="F973" s="15">
        <v>1.55</v>
      </c>
    </row>
    <row r="974" spans="1:6" x14ac:dyDescent="0.25">
      <c r="A974" s="11">
        <v>2020</v>
      </c>
      <c r="B974" s="11" t="s">
        <v>237</v>
      </c>
      <c r="C974" s="18">
        <v>8.8000000000000007</v>
      </c>
      <c r="D974" s="18">
        <v>9.8000000000000007</v>
      </c>
      <c r="E974" s="18">
        <v>50.8</v>
      </c>
      <c r="F974" s="15">
        <v>1.52</v>
      </c>
    </row>
    <row r="975" spans="1:6" x14ac:dyDescent="0.25">
      <c r="A975" s="11">
        <v>2020</v>
      </c>
      <c r="B975" s="11" t="s">
        <v>238</v>
      </c>
      <c r="C975" s="18">
        <v>8.3000000000000007</v>
      </c>
      <c r="D975" s="18">
        <v>10.5</v>
      </c>
      <c r="E975" s="18">
        <v>50.9</v>
      </c>
      <c r="F975" s="15">
        <v>1.6</v>
      </c>
    </row>
    <row r="976" spans="1:6" x14ac:dyDescent="0.25">
      <c r="A976" s="11">
        <v>2020</v>
      </c>
      <c r="B976" s="11" t="s">
        <v>239</v>
      </c>
      <c r="C976" s="18">
        <v>9</v>
      </c>
      <c r="D976" s="18">
        <v>9.4</v>
      </c>
      <c r="E976" s="18">
        <v>50.4</v>
      </c>
      <c r="F976" s="15">
        <v>1.47</v>
      </c>
    </row>
    <row r="977" spans="1:6" x14ac:dyDescent="0.25">
      <c r="A977" s="11">
        <v>2020</v>
      </c>
      <c r="B977" s="11" t="s">
        <v>240</v>
      </c>
      <c r="C977" s="18">
        <v>8.5</v>
      </c>
      <c r="D977" s="18">
        <v>9.1999999999999993</v>
      </c>
      <c r="E977" s="18">
        <v>47.8</v>
      </c>
      <c r="F977" s="15">
        <v>1.43</v>
      </c>
    </row>
    <row r="978" spans="1:6" x14ac:dyDescent="0.25">
      <c r="A978" s="11">
        <v>2020</v>
      </c>
      <c r="B978" s="11" t="s">
        <v>241</v>
      </c>
      <c r="C978" s="18">
        <v>9.6</v>
      </c>
      <c r="D978" s="18">
        <v>7.2</v>
      </c>
      <c r="E978" s="18">
        <v>40.799999999999997</v>
      </c>
      <c r="F978" s="15">
        <v>1.1299999999999999</v>
      </c>
    </row>
    <row r="979" spans="1:6" x14ac:dyDescent="0.25">
      <c r="A979" s="11">
        <v>2020</v>
      </c>
      <c r="B979" s="11" t="s">
        <v>242</v>
      </c>
      <c r="C979" s="18">
        <v>8</v>
      </c>
      <c r="D979" s="18">
        <v>9.6</v>
      </c>
      <c r="E979" s="18">
        <v>50.2</v>
      </c>
      <c r="F979" s="15">
        <v>1.5</v>
      </c>
    </row>
    <row r="980" spans="1:6" x14ac:dyDescent="0.25">
      <c r="A980" s="11">
        <v>2020</v>
      </c>
      <c r="B980" s="11" t="s">
        <v>243</v>
      </c>
      <c r="C980" s="18">
        <v>7.8</v>
      </c>
      <c r="D980" s="18">
        <v>8.9</v>
      </c>
      <c r="E980" s="18">
        <v>46.9</v>
      </c>
      <c r="F980" s="15">
        <v>1.38</v>
      </c>
    </row>
    <row r="981" spans="1:6" x14ac:dyDescent="0.25">
      <c r="A981" s="11">
        <v>2020</v>
      </c>
      <c r="B981" s="11" t="s">
        <v>244</v>
      </c>
      <c r="C981" s="18">
        <v>10.4</v>
      </c>
      <c r="D981" s="18">
        <v>10.3</v>
      </c>
      <c r="E981" s="18">
        <v>56.5</v>
      </c>
      <c r="F981" s="15">
        <v>1.58</v>
      </c>
    </row>
    <row r="982" spans="1:6" x14ac:dyDescent="0.25">
      <c r="A982" s="11">
        <v>2020</v>
      </c>
      <c r="B982" s="11" t="s">
        <v>245</v>
      </c>
      <c r="C982" s="18">
        <v>9.1</v>
      </c>
      <c r="D982" s="18">
        <v>10.7</v>
      </c>
      <c r="E982" s="18">
        <v>56.7</v>
      </c>
      <c r="F982" s="15">
        <v>1.69</v>
      </c>
    </row>
    <row r="983" spans="1:6" x14ac:dyDescent="0.25">
      <c r="A983" s="11">
        <v>2020</v>
      </c>
      <c r="B983" s="11" t="s">
        <v>282</v>
      </c>
      <c r="C983" s="18">
        <v>7</v>
      </c>
      <c r="D983" s="18">
        <v>9.9</v>
      </c>
      <c r="E983" s="18">
        <v>49.2</v>
      </c>
      <c r="F983" s="15">
        <v>1.57</v>
      </c>
    </row>
    <row r="984" spans="1:6" x14ac:dyDescent="0.25">
      <c r="A984" s="11">
        <v>2020</v>
      </c>
      <c r="B984" s="11" t="s">
        <v>247</v>
      </c>
      <c r="C984" s="18">
        <v>8.3000000000000007</v>
      </c>
      <c r="D984" s="18">
        <v>9.6</v>
      </c>
      <c r="E984" s="18">
        <v>50.5</v>
      </c>
      <c r="F984" s="15">
        <v>1.51</v>
      </c>
    </row>
    <row r="985" spans="1:6" x14ac:dyDescent="0.25">
      <c r="A985" s="11">
        <v>2020</v>
      </c>
      <c r="B985" s="11" t="s">
        <v>248</v>
      </c>
      <c r="C985" s="18">
        <v>8.9</v>
      </c>
      <c r="D985" s="18">
        <v>9.1</v>
      </c>
      <c r="E985" s="18">
        <v>47.8</v>
      </c>
      <c r="F985" s="15">
        <v>1.41</v>
      </c>
    </row>
    <row r="986" spans="1:6" x14ac:dyDescent="0.25">
      <c r="A986" s="11">
        <v>2020</v>
      </c>
      <c r="B986" s="11" t="s">
        <v>249</v>
      </c>
      <c r="C986" s="18">
        <v>8.3000000000000007</v>
      </c>
      <c r="D986" s="18">
        <v>10.1</v>
      </c>
      <c r="E986" s="18">
        <v>54.7</v>
      </c>
      <c r="F986" s="15">
        <v>1.55</v>
      </c>
    </row>
    <row r="987" spans="1:6" x14ac:dyDescent="0.25">
      <c r="A987" s="11">
        <v>2020</v>
      </c>
      <c r="B987" s="11" t="s">
        <v>250</v>
      </c>
      <c r="C987" s="18">
        <v>7.9</v>
      </c>
      <c r="D987" s="18">
        <v>9.6999999999999993</v>
      </c>
      <c r="E987" s="18">
        <v>50.2</v>
      </c>
      <c r="F987" s="15">
        <v>1.5</v>
      </c>
    </row>
    <row r="988" spans="1:6" x14ac:dyDescent="0.25">
      <c r="A988" s="11">
        <v>2020</v>
      </c>
      <c r="B988" s="11" t="s">
        <v>251</v>
      </c>
      <c r="C988" s="18">
        <v>8.5</v>
      </c>
      <c r="D988" s="18">
        <v>8.5</v>
      </c>
      <c r="E988" s="18">
        <v>45.9</v>
      </c>
      <c r="F988" s="15">
        <v>1.29</v>
      </c>
    </row>
    <row r="989" spans="1:6" x14ac:dyDescent="0.25">
      <c r="A989" s="11">
        <v>2020</v>
      </c>
      <c r="B989" s="11" t="s">
        <v>252</v>
      </c>
      <c r="C989" s="18">
        <v>7.3</v>
      </c>
      <c r="D989" s="18">
        <v>9.6</v>
      </c>
      <c r="E989" s="18">
        <v>49.2</v>
      </c>
      <c r="F989" s="15">
        <v>1.5</v>
      </c>
    </row>
    <row r="990" spans="1:6" x14ac:dyDescent="0.25">
      <c r="A990" s="11">
        <v>2020</v>
      </c>
      <c r="B990" s="11" t="s">
        <v>253</v>
      </c>
      <c r="C990" s="18">
        <v>7.7</v>
      </c>
      <c r="D990" s="18">
        <v>9.1</v>
      </c>
      <c r="E990" s="18">
        <v>47.9</v>
      </c>
      <c r="F990" s="15">
        <v>1.41</v>
      </c>
    </row>
    <row r="991" spans="1:6" x14ac:dyDescent="0.25">
      <c r="A991" s="11">
        <v>2020</v>
      </c>
      <c r="B991" s="11" t="s">
        <v>254</v>
      </c>
      <c r="C991" s="18">
        <v>7.3</v>
      </c>
      <c r="D991" s="18">
        <v>9.1999999999999993</v>
      </c>
      <c r="E991" s="18">
        <v>48.2</v>
      </c>
      <c r="F991" s="15">
        <v>1.44</v>
      </c>
    </row>
    <row r="992" spans="1:6" x14ac:dyDescent="0.25">
      <c r="A992" s="11">
        <v>2020</v>
      </c>
      <c r="B992" s="11" t="s">
        <v>255</v>
      </c>
      <c r="C992" s="18">
        <v>9</v>
      </c>
      <c r="D992" s="18">
        <v>9.6</v>
      </c>
      <c r="E992" s="18">
        <v>51</v>
      </c>
      <c r="F992" s="15">
        <v>1.49</v>
      </c>
    </row>
    <row r="993" spans="1:6" x14ac:dyDescent="0.25">
      <c r="A993" s="11">
        <v>2020</v>
      </c>
      <c r="B993" s="11" t="s">
        <v>256</v>
      </c>
      <c r="C993" s="18">
        <v>7.6</v>
      </c>
      <c r="D993" s="18">
        <v>8.3000000000000007</v>
      </c>
      <c r="E993" s="18">
        <v>40.1</v>
      </c>
      <c r="F993" s="15">
        <v>1.33</v>
      </c>
    </row>
    <row r="994" spans="1:6" x14ac:dyDescent="0.25">
      <c r="A994" s="11">
        <v>2020</v>
      </c>
      <c r="B994" s="11" t="s">
        <v>257</v>
      </c>
      <c r="C994" s="18">
        <v>8.6999999999999993</v>
      </c>
      <c r="D994" s="18">
        <v>8.9</v>
      </c>
      <c r="E994" s="18">
        <v>48.3</v>
      </c>
      <c r="F994" s="15">
        <v>1.39</v>
      </c>
    </row>
    <row r="995" spans="1:6" x14ac:dyDescent="0.25">
      <c r="A995" s="11">
        <v>2020</v>
      </c>
      <c r="B995" s="11" t="s">
        <v>258</v>
      </c>
      <c r="C995" s="18">
        <v>9.1999999999999993</v>
      </c>
      <c r="D995" s="18">
        <v>9.4</v>
      </c>
      <c r="E995" s="18">
        <v>50.3</v>
      </c>
      <c r="F995" s="15">
        <v>1.48</v>
      </c>
    </row>
    <row r="996" spans="1:6" x14ac:dyDescent="0.25">
      <c r="A996" s="11">
        <v>2021</v>
      </c>
      <c r="B996" s="11" t="s">
        <v>11</v>
      </c>
      <c r="C996" s="18">
        <v>8.8000000000000007</v>
      </c>
      <c r="D996" s="18">
        <v>8.8000000000000007</v>
      </c>
      <c r="E996" s="18">
        <v>47.2</v>
      </c>
      <c r="F996" s="15">
        <v>1.36</v>
      </c>
    </row>
    <row r="997" spans="1:6" x14ac:dyDescent="0.25">
      <c r="A997" s="11">
        <v>2021</v>
      </c>
      <c r="B997" s="11" t="s">
        <v>227</v>
      </c>
      <c r="C997" s="18">
        <v>9.3000000000000007</v>
      </c>
      <c r="D997" s="18">
        <v>7.7</v>
      </c>
      <c r="E997" s="18">
        <v>41.7</v>
      </c>
      <c r="F997" s="15">
        <v>1.19</v>
      </c>
    </row>
    <row r="998" spans="1:6" x14ac:dyDescent="0.25">
      <c r="A998" s="11">
        <v>2021</v>
      </c>
      <c r="B998" s="11" t="s">
        <v>228</v>
      </c>
      <c r="C998" s="18">
        <v>8.9</v>
      </c>
      <c r="D998" s="18">
        <v>10.4</v>
      </c>
      <c r="E998" s="18">
        <v>53.9</v>
      </c>
      <c r="F998" s="15">
        <v>1.63</v>
      </c>
    </row>
    <row r="999" spans="1:6" x14ac:dyDescent="0.25">
      <c r="A999" s="11">
        <v>2021</v>
      </c>
      <c r="B999" s="11" t="s">
        <v>229</v>
      </c>
      <c r="C999" s="18">
        <v>8</v>
      </c>
      <c r="D999" s="18">
        <v>9.6</v>
      </c>
      <c r="E999" s="18">
        <v>49.9</v>
      </c>
      <c r="F999" s="15">
        <v>1.5</v>
      </c>
    </row>
    <row r="1000" spans="1:6" x14ac:dyDescent="0.25">
      <c r="A1000" s="11">
        <v>2021</v>
      </c>
      <c r="B1000" s="11" t="s">
        <v>230</v>
      </c>
      <c r="C1000" s="18">
        <v>6.8</v>
      </c>
      <c r="D1000" s="18">
        <v>9.4</v>
      </c>
      <c r="E1000" s="18">
        <v>49.1</v>
      </c>
      <c r="F1000" s="15">
        <v>1.45</v>
      </c>
    </row>
    <row r="1001" spans="1:6" x14ac:dyDescent="0.25">
      <c r="A1001" s="11">
        <v>2021</v>
      </c>
      <c r="B1001" s="11" t="s">
        <v>231</v>
      </c>
      <c r="C1001" s="18">
        <v>9.1999999999999993</v>
      </c>
      <c r="D1001" s="18">
        <v>7</v>
      </c>
      <c r="E1001" s="18">
        <v>38.700000000000003</v>
      </c>
      <c r="F1001" s="15">
        <v>1.1100000000000001</v>
      </c>
    </row>
    <row r="1002" spans="1:6" x14ac:dyDescent="0.25">
      <c r="A1002" s="11">
        <v>2021</v>
      </c>
      <c r="B1002" s="11" t="s">
        <v>232</v>
      </c>
      <c r="C1002" s="18">
        <v>9.6999999999999993</v>
      </c>
      <c r="D1002" s="18">
        <v>10.6</v>
      </c>
      <c r="E1002" s="18">
        <v>56.3</v>
      </c>
      <c r="F1002" s="15">
        <v>1.68</v>
      </c>
    </row>
    <row r="1003" spans="1:6" x14ac:dyDescent="0.25">
      <c r="A1003" s="11">
        <v>2021</v>
      </c>
      <c r="B1003" s="11" t="s">
        <v>233</v>
      </c>
      <c r="C1003" s="18">
        <v>7.4</v>
      </c>
      <c r="D1003" s="18">
        <v>9.4</v>
      </c>
      <c r="E1003" s="18">
        <v>50.1</v>
      </c>
      <c r="F1003" s="15">
        <v>1.48</v>
      </c>
    </row>
    <row r="1004" spans="1:6" x14ac:dyDescent="0.25">
      <c r="A1004" s="11">
        <v>2021</v>
      </c>
      <c r="B1004" s="11" t="s">
        <v>234</v>
      </c>
      <c r="C1004" s="18">
        <v>8.5</v>
      </c>
      <c r="D1004" s="18">
        <v>7.5</v>
      </c>
      <c r="E1004" s="18">
        <v>39.799999999999997</v>
      </c>
      <c r="F1004" s="15">
        <v>1.1599999999999999</v>
      </c>
    </row>
    <row r="1005" spans="1:6" x14ac:dyDescent="0.25">
      <c r="A1005" s="11">
        <v>2021</v>
      </c>
      <c r="B1005" s="11" t="s">
        <v>235</v>
      </c>
      <c r="C1005" s="18">
        <v>9.3000000000000007</v>
      </c>
      <c r="D1005" s="18">
        <v>10.199999999999999</v>
      </c>
      <c r="E1005" s="18">
        <v>54.5</v>
      </c>
      <c r="F1005" s="15">
        <v>1.6</v>
      </c>
    </row>
    <row r="1006" spans="1:6" x14ac:dyDescent="0.25">
      <c r="A1006" s="11">
        <v>2021</v>
      </c>
      <c r="B1006" s="11" t="s">
        <v>236</v>
      </c>
      <c r="C1006" s="18">
        <v>8.1999999999999993</v>
      </c>
      <c r="D1006" s="18">
        <v>10.6</v>
      </c>
      <c r="E1006" s="18">
        <v>52.8</v>
      </c>
      <c r="F1006" s="15">
        <v>1.56</v>
      </c>
    </row>
    <row r="1007" spans="1:6" x14ac:dyDescent="0.25">
      <c r="A1007" s="11">
        <v>2021</v>
      </c>
      <c r="B1007" s="11" t="s">
        <v>237</v>
      </c>
      <c r="C1007" s="18">
        <v>8.8000000000000007</v>
      </c>
      <c r="D1007" s="18">
        <v>9.6999999999999993</v>
      </c>
      <c r="E1007" s="18">
        <v>50.5</v>
      </c>
      <c r="F1007" s="15">
        <v>1.5</v>
      </c>
    </row>
    <row r="1008" spans="1:6" x14ac:dyDescent="0.25">
      <c r="A1008" s="11">
        <v>2021</v>
      </c>
      <c r="B1008" s="11" t="s">
        <v>238</v>
      </c>
      <c r="C1008" s="18">
        <v>8.1999999999999993</v>
      </c>
      <c r="D1008" s="18">
        <v>10.5</v>
      </c>
      <c r="E1008" s="18">
        <v>50.1</v>
      </c>
      <c r="F1008" s="15">
        <v>1.6</v>
      </c>
    </row>
    <row r="1009" spans="1:6" x14ac:dyDescent="0.25">
      <c r="A1009" s="11">
        <v>2021</v>
      </c>
      <c r="B1009" s="11" t="s">
        <v>239</v>
      </c>
      <c r="C1009" s="18">
        <v>9.1999999999999993</v>
      </c>
      <c r="D1009" s="18">
        <v>9.6</v>
      </c>
      <c r="E1009" s="18">
        <v>51.5</v>
      </c>
      <c r="F1009" s="15">
        <v>1.49</v>
      </c>
    </row>
    <row r="1010" spans="1:6" x14ac:dyDescent="0.25">
      <c r="A1010" s="11">
        <v>2021</v>
      </c>
      <c r="B1010" s="11" t="s">
        <v>240</v>
      </c>
      <c r="C1010" s="18">
        <v>8.5</v>
      </c>
      <c r="D1010" s="18">
        <v>9.3000000000000007</v>
      </c>
      <c r="E1010" s="18">
        <v>48</v>
      </c>
      <c r="F1010" s="15">
        <v>1.44</v>
      </c>
    </row>
    <row r="1011" spans="1:6" x14ac:dyDescent="0.25">
      <c r="A1011" s="11">
        <v>2021</v>
      </c>
      <c r="B1011" s="11" t="s">
        <v>241</v>
      </c>
      <c r="C1011" s="18">
        <v>9.6999999999999993</v>
      </c>
      <c r="D1011" s="18">
        <v>7.3</v>
      </c>
      <c r="E1011" s="18">
        <v>41.2</v>
      </c>
      <c r="F1011" s="15">
        <v>1.1399999999999999</v>
      </c>
    </row>
    <row r="1012" spans="1:6" x14ac:dyDescent="0.25">
      <c r="A1012" s="11">
        <v>2021</v>
      </c>
      <c r="B1012" s="11" t="s">
        <v>242</v>
      </c>
      <c r="C1012" s="18">
        <v>8</v>
      </c>
      <c r="D1012" s="18">
        <v>9.6</v>
      </c>
      <c r="E1012" s="18">
        <v>50</v>
      </c>
      <c r="F1012" s="15">
        <v>1.5</v>
      </c>
    </row>
    <row r="1013" spans="1:6" x14ac:dyDescent="0.25">
      <c r="A1013" s="11">
        <v>2021</v>
      </c>
      <c r="B1013" s="11" t="s">
        <v>243</v>
      </c>
      <c r="C1013" s="18">
        <v>7.7</v>
      </c>
      <c r="D1013" s="18">
        <v>8.6999999999999993</v>
      </c>
      <c r="E1013" s="18">
        <v>46.2</v>
      </c>
      <c r="F1013" s="15">
        <v>1.35</v>
      </c>
    </row>
    <row r="1014" spans="1:6" x14ac:dyDescent="0.25">
      <c r="A1014" s="11">
        <v>2021</v>
      </c>
      <c r="B1014" s="11" t="s">
        <v>244</v>
      </c>
      <c r="C1014" s="18">
        <v>11.2</v>
      </c>
      <c r="D1014" s="18">
        <v>10.9</v>
      </c>
      <c r="E1014" s="18">
        <v>60.4</v>
      </c>
      <c r="F1014" s="15">
        <v>1.69</v>
      </c>
    </row>
    <row r="1015" spans="1:6" x14ac:dyDescent="0.25">
      <c r="A1015" s="11">
        <v>2021</v>
      </c>
      <c r="B1015" s="11" t="s">
        <v>245</v>
      </c>
      <c r="C1015" s="18">
        <v>9</v>
      </c>
      <c r="D1015" s="18">
        <v>10.5</v>
      </c>
      <c r="E1015" s="18">
        <v>55.7</v>
      </c>
      <c r="F1015" s="15">
        <v>1.65</v>
      </c>
    </row>
    <row r="1016" spans="1:6" x14ac:dyDescent="0.25">
      <c r="A1016" s="11">
        <v>2021</v>
      </c>
      <c r="B1016" s="11" t="s">
        <v>282</v>
      </c>
      <c r="C1016" s="18">
        <v>6.9</v>
      </c>
      <c r="D1016" s="18">
        <v>9.6</v>
      </c>
      <c r="E1016" s="18">
        <v>48.6</v>
      </c>
      <c r="F1016" s="15">
        <v>1.52</v>
      </c>
    </row>
    <row r="1017" spans="1:6" x14ac:dyDescent="0.25">
      <c r="A1017" s="11">
        <v>2021</v>
      </c>
      <c r="B1017" s="11" t="s">
        <v>247</v>
      </c>
      <c r="C1017" s="18">
        <v>8</v>
      </c>
      <c r="D1017" s="18">
        <v>9.3000000000000007</v>
      </c>
      <c r="E1017" s="18">
        <v>48.7</v>
      </c>
      <c r="F1017" s="15">
        <v>1.45</v>
      </c>
    </row>
    <row r="1018" spans="1:6" x14ac:dyDescent="0.25">
      <c r="A1018" s="11">
        <v>2021</v>
      </c>
      <c r="B1018" s="11" t="s">
        <v>248</v>
      </c>
      <c r="C1018" s="18">
        <v>9.6999999999999993</v>
      </c>
      <c r="D1018" s="18">
        <v>9.8000000000000007</v>
      </c>
      <c r="E1018" s="18">
        <v>51.8</v>
      </c>
      <c r="F1018" s="15">
        <v>1.53</v>
      </c>
    </row>
    <row r="1019" spans="1:6" x14ac:dyDescent="0.25">
      <c r="A1019" s="11">
        <v>2021</v>
      </c>
      <c r="B1019" s="11" t="s">
        <v>249</v>
      </c>
      <c r="C1019" s="18">
        <v>7.8</v>
      </c>
      <c r="D1019" s="18">
        <v>9.3000000000000007</v>
      </c>
      <c r="E1019" s="18">
        <v>50.3</v>
      </c>
      <c r="F1019" s="15">
        <v>1.4</v>
      </c>
    </row>
    <row r="1020" spans="1:6" x14ac:dyDescent="0.25">
      <c r="A1020" s="11">
        <v>2021</v>
      </c>
      <c r="B1020" s="11" t="s">
        <v>250</v>
      </c>
      <c r="C1020" s="18">
        <v>7.9</v>
      </c>
      <c r="D1020" s="18">
        <v>9.6</v>
      </c>
      <c r="E1020" s="18">
        <v>49.9</v>
      </c>
      <c r="F1020" s="15">
        <v>1.49</v>
      </c>
    </row>
    <row r="1021" spans="1:6" x14ac:dyDescent="0.25">
      <c r="A1021" s="11">
        <v>2021</v>
      </c>
      <c r="B1021" s="11" t="s">
        <v>251</v>
      </c>
      <c r="C1021" s="18">
        <v>9</v>
      </c>
      <c r="D1021" s="18">
        <v>8.9</v>
      </c>
      <c r="E1021" s="18">
        <v>48.4</v>
      </c>
      <c r="F1021" s="15">
        <v>1.36</v>
      </c>
    </row>
    <row r="1022" spans="1:6" x14ac:dyDescent="0.25">
      <c r="A1022" s="11">
        <v>2021</v>
      </c>
      <c r="B1022" s="11" t="s">
        <v>252</v>
      </c>
      <c r="C1022" s="18">
        <v>7.3</v>
      </c>
      <c r="D1022" s="18">
        <v>9.5</v>
      </c>
      <c r="E1022" s="18">
        <v>49.5</v>
      </c>
      <c r="F1022" s="15">
        <v>1.49</v>
      </c>
    </row>
    <row r="1023" spans="1:6" x14ac:dyDescent="0.25">
      <c r="A1023" s="11">
        <v>2021</v>
      </c>
      <c r="B1023" s="11" t="s">
        <v>253</v>
      </c>
      <c r="C1023" s="18">
        <v>8.6999999999999993</v>
      </c>
      <c r="D1023" s="18">
        <v>10.3</v>
      </c>
      <c r="E1023" s="18">
        <v>53.4</v>
      </c>
      <c r="F1023" s="15">
        <v>1.6</v>
      </c>
    </row>
    <row r="1024" spans="1:6" x14ac:dyDescent="0.25">
      <c r="A1024" s="11">
        <v>2021</v>
      </c>
      <c r="B1024" s="11" t="s">
        <v>254</v>
      </c>
      <c r="C1024" s="18">
        <v>6.9</v>
      </c>
      <c r="D1024" s="18">
        <v>8.8000000000000007</v>
      </c>
      <c r="E1024" s="18">
        <v>45.5</v>
      </c>
      <c r="F1024" s="15">
        <v>1.37</v>
      </c>
    </row>
    <row r="1025" spans="1:6" x14ac:dyDescent="0.25">
      <c r="A1025" s="11">
        <v>2021</v>
      </c>
      <c r="B1025" s="11" t="s">
        <v>255</v>
      </c>
      <c r="C1025" s="18">
        <v>9.6</v>
      </c>
      <c r="D1025" s="18">
        <v>10.1</v>
      </c>
      <c r="E1025" s="18">
        <v>53.7</v>
      </c>
      <c r="F1025" s="15">
        <v>1.56</v>
      </c>
    </row>
    <row r="1026" spans="1:6" x14ac:dyDescent="0.25">
      <c r="A1026" s="11">
        <v>2021</v>
      </c>
      <c r="B1026" s="11" t="s">
        <v>256</v>
      </c>
      <c r="C1026" s="18">
        <v>7.3</v>
      </c>
      <c r="D1026" s="18">
        <v>8.1</v>
      </c>
      <c r="E1026" s="18">
        <v>39.299999999999997</v>
      </c>
      <c r="F1026" s="15">
        <v>1.3</v>
      </c>
    </row>
    <row r="1027" spans="1:6" x14ac:dyDescent="0.25">
      <c r="A1027" s="11">
        <v>2021</v>
      </c>
      <c r="B1027" s="11" t="s">
        <v>257</v>
      </c>
      <c r="C1027" s="18">
        <v>8.6999999999999993</v>
      </c>
      <c r="D1027" s="18">
        <v>9</v>
      </c>
      <c r="E1027" s="18">
        <v>48.4</v>
      </c>
      <c r="F1027" s="15">
        <v>1.39</v>
      </c>
    </row>
    <row r="1028" spans="1:6" x14ac:dyDescent="0.25">
      <c r="A1028" s="11">
        <v>2021</v>
      </c>
      <c r="B1028" s="11" t="s">
        <v>258</v>
      </c>
      <c r="C1028" s="18">
        <v>9.5</v>
      </c>
      <c r="D1028" s="18">
        <v>9.6999999999999993</v>
      </c>
      <c r="E1028" s="18">
        <v>51.7</v>
      </c>
      <c r="F1028" s="15">
        <v>1.51</v>
      </c>
    </row>
    <row r="1029" spans="1:6" x14ac:dyDescent="0.25">
      <c r="A1029" s="11">
        <v>2022</v>
      </c>
      <c r="B1029" s="11" t="s">
        <v>11</v>
      </c>
      <c r="C1029" s="18">
        <v>8.6</v>
      </c>
      <c r="D1029" s="18">
        <v>8.6</v>
      </c>
      <c r="E1029" s="18">
        <v>45.8</v>
      </c>
      <c r="F1029" s="15">
        <v>1.33</v>
      </c>
    </row>
    <row r="1030" spans="1:6" x14ac:dyDescent="0.25">
      <c r="A1030" s="11">
        <v>2022</v>
      </c>
      <c r="B1030" s="11" t="s">
        <v>227</v>
      </c>
      <c r="C1030" s="18">
        <v>8.6</v>
      </c>
      <c r="D1030" s="18">
        <v>7.2</v>
      </c>
      <c r="E1030" s="18">
        <v>38.700000000000003</v>
      </c>
      <c r="F1030" s="15">
        <v>1.1100000000000001</v>
      </c>
    </row>
    <row r="1031" spans="1:6" x14ac:dyDescent="0.25">
      <c r="A1031" s="11">
        <v>2022</v>
      </c>
      <c r="B1031" s="11" t="s">
        <v>228</v>
      </c>
      <c r="C1031" s="18">
        <v>8.1999999999999993</v>
      </c>
      <c r="D1031" s="18">
        <v>9.6999999999999993</v>
      </c>
      <c r="E1031" s="18">
        <v>50</v>
      </c>
      <c r="F1031" s="15">
        <v>1.53</v>
      </c>
    </row>
    <row r="1032" spans="1:6" x14ac:dyDescent="0.25">
      <c r="A1032" s="11">
        <v>2022</v>
      </c>
      <c r="B1032" s="11" t="s">
        <v>229</v>
      </c>
      <c r="C1032" s="18">
        <v>8</v>
      </c>
      <c r="D1032" s="18">
        <v>9.6999999999999993</v>
      </c>
      <c r="E1032" s="18">
        <v>50.3</v>
      </c>
      <c r="F1032" s="15">
        <v>1.53</v>
      </c>
    </row>
    <row r="1033" spans="1:6" x14ac:dyDescent="0.25">
      <c r="A1033" s="11">
        <v>2022</v>
      </c>
      <c r="B1033" s="11" t="s">
        <v>230</v>
      </c>
      <c r="C1033" s="18">
        <v>6.6</v>
      </c>
      <c r="D1033" s="18">
        <v>9.1999999999999993</v>
      </c>
      <c r="E1033" s="18">
        <v>47.7</v>
      </c>
      <c r="F1033" s="15">
        <v>1.42</v>
      </c>
    </row>
    <row r="1034" spans="1:6" x14ac:dyDescent="0.25">
      <c r="A1034" s="11">
        <v>2022</v>
      </c>
      <c r="B1034" s="11" t="s">
        <v>231</v>
      </c>
      <c r="C1034" s="18">
        <v>8.6</v>
      </c>
      <c r="D1034" s="18">
        <v>6.5</v>
      </c>
      <c r="E1034" s="18">
        <v>35.4</v>
      </c>
      <c r="F1034" s="15">
        <v>1.04</v>
      </c>
    </row>
    <row r="1035" spans="1:6" x14ac:dyDescent="0.25">
      <c r="A1035" s="11">
        <v>2022</v>
      </c>
      <c r="B1035" s="11" t="s">
        <v>232</v>
      </c>
      <c r="C1035" s="18">
        <v>8.6</v>
      </c>
      <c r="D1035" s="18">
        <v>9.5</v>
      </c>
      <c r="E1035" s="18">
        <v>50.2</v>
      </c>
      <c r="F1035" s="15">
        <v>1.49</v>
      </c>
    </row>
    <row r="1036" spans="1:6" x14ac:dyDescent="0.25">
      <c r="A1036" s="11">
        <v>2022</v>
      </c>
      <c r="B1036" s="11" t="s">
        <v>233</v>
      </c>
      <c r="C1036" s="18">
        <v>7.5</v>
      </c>
      <c r="D1036" s="18">
        <v>9.6999999999999993</v>
      </c>
      <c r="E1036" s="18">
        <v>50.6</v>
      </c>
      <c r="F1036" s="15">
        <v>1.51</v>
      </c>
    </row>
    <row r="1037" spans="1:6" x14ac:dyDescent="0.25">
      <c r="A1037" s="11">
        <v>2022</v>
      </c>
      <c r="B1037" s="11" t="s">
        <v>234</v>
      </c>
      <c r="C1037" s="18">
        <v>9</v>
      </c>
      <c r="D1037" s="18">
        <v>7.8</v>
      </c>
      <c r="E1037" s="18">
        <v>41.4</v>
      </c>
      <c r="F1037" s="15">
        <v>1.22</v>
      </c>
    </row>
    <row r="1038" spans="1:6" x14ac:dyDescent="0.25">
      <c r="A1038" s="11">
        <v>2022</v>
      </c>
      <c r="B1038" s="11" t="s">
        <v>235</v>
      </c>
      <c r="C1038" s="18">
        <v>8.5</v>
      </c>
      <c r="D1038" s="18">
        <v>9.3000000000000007</v>
      </c>
      <c r="E1038" s="18">
        <v>49.5</v>
      </c>
      <c r="F1038" s="15">
        <v>1.47</v>
      </c>
    </row>
    <row r="1039" spans="1:6" x14ac:dyDescent="0.25">
      <c r="A1039" s="11">
        <v>2022</v>
      </c>
      <c r="B1039" s="11" t="s">
        <v>236</v>
      </c>
      <c r="C1039" s="18">
        <v>7.8</v>
      </c>
      <c r="D1039" s="18">
        <v>10.199999999999999</v>
      </c>
      <c r="E1039" s="18">
        <v>50.3</v>
      </c>
      <c r="F1039" s="15">
        <v>1.51</v>
      </c>
    </row>
    <row r="1040" spans="1:6" x14ac:dyDescent="0.25">
      <c r="A1040" s="11">
        <v>2022</v>
      </c>
      <c r="B1040" s="11" t="s">
        <v>237</v>
      </c>
      <c r="C1040" s="18">
        <v>9.1</v>
      </c>
      <c r="D1040" s="18">
        <v>10.1</v>
      </c>
      <c r="E1040" s="18">
        <v>52.5</v>
      </c>
      <c r="F1040" s="15">
        <v>1.56</v>
      </c>
    </row>
    <row r="1041" spans="1:6" x14ac:dyDescent="0.25">
      <c r="A1041" s="11">
        <v>2022</v>
      </c>
      <c r="B1041" s="11" t="s">
        <v>238</v>
      </c>
      <c r="C1041" s="18">
        <v>7.7</v>
      </c>
      <c r="D1041" s="18">
        <v>9.9</v>
      </c>
      <c r="E1041" s="18">
        <v>46.7</v>
      </c>
      <c r="F1041" s="15">
        <v>1.51</v>
      </c>
    </row>
    <row r="1042" spans="1:6" x14ac:dyDescent="0.25">
      <c r="A1042" s="11">
        <v>2022</v>
      </c>
      <c r="B1042" s="11" t="s">
        <v>239</v>
      </c>
      <c r="C1042" s="18">
        <v>8.9</v>
      </c>
      <c r="D1042" s="18">
        <v>9.3000000000000007</v>
      </c>
      <c r="E1042" s="18">
        <v>49.6</v>
      </c>
      <c r="F1042" s="15">
        <v>1.46</v>
      </c>
    </row>
    <row r="1043" spans="1:6" x14ac:dyDescent="0.25">
      <c r="A1043" s="11">
        <v>2022</v>
      </c>
      <c r="B1043" s="11" t="s">
        <v>240</v>
      </c>
      <c r="C1043" s="18">
        <v>8.1</v>
      </c>
      <c r="D1043" s="18">
        <v>8.8000000000000007</v>
      </c>
      <c r="E1043" s="18">
        <v>45</v>
      </c>
      <c r="F1043" s="15">
        <v>1.37</v>
      </c>
    </row>
    <row r="1044" spans="1:6" x14ac:dyDescent="0.25">
      <c r="A1044" s="11">
        <v>2022</v>
      </c>
      <c r="B1044" s="11" t="s">
        <v>241</v>
      </c>
      <c r="C1044" s="18">
        <v>9.8000000000000007</v>
      </c>
      <c r="D1044" s="18">
        <v>7.4</v>
      </c>
      <c r="E1044" s="18">
        <v>41.3</v>
      </c>
      <c r="F1044" s="15">
        <v>1.1499999999999999</v>
      </c>
    </row>
    <row r="1045" spans="1:6" x14ac:dyDescent="0.25">
      <c r="A1045" s="11">
        <v>2022</v>
      </c>
      <c r="B1045" s="11" t="s">
        <v>242</v>
      </c>
      <c r="C1045" s="18">
        <v>8.1</v>
      </c>
      <c r="D1045" s="18">
        <v>9.8000000000000007</v>
      </c>
      <c r="E1045" s="18">
        <v>51</v>
      </c>
      <c r="F1045" s="15">
        <v>1.54</v>
      </c>
    </row>
    <row r="1046" spans="1:6" x14ac:dyDescent="0.25">
      <c r="A1046" s="11">
        <v>2022</v>
      </c>
      <c r="B1046" s="11" t="s">
        <v>243</v>
      </c>
      <c r="C1046" s="18">
        <v>8.3000000000000007</v>
      </c>
      <c r="D1046" s="18">
        <v>9.4</v>
      </c>
      <c r="E1046" s="18">
        <v>49.9</v>
      </c>
      <c r="F1046" s="15">
        <v>1.47</v>
      </c>
    </row>
    <row r="1047" spans="1:6" x14ac:dyDescent="0.25">
      <c r="A1047" s="11">
        <v>2022</v>
      </c>
      <c r="B1047" s="11" t="s">
        <v>244</v>
      </c>
      <c r="C1047" s="18">
        <v>10.7</v>
      </c>
      <c r="D1047" s="18">
        <v>10.5</v>
      </c>
      <c r="E1047" s="18">
        <v>57.5</v>
      </c>
      <c r="F1047" s="15">
        <v>1.64</v>
      </c>
    </row>
    <row r="1048" spans="1:6" x14ac:dyDescent="0.25">
      <c r="A1048" s="11">
        <v>2022</v>
      </c>
      <c r="B1048" s="11" t="s">
        <v>245</v>
      </c>
      <c r="C1048" s="18">
        <v>7.8</v>
      </c>
      <c r="D1048" s="18">
        <v>9.3000000000000007</v>
      </c>
      <c r="E1048" s="18">
        <v>48.9</v>
      </c>
      <c r="F1048" s="15">
        <v>1.45</v>
      </c>
    </row>
    <row r="1049" spans="1:6" x14ac:dyDescent="0.25">
      <c r="A1049" s="11">
        <v>2022</v>
      </c>
      <c r="B1049" s="11" t="s">
        <v>282</v>
      </c>
      <c r="C1049" s="18">
        <v>7</v>
      </c>
      <c r="D1049" s="18">
        <v>9.8000000000000007</v>
      </c>
      <c r="E1049" s="18">
        <v>49.2</v>
      </c>
      <c r="F1049" s="15">
        <v>1.53</v>
      </c>
    </row>
    <row r="1050" spans="1:6" x14ac:dyDescent="0.25">
      <c r="A1050" s="11">
        <v>2022</v>
      </c>
      <c r="B1050" s="11" t="s">
        <v>247</v>
      </c>
      <c r="C1050" s="18">
        <v>7.9</v>
      </c>
      <c r="D1050" s="18">
        <v>9.1999999999999993</v>
      </c>
      <c r="E1050" s="18">
        <v>48.2</v>
      </c>
      <c r="F1050" s="15">
        <v>1.45</v>
      </c>
    </row>
    <row r="1051" spans="1:6" x14ac:dyDescent="0.25">
      <c r="A1051" s="11">
        <v>2022</v>
      </c>
      <c r="B1051" s="11" t="s">
        <v>248</v>
      </c>
      <c r="C1051" s="18">
        <v>9.1999999999999993</v>
      </c>
      <c r="D1051" s="18">
        <v>9.4</v>
      </c>
      <c r="E1051" s="18">
        <v>49.4</v>
      </c>
      <c r="F1051" s="15">
        <v>1.47</v>
      </c>
    </row>
    <row r="1052" spans="1:6" x14ac:dyDescent="0.25">
      <c r="A1052" s="11">
        <v>2022</v>
      </c>
      <c r="B1052" s="11" t="s">
        <v>249</v>
      </c>
      <c r="C1052" s="18">
        <v>7.4</v>
      </c>
      <c r="D1052" s="18">
        <v>9.1</v>
      </c>
      <c r="E1052" s="18">
        <v>48.4</v>
      </c>
      <c r="F1052" s="15">
        <v>1.41</v>
      </c>
    </row>
    <row r="1053" spans="1:6" x14ac:dyDescent="0.25">
      <c r="A1053" s="11">
        <v>2022</v>
      </c>
      <c r="B1053" s="11" t="s">
        <v>250</v>
      </c>
      <c r="C1053" s="18">
        <v>7.6</v>
      </c>
      <c r="D1053" s="18">
        <v>9.3000000000000007</v>
      </c>
      <c r="E1053" s="18">
        <v>48.2</v>
      </c>
      <c r="F1053" s="15">
        <v>1.46</v>
      </c>
    </row>
    <row r="1054" spans="1:6" x14ac:dyDescent="0.25">
      <c r="A1054" s="11">
        <v>2022</v>
      </c>
      <c r="B1054" s="11" t="s">
        <v>251</v>
      </c>
      <c r="C1054" s="18">
        <v>9.5</v>
      </c>
      <c r="D1054" s="18">
        <v>9.3000000000000007</v>
      </c>
      <c r="E1054" s="18">
        <v>50.7</v>
      </c>
      <c r="F1054" s="15">
        <v>1.43</v>
      </c>
    </row>
    <row r="1055" spans="1:6" x14ac:dyDescent="0.25">
      <c r="A1055" s="11">
        <v>2022</v>
      </c>
      <c r="B1055" s="11" t="s">
        <v>252</v>
      </c>
      <c r="C1055" s="18">
        <v>7.3</v>
      </c>
      <c r="D1055" s="18">
        <v>9.6</v>
      </c>
      <c r="E1055" s="18">
        <v>49.3</v>
      </c>
      <c r="F1055" s="15">
        <v>1.5</v>
      </c>
    </row>
    <row r="1056" spans="1:6" x14ac:dyDescent="0.25">
      <c r="A1056" s="11">
        <v>2022</v>
      </c>
      <c r="B1056" s="11" t="s">
        <v>253</v>
      </c>
      <c r="C1056" s="18">
        <v>9</v>
      </c>
      <c r="D1056" s="18">
        <v>10.7</v>
      </c>
      <c r="E1056" s="18">
        <v>55.8</v>
      </c>
      <c r="F1056" s="15">
        <v>1.69</v>
      </c>
    </row>
    <row r="1057" spans="1:6" x14ac:dyDescent="0.25">
      <c r="A1057" s="11">
        <v>2022</v>
      </c>
      <c r="B1057" s="11" t="s">
        <v>254</v>
      </c>
      <c r="C1057" s="18">
        <v>6.6</v>
      </c>
      <c r="D1057" s="18">
        <v>8.4</v>
      </c>
      <c r="E1057" s="18">
        <v>43.3</v>
      </c>
      <c r="F1057" s="15">
        <v>1.31</v>
      </c>
    </row>
    <row r="1058" spans="1:6" x14ac:dyDescent="0.25">
      <c r="A1058" s="11">
        <v>2022</v>
      </c>
      <c r="B1058" s="11" t="s">
        <v>255</v>
      </c>
      <c r="C1058" s="18">
        <v>9.6999999999999993</v>
      </c>
      <c r="D1058" s="18">
        <v>10.199999999999999</v>
      </c>
      <c r="E1058" s="18">
        <v>53.9</v>
      </c>
      <c r="F1058" s="15">
        <v>1.58</v>
      </c>
    </row>
    <row r="1059" spans="1:6" x14ac:dyDescent="0.25">
      <c r="A1059" s="11">
        <v>2022</v>
      </c>
      <c r="B1059" s="11" t="s">
        <v>256</v>
      </c>
      <c r="C1059" s="18">
        <v>7.3</v>
      </c>
      <c r="D1059" s="18">
        <v>7.9</v>
      </c>
      <c r="E1059" s="18">
        <v>38.4</v>
      </c>
      <c r="F1059" s="15">
        <v>1.27</v>
      </c>
    </row>
    <row r="1060" spans="1:6" x14ac:dyDescent="0.25">
      <c r="A1060" s="11">
        <v>2022</v>
      </c>
      <c r="B1060" s="11" t="s">
        <v>257</v>
      </c>
      <c r="C1060" s="18">
        <v>9.6999999999999993</v>
      </c>
      <c r="D1060" s="18">
        <v>10</v>
      </c>
      <c r="E1060" s="18">
        <v>53.5</v>
      </c>
      <c r="F1060" s="15">
        <v>1.56</v>
      </c>
    </row>
    <row r="1061" spans="1:6" x14ac:dyDescent="0.25">
      <c r="A1061" s="11">
        <v>2022</v>
      </c>
      <c r="B1061" s="11" t="s">
        <v>258</v>
      </c>
      <c r="C1061" s="18">
        <v>9.1</v>
      </c>
      <c r="D1061" s="18">
        <v>9.3000000000000007</v>
      </c>
      <c r="E1061" s="18">
        <v>49.2</v>
      </c>
      <c r="F1061" s="15">
        <v>1.46</v>
      </c>
    </row>
    <row r="1062" spans="1:6" x14ac:dyDescent="0.25">
      <c r="A1062" s="11">
        <v>2023</v>
      </c>
      <c r="B1062" s="11" t="s">
        <v>11</v>
      </c>
      <c r="C1062" s="18">
        <v>8.3000000000000007</v>
      </c>
      <c r="D1062" s="18">
        <v>8.3000000000000007</v>
      </c>
      <c r="E1062" s="18">
        <v>43.7</v>
      </c>
      <c r="F1062" s="15">
        <v>1.27</v>
      </c>
    </row>
    <row r="1063" spans="1:6" x14ac:dyDescent="0.25">
      <c r="A1063" s="11">
        <v>2023</v>
      </c>
      <c r="B1063" s="11" t="s">
        <v>227</v>
      </c>
      <c r="C1063" s="18">
        <v>9.1</v>
      </c>
      <c r="D1063" s="18">
        <v>7.6</v>
      </c>
      <c r="E1063" s="18">
        <v>40.6</v>
      </c>
      <c r="F1063" s="15">
        <v>1.1599999999999999</v>
      </c>
    </row>
    <row r="1064" spans="1:6" x14ac:dyDescent="0.25">
      <c r="A1064" s="11">
        <v>2023</v>
      </c>
      <c r="B1064" s="11" t="s">
        <v>228</v>
      </c>
      <c r="C1064" s="18">
        <v>7.8</v>
      </c>
      <c r="D1064" s="18">
        <v>9.5</v>
      </c>
      <c r="E1064" s="18">
        <v>48.1</v>
      </c>
      <c r="F1064" s="15">
        <v>1.5</v>
      </c>
    </row>
    <row r="1065" spans="1:6" x14ac:dyDescent="0.25">
      <c r="A1065" s="11">
        <v>2023</v>
      </c>
      <c r="B1065" s="11" t="s">
        <v>229</v>
      </c>
      <c r="C1065" s="18">
        <v>7.1</v>
      </c>
      <c r="D1065" s="18">
        <v>8.8000000000000007</v>
      </c>
      <c r="E1065" s="18">
        <v>44.7</v>
      </c>
      <c r="F1065" s="15">
        <v>1.38</v>
      </c>
    </row>
    <row r="1066" spans="1:6" x14ac:dyDescent="0.25">
      <c r="A1066" s="11">
        <v>2023</v>
      </c>
      <c r="B1066" s="11" t="s">
        <v>230</v>
      </c>
      <c r="C1066" s="18">
        <v>6.6</v>
      </c>
      <c r="D1066" s="18">
        <v>9.3000000000000007</v>
      </c>
      <c r="E1066" s="18">
        <v>47.4</v>
      </c>
      <c r="F1066" s="15">
        <v>1.45</v>
      </c>
    </row>
    <row r="1067" spans="1:6" x14ac:dyDescent="0.25">
      <c r="A1067" s="11">
        <v>2023</v>
      </c>
      <c r="B1067" s="11" t="s">
        <v>231</v>
      </c>
      <c r="C1067" s="18">
        <v>8</v>
      </c>
      <c r="D1067" s="18">
        <v>6</v>
      </c>
      <c r="E1067" s="18">
        <v>32.4</v>
      </c>
      <c r="F1067" s="15">
        <v>0.95</v>
      </c>
    </row>
    <row r="1068" spans="1:6" x14ac:dyDescent="0.25">
      <c r="A1068" s="11">
        <v>2023</v>
      </c>
      <c r="B1068" s="11" t="s">
        <v>232</v>
      </c>
      <c r="C1068" s="18">
        <v>8.4</v>
      </c>
      <c r="D1068" s="18">
        <v>9.3000000000000007</v>
      </c>
      <c r="E1068" s="18">
        <v>48.5</v>
      </c>
      <c r="F1068" s="15">
        <v>1.47</v>
      </c>
    </row>
    <row r="1069" spans="1:6" x14ac:dyDescent="0.25">
      <c r="A1069" s="11">
        <v>2023</v>
      </c>
      <c r="B1069" s="11" t="s">
        <v>233</v>
      </c>
      <c r="C1069" s="18">
        <v>7.7</v>
      </c>
      <c r="D1069" s="18">
        <v>10.1</v>
      </c>
      <c r="E1069" s="18">
        <v>51.6</v>
      </c>
      <c r="F1069" s="15">
        <v>1.57</v>
      </c>
    </row>
    <row r="1070" spans="1:6" x14ac:dyDescent="0.25">
      <c r="A1070" s="11">
        <v>2023</v>
      </c>
      <c r="B1070" s="11" t="s">
        <v>234</v>
      </c>
      <c r="C1070" s="18">
        <v>8.8000000000000007</v>
      </c>
      <c r="D1070" s="18">
        <v>7.6</v>
      </c>
      <c r="E1070" s="18">
        <v>39.799999999999997</v>
      </c>
      <c r="F1070" s="15">
        <v>1.17</v>
      </c>
    </row>
    <row r="1071" spans="1:6" x14ac:dyDescent="0.25">
      <c r="A1071" s="11">
        <v>2023</v>
      </c>
      <c r="B1071" s="11" t="s">
        <v>235</v>
      </c>
      <c r="C1071" s="18">
        <v>8.6</v>
      </c>
      <c r="D1071" s="18">
        <v>9.6</v>
      </c>
      <c r="E1071" s="18">
        <v>50.3</v>
      </c>
      <c r="F1071" s="15">
        <v>1.5</v>
      </c>
    </row>
    <row r="1072" spans="1:6" x14ac:dyDescent="0.25">
      <c r="A1072" s="11">
        <v>2023</v>
      </c>
      <c r="B1072" s="11" t="s">
        <v>236</v>
      </c>
      <c r="C1072" s="18">
        <v>7.5</v>
      </c>
      <c r="D1072" s="18">
        <v>10.1</v>
      </c>
      <c r="E1072" s="18">
        <v>48.4</v>
      </c>
      <c r="F1072" s="15">
        <v>1.48</v>
      </c>
    </row>
    <row r="1073" spans="1:6" x14ac:dyDescent="0.25">
      <c r="A1073" s="11">
        <v>2023</v>
      </c>
      <c r="B1073" s="11" t="s">
        <v>237</v>
      </c>
      <c r="C1073" s="18">
        <v>8.3000000000000007</v>
      </c>
      <c r="D1073" s="18">
        <v>9.3000000000000007</v>
      </c>
      <c r="E1073" s="18">
        <v>47.3</v>
      </c>
      <c r="F1073" s="15">
        <v>1.4</v>
      </c>
    </row>
    <row r="1074" spans="1:6" x14ac:dyDescent="0.25">
      <c r="A1074" s="11">
        <v>2023</v>
      </c>
      <c r="B1074" s="11" t="s">
        <v>238</v>
      </c>
      <c r="C1074" s="18">
        <v>8.1</v>
      </c>
      <c r="D1074" s="18">
        <v>10.5</v>
      </c>
      <c r="E1074" s="18">
        <v>48.7</v>
      </c>
      <c r="F1074" s="15">
        <v>1.58</v>
      </c>
    </row>
    <row r="1075" spans="1:6" x14ac:dyDescent="0.25">
      <c r="A1075" s="11">
        <v>2023</v>
      </c>
      <c r="B1075" s="11" t="s">
        <v>239</v>
      </c>
      <c r="C1075" s="18">
        <v>8.3000000000000007</v>
      </c>
      <c r="D1075" s="18">
        <v>8.6999999999999993</v>
      </c>
      <c r="E1075" s="18">
        <v>45.6</v>
      </c>
      <c r="F1075" s="15">
        <v>1.34</v>
      </c>
    </row>
    <row r="1076" spans="1:6" x14ac:dyDescent="0.25">
      <c r="A1076" s="11">
        <v>2023</v>
      </c>
      <c r="B1076" s="11" t="s">
        <v>240</v>
      </c>
      <c r="C1076" s="18">
        <v>7.9</v>
      </c>
      <c r="D1076" s="18">
        <v>8.6999999999999993</v>
      </c>
      <c r="E1076" s="18">
        <v>43.4</v>
      </c>
      <c r="F1076" s="15">
        <v>1.33</v>
      </c>
    </row>
    <row r="1077" spans="1:6" x14ac:dyDescent="0.25">
      <c r="A1077" s="11">
        <v>2023</v>
      </c>
      <c r="B1077" s="11" t="s">
        <v>241</v>
      </c>
      <c r="C1077" s="18">
        <v>9.4</v>
      </c>
      <c r="D1077" s="18">
        <v>6.8</v>
      </c>
      <c r="E1077" s="18">
        <v>38.299999999999997</v>
      </c>
      <c r="F1077" s="15">
        <v>1.07</v>
      </c>
    </row>
    <row r="1078" spans="1:6" x14ac:dyDescent="0.25">
      <c r="A1078" s="11">
        <v>2023</v>
      </c>
      <c r="B1078" s="11" t="s">
        <v>242</v>
      </c>
      <c r="C1078" s="18">
        <v>7.6</v>
      </c>
      <c r="D1078" s="18">
        <v>9.3000000000000007</v>
      </c>
      <c r="E1078" s="18">
        <v>47.4</v>
      </c>
      <c r="F1078" s="15">
        <v>1.45</v>
      </c>
    </row>
    <row r="1079" spans="1:6" x14ac:dyDescent="0.25">
      <c r="A1079" s="11">
        <v>2023</v>
      </c>
      <c r="B1079" s="11" t="s">
        <v>243</v>
      </c>
      <c r="C1079" s="18">
        <v>7.8</v>
      </c>
      <c r="D1079" s="18">
        <v>9</v>
      </c>
      <c r="E1079" s="18">
        <v>46.7</v>
      </c>
      <c r="F1079" s="15">
        <v>1.39</v>
      </c>
    </row>
    <row r="1080" spans="1:6" x14ac:dyDescent="0.25">
      <c r="A1080" s="11">
        <v>2023</v>
      </c>
      <c r="B1080" s="11" t="s">
        <v>244</v>
      </c>
      <c r="C1080" s="18">
        <v>9.9</v>
      </c>
      <c r="D1080" s="18">
        <v>9.6999999999999993</v>
      </c>
      <c r="E1080" s="18">
        <v>52.5</v>
      </c>
      <c r="F1080" s="15">
        <v>1.5</v>
      </c>
    </row>
    <row r="1081" spans="1:6" x14ac:dyDescent="0.25">
      <c r="A1081" s="11">
        <v>2023</v>
      </c>
      <c r="B1081" s="11" t="s">
        <v>245</v>
      </c>
      <c r="C1081" s="18">
        <v>8</v>
      </c>
      <c r="D1081" s="18">
        <v>9.6999999999999993</v>
      </c>
      <c r="E1081" s="18">
        <v>49.9</v>
      </c>
      <c r="F1081" s="15">
        <v>1.51</v>
      </c>
    </row>
    <row r="1082" spans="1:6" x14ac:dyDescent="0.25">
      <c r="A1082" s="11">
        <v>2023</v>
      </c>
      <c r="B1082" s="11" t="s">
        <v>282</v>
      </c>
      <c r="C1082" s="18">
        <v>6.7</v>
      </c>
      <c r="D1082" s="18">
        <v>9.6</v>
      </c>
      <c r="E1082" s="18">
        <v>47.6</v>
      </c>
      <c r="F1082" s="15">
        <v>1.47</v>
      </c>
    </row>
    <row r="1083" spans="1:6" x14ac:dyDescent="0.25">
      <c r="A1083" s="11">
        <v>2023</v>
      </c>
      <c r="B1083" s="11" t="s">
        <v>247</v>
      </c>
      <c r="C1083" s="18">
        <v>7.4</v>
      </c>
      <c r="D1083" s="18">
        <v>8.6999999999999993</v>
      </c>
      <c r="E1083" s="18">
        <v>44.7</v>
      </c>
      <c r="F1083" s="15">
        <v>1.35</v>
      </c>
    </row>
    <row r="1084" spans="1:6" x14ac:dyDescent="0.25">
      <c r="A1084" s="11">
        <v>2023</v>
      </c>
      <c r="B1084" s="11" t="s">
        <v>248</v>
      </c>
      <c r="C1084" s="18">
        <v>9</v>
      </c>
      <c r="D1084" s="18">
        <v>9.1999999999999993</v>
      </c>
      <c r="E1084" s="18">
        <v>47.8</v>
      </c>
      <c r="F1084" s="15">
        <v>1.42</v>
      </c>
    </row>
    <row r="1085" spans="1:6" x14ac:dyDescent="0.25">
      <c r="A1085" s="11">
        <v>2023</v>
      </c>
      <c r="B1085" s="11" t="s">
        <v>249</v>
      </c>
      <c r="C1085" s="18">
        <v>7.4</v>
      </c>
      <c r="D1085" s="18">
        <v>9.1999999999999993</v>
      </c>
      <c r="E1085" s="18">
        <v>47.5</v>
      </c>
      <c r="F1085" s="15">
        <v>1.42</v>
      </c>
    </row>
    <row r="1086" spans="1:6" x14ac:dyDescent="0.25">
      <c r="A1086" s="11">
        <v>2023</v>
      </c>
      <c r="B1086" s="11" t="s">
        <v>250</v>
      </c>
      <c r="C1086" s="18">
        <v>7.4</v>
      </c>
      <c r="D1086" s="18">
        <v>9.1</v>
      </c>
      <c r="E1086" s="18">
        <v>46.4</v>
      </c>
      <c r="F1086" s="15">
        <v>1.42</v>
      </c>
    </row>
    <row r="1087" spans="1:6" x14ac:dyDescent="0.25">
      <c r="A1087" s="11">
        <v>2023</v>
      </c>
      <c r="B1087" s="11" t="s">
        <v>251</v>
      </c>
      <c r="C1087" s="18">
        <v>8.9</v>
      </c>
      <c r="D1087" s="18">
        <v>8.6999999999999993</v>
      </c>
      <c r="E1087" s="18">
        <v>46.6</v>
      </c>
      <c r="F1087" s="15">
        <v>1.31</v>
      </c>
    </row>
    <row r="1088" spans="1:6" x14ac:dyDescent="0.25">
      <c r="A1088" s="11">
        <v>2023</v>
      </c>
      <c r="B1088" s="11" t="s">
        <v>252</v>
      </c>
      <c r="C1088" s="18">
        <v>7.1</v>
      </c>
      <c r="D1088" s="18">
        <v>9.5</v>
      </c>
      <c r="E1088" s="18">
        <v>47.5</v>
      </c>
      <c r="F1088" s="15">
        <v>1.47</v>
      </c>
    </row>
    <row r="1089" spans="1:6" x14ac:dyDescent="0.25">
      <c r="A1089" s="11">
        <v>2023</v>
      </c>
      <c r="B1089" s="11" t="s">
        <v>253</v>
      </c>
      <c r="C1089" s="18">
        <v>7.7</v>
      </c>
      <c r="D1089" s="18">
        <v>9</v>
      </c>
      <c r="E1089" s="18">
        <v>46.9</v>
      </c>
      <c r="F1089" s="15">
        <v>1.43</v>
      </c>
    </row>
    <row r="1090" spans="1:6" x14ac:dyDescent="0.25">
      <c r="A1090" s="11">
        <v>2023</v>
      </c>
      <c r="B1090" s="11" t="s">
        <v>254</v>
      </c>
      <c r="C1090" s="18">
        <v>7.3</v>
      </c>
      <c r="D1090" s="18">
        <v>9.4</v>
      </c>
      <c r="E1090" s="18">
        <v>47.4</v>
      </c>
      <c r="F1090" s="15">
        <v>1.45</v>
      </c>
    </row>
    <row r="1091" spans="1:6" x14ac:dyDescent="0.25">
      <c r="A1091" s="11">
        <v>2023</v>
      </c>
      <c r="B1091" s="11" t="s">
        <v>255</v>
      </c>
      <c r="C1091" s="18">
        <v>9.1999999999999993</v>
      </c>
      <c r="D1091" s="18">
        <v>9.8000000000000007</v>
      </c>
      <c r="E1091" s="18">
        <v>50.9</v>
      </c>
      <c r="F1091" s="15">
        <v>1.49</v>
      </c>
    </row>
    <row r="1092" spans="1:6" x14ac:dyDescent="0.25">
      <c r="A1092" s="11">
        <v>2023</v>
      </c>
      <c r="B1092" s="11" t="s">
        <v>256</v>
      </c>
      <c r="C1092" s="18">
        <v>7.1</v>
      </c>
      <c r="D1092" s="18">
        <v>7.7</v>
      </c>
      <c r="E1092" s="18">
        <v>37.1</v>
      </c>
      <c r="F1092" s="15">
        <v>1.22</v>
      </c>
    </row>
    <row r="1093" spans="1:6" x14ac:dyDescent="0.25">
      <c r="A1093" s="11">
        <v>2023</v>
      </c>
      <c r="B1093" s="11" t="s">
        <v>257</v>
      </c>
      <c r="C1093" s="18">
        <v>8.8000000000000007</v>
      </c>
      <c r="D1093" s="18">
        <v>9.1999999999999993</v>
      </c>
      <c r="E1093" s="18">
        <v>47.9</v>
      </c>
      <c r="F1093" s="15">
        <v>1.42</v>
      </c>
    </row>
    <row r="1094" spans="1:6" x14ac:dyDescent="0.25">
      <c r="A1094" s="11">
        <v>2023</v>
      </c>
      <c r="B1094" s="11" t="s">
        <v>258</v>
      </c>
      <c r="C1094" s="18">
        <v>9.9</v>
      </c>
      <c r="D1094" s="18">
        <v>10.199999999999999</v>
      </c>
      <c r="E1094" s="18">
        <v>53</v>
      </c>
      <c r="F1094" s="15">
        <v>1.59</v>
      </c>
    </row>
    <row r="1095" spans="1:6" x14ac:dyDescent="0.25">
      <c r="A1095" s="11">
        <v>2024</v>
      </c>
      <c r="B1095" s="11" t="s">
        <v>11</v>
      </c>
      <c r="C1095" s="18">
        <v>8.3000000000000007</v>
      </c>
      <c r="D1095" s="18">
        <v>8.3000000000000007</v>
      </c>
      <c r="E1095" s="18">
        <v>43</v>
      </c>
      <c r="F1095" s="15">
        <v>1.25</v>
      </c>
    </row>
    <row r="1096" spans="1:6" x14ac:dyDescent="0.25">
      <c r="A1096" s="11">
        <v>2024</v>
      </c>
      <c r="B1096" s="11" t="s">
        <v>227</v>
      </c>
      <c r="C1096" s="18">
        <v>8.3000000000000007</v>
      </c>
      <c r="D1096" s="18">
        <v>6.9</v>
      </c>
      <c r="E1096" s="18">
        <v>37</v>
      </c>
      <c r="F1096" s="15">
        <v>1.06</v>
      </c>
    </row>
    <row r="1097" spans="1:6" x14ac:dyDescent="0.25">
      <c r="A1097" s="11">
        <v>2024</v>
      </c>
      <c r="B1097" s="11" t="s">
        <v>228</v>
      </c>
      <c r="C1097" s="18">
        <v>7</v>
      </c>
      <c r="D1097" s="18">
        <v>8.8000000000000007</v>
      </c>
      <c r="E1097" s="18">
        <v>43.4</v>
      </c>
      <c r="F1097" s="15">
        <v>1.38</v>
      </c>
    </row>
    <row r="1098" spans="1:6" x14ac:dyDescent="0.25">
      <c r="A1098" s="11">
        <v>2024</v>
      </c>
      <c r="B1098" s="11" t="s">
        <v>229</v>
      </c>
      <c r="C1098" s="18">
        <v>7.6</v>
      </c>
      <c r="D1098" s="18">
        <v>9.5</v>
      </c>
      <c r="E1098" s="18">
        <v>47.7</v>
      </c>
      <c r="F1098" s="15">
        <v>1.48</v>
      </c>
    </row>
    <row r="1099" spans="1:6" x14ac:dyDescent="0.25">
      <c r="A1099" s="11">
        <v>2024</v>
      </c>
      <c r="B1099" s="11" t="s">
        <v>230</v>
      </c>
      <c r="C1099" s="18">
        <v>6.3</v>
      </c>
      <c r="D1099" s="18">
        <v>9</v>
      </c>
      <c r="E1099" s="18">
        <v>44.9</v>
      </c>
      <c r="F1099" s="15">
        <v>1.38</v>
      </c>
    </row>
    <row r="1100" spans="1:6" x14ac:dyDescent="0.25">
      <c r="A1100" s="11">
        <v>2024</v>
      </c>
      <c r="B1100" s="11" t="s">
        <v>231</v>
      </c>
      <c r="C1100" s="18">
        <v>8.4</v>
      </c>
      <c r="D1100" s="18">
        <v>6.2</v>
      </c>
      <c r="E1100" s="18">
        <v>33.700000000000003</v>
      </c>
      <c r="F1100" s="15">
        <v>0.99</v>
      </c>
    </row>
    <row r="1101" spans="1:6" x14ac:dyDescent="0.25">
      <c r="A1101" s="11">
        <v>2024</v>
      </c>
      <c r="B1101" s="11" t="s">
        <v>232</v>
      </c>
      <c r="C1101" s="18">
        <v>7.5</v>
      </c>
      <c r="D1101" s="18">
        <v>8.4</v>
      </c>
      <c r="E1101" s="18">
        <v>43.4</v>
      </c>
      <c r="F1101" s="15">
        <v>1.32</v>
      </c>
    </row>
    <row r="1102" spans="1:6" x14ac:dyDescent="0.25">
      <c r="A1102" s="11">
        <v>2024</v>
      </c>
      <c r="B1102" s="11" t="s">
        <v>233</v>
      </c>
      <c r="C1102" s="18">
        <v>7.2</v>
      </c>
      <c r="D1102" s="18">
        <v>9.6</v>
      </c>
      <c r="E1102" s="18">
        <v>48.3</v>
      </c>
      <c r="F1102" s="15">
        <v>1.49</v>
      </c>
    </row>
    <row r="1103" spans="1:6" x14ac:dyDescent="0.25">
      <c r="A1103" s="11">
        <v>2024</v>
      </c>
      <c r="B1103" s="11" t="s">
        <v>234</v>
      </c>
      <c r="C1103" s="18">
        <v>8.8000000000000007</v>
      </c>
      <c r="D1103" s="18">
        <v>7.7</v>
      </c>
      <c r="E1103" s="18">
        <v>39.9</v>
      </c>
      <c r="F1103" s="15">
        <v>1.18</v>
      </c>
    </row>
    <row r="1104" spans="1:6" x14ac:dyDescent="0.25">
      <c r="A1104" s="11">
        <v>2024</v>
      </c>
      <c r="B1104" s="11" t="s">
        <v>235</v>
      </c>
      <c r="C1104" s="18">
        <v>8.6</v>
      </c>
      <c r="D1104" s="18">
        <v>9.6</v>
      </c>
      <c r="E1104" s="18">
        <v>49.5</v>
      </c>
      <c r="F1104" s="15">
        <v>1.49</v>
      </c>
    </row>
    <row r="1105" spans="1:6" x14ac:dyDescent="0.25">
      <c r="A1105" s="11">
        <v>2024</v>
      </c>
      <c r="B1105" s="11" t="s">
        <v>236</v>
      </c>
      <c r="C1105" s="18">
        <v>7.3</v>
      </c>
      <c r="D1105" s="18">
        <v>9.9</v>
      </c>
      <c r="E1105" s="18">
        <v>47.1</v>
      </c>
      <c r="F1105" s="15">
        <v>1.45</v>
      </c>
    </row>
    <row r="1106" spans="1:6" x14ac:dyDescent="0.25">
      <c r="A1106" s="11">
        <v>2024</v>
      </c>
      <c r="B1106" s="11" t="s">
        <v>237</v>
      </c>
      <c r="C1106" s="18">
        <v>8.5</v>
      </c>
      <c r="D1106" s="18">
        <v>9.6</v>
      </c>
      <c r="E1106" s="18">
        <v>48.7</v>
      </c>
      <c r="F1106" s="15">
        <v>1.46</v>
      </c>
    </row>
    <row r="1107" spans="1:6" x14ac:dyDescent="0.25">
      <c r="A1107" s="11">
        <v>2024</v>
      </c>
      <c r="B1107" s="11" t="s">
        <v>238</v>
      </c>
      <c r="C1107" s="18">
        <v>7.9</v>
      </c>
      <c r="D1107" s="18">
        <v>10.3</v>
      </c>
      <c r="E1107" s="18">
        <v>47.2</v>
      </c>
      <c r="F1107" s="15">
        <v>1.56</v>
      </c>
    </row>
    <row r="1108" spans="1:6" x14ac:dyDescent="0.25">
      <c r="A1108" s="11">
        <v>2024</v>
      </c>
      <c r="B1108" s="11" t="s">
        <v>239</v>
      </c>
      <c r="C1108" s="18">
        <v>8.3000000000000007</v>
      </c>
      <c r="D1108" s="18">
        <v>8.8000000000000007</v>
      </c>
      <c r="E1108" s="18">
        <v>45.5</v>
      </c>
      <c r="F1108" s="15">
        <v>1.36</v>
      </c>
    </row>
    <row r="1109" spans="1:6" x14ac:dyDescent="0.25">
      <c r="A1109" s="11">
        <v>2024</v>
      </c>
      <c r="B1109" s="11" t="s">
        <v>240</v>
      </c>
      <c r="C1109" s="18">
        <v>7.5</v>
      </c>
      <c r="D1109" s="18">
        <v>8.3000000000000007</v>
      </c>
      <c r="E1109" s="18">
        <v>41.3</v>
      </c>
      <c r="F1109" s="15">
        <v>1.26</v>
      </c>
    </row>
    <row r="1110" spans="1:6" x14ac:dyDescent="0.25">
      <c r="A1110" s="11">
        <v>2024</v>
      </c>
      <c r="B1110" s="11" t="s">
        <v>241</v>
      </c>
      <c r="C1110" s="18">
        <v>9.5</v>
      </c>
      <c r="D1110" s="18">
        <v>6.8</v>
      </c>
      <c r="E1110" s="18">
        <v>38.200000000000003</v>
      </c>
      <c r="F1110" s="15">
        <v>1.05</v>
      </c>
    </row>
    <row r="1111" spans="1:6" x14ac:dyDescent="0.25">
      <c r="A1111" s="11">
        <v>2024</v>
      </c>
      <c r="B1111" s="11" t="s">
        <v>242</v>
      </c>
      <c r="C1111" s="18">
        <v>7.4</v>
      </c>
      <c r="D1111" s="18">
        <v>9.1</v>
      </c>
      <c r="E1111" s="18">
        <v>46.1</v>
      </c>
      <c r="F1111" s="15">
        <v>1.42</v>
      </c>
    </row>
    <row r="1112" spans="1:6" x14ac:dyDescent="0.25">
      <c r="A1112" s="11">
        <v>2024</v>
      </c>
      <c r="B1112" s="11" t="s">
        <v>243</v>
      </c>
      <c r="C1112" s="18">
        <v>7.5</v>
      </c>
      <c r="D1112" s="18">
        <v>8.6</v>
      </c>
      <c r="E1112" s="18">
        <v>44.7</v>
      </c>
      <c r="F1112" s="15">
        <v>1.33</v>
      </c>
    </row>
    <row r="1113" spans="1:6" x14ac:dyDescent="0.25">
      <c r="A1113" s="11">
        <v>2024</v>
      </c>
      <c r="B1113" s="11" t="s">
        <v>244</v>
      </c>
      <c r="C1113" s="18">
        <v>10.7</v>
      </c>
      <c r="D1113" s="18">
        <v>10.8</v>
      </c>
      <c r="E1113" s="18">
        <v>57.2</v>
      </c>
      <c r="F1113" s="15">
        <v>1.66</v>
      </c>
    </row>
    <row r="1114" spans="1:6" x14ac:dyDescent="0.25">
      <c r="A1114" s="11">
        <v>2024</v>
      </c>
      <c r="B1114" s="11" t="s">
        <v>245</v>
      </c>
      <c r="C1114" s="18">
        <v>7.3</v>
      </c>
      <c r="D1114" s="18">
        <v>8.9</v>
      </c>
      <c r="E1114" s="18">
        <v>45.2</v>
      </c>
      <c r="F1114" s="15">
        <v>1.4</v>
      </c>
    </row>
    <row r="1115" spans="1:6" x14ac:dyDescent="0.25">
      <c r="A1115" s="11">
        <v>2024</v>
      </c>
      <c r="B1115" s="11" t="s">
        <v>282</v>
      </c>
      <c r="C1115" s="18">
        <v>6.8</v>
      </c>
      <c r="D1115" s="18">
        <v>9.8000000000000007</v>
      </c>
      <c r="E1115" s="18">
        <v>48.5</v>
      </c>
      <c r="F1115" s="15">
        <v>1.51</v>
      </c>
    </row>
    <row r="1116" spans="1:6" x14ac:dyDescent="0.25">
      <c r="A1116" s="11">
        <v>2024</v>
      </c>
      <c r="B1116" s="11" t="s">
        <v>247</v>
      </c>
      <c r="C1116" s="18">
        <v>7.6</v>
      </c>
      <c r="D1116" s="18">
        <v>9.1</v>
      </c>
      <c r="E1116" s="18">
        <v>45.7</v>
      </c>
      <c r="F1116" s="15">
        <v>1.4</v>
      </c>
    </row>
    <row r="1117" spans="1:6" x14ac:dyDescent="0.25">
      <c r="A1117" s="11">
        <v>2024</v>
      </c>
      <c r="B1117" s="11" t="s">
        <v>248</v>
      </c>
      <c r="C1117" s="18">
        <v>9.1999999999999993</v>
      </c>
      <c r="D1117" s="18">
        <v>9.5</v>
      </c>
      <c r="E1117" s="18">
        <v>48.9</v>
      </c>
      <c r="F1117" s="15">
        <v>1.46</v>
      </c>
    </row>
    <row r="1118" spans="1:6" x14ac:dyDescent="0.25">
      <c r="A1118" s="11">
        <v>2024</v>
      </c>
      <c r="B1118" s="11" t="s">
        <v>249</v>
      </c>
      <c r="C1118" s="18">
        <v>6.6</v>
      </c>
      <c r="D1118" s="18">
        <v>8.4</v>
      </c>
      <c r="E1118" s="18">
        <v>43.6</v>
      </c>
      <c r="F1118" s="15">
        <v>1.33</v>
      </c>
    </row>
    <row r="1119" spans="1:6" x14ac:dyDescent="0.25">
      <c r="A1119" s="11">
        <v>2024</v>
      </c>
      <c r="B1119" s="11" t="s">
        <v>250</v>
      </c>
      <c r="C1119" s="18">
        <v>7.6</v>
      </c>
      <c r="D1119" s="18">
        <v>9.4</v>
      </c>
      <c r="E1119" s="18">
        <v>46.9</v>
      </c>
      <c r="F1119" s="15">
        <v>1.44</v>
      </c>
    </row>
    <row r="1120" spans="1:6" x14ac:dyDescent="0.25">
      <c r="A1120" s="11">
        <v>2024</v>
      </c>
      <c r="B1120" s="11" t="s">
        <v>251</v>
      </c>
      <c r="C1120" s="18">
        <v>9.1</v>
      </c>
      <c r="D1120" s="18">
        <v>8.8000000000000007</v>
      </c>
      <c r="E1120" s="18">
        <v>47.4</v>
      </c>
      <c r="F1120" s="15">
        <v>1.32</v>
      </c>
    </row>
    <row r="1121" spans="1:6" x14ac:dyDescent="0.25">
      <c r="A1121" s="11">
        <v>2024</v>
      </c>
      <c r="B1121" s="11" t="s">
        <v>252</v>
      </c>
      <c r="C1121" s="18">
        <v>7.1</v>
      </c>
      <c r="D1121" s="18">
        <v>9.6999999999999993</v>
      </c>
      <c r="E1121" s="18">
        <v>47.7</v>
      </c>
      <c r="F1121" s="15">
        <v>1.5</v>
      </c>
    </row>
    <row r="1122" spans="1:6" x14ac:dyDescent="0.25">
      <c r="A1122" s="11">
        <v>2024</v>
      </c>
      <c r="B1122" s="11" t="s">
        <v>253</v>
      </c>
      <c r="C1122" s="18">
        <v>7.2</v>
      </c>
      <c r="D1122" s="18">
        <v>8.4</v>
      </c>
      <c r="E1122" s="18">
        <v>43.1</v>
      </c>
      <c r="F1122" s="15">
        <v>1.29</v>
      </c>
    </row>
    <row r="1123" spans="1:6" x14ac:dyDescent="0.25">
      <c r="A1123" s="11">
        <v>2024</v>
      </c>
      <c r="B1123" s="11" t="s">
        <v>254</v>
      </c>
      <c r="C1123" s="18">
        <v>6.7</v>
      </c>
      <c r="D1123" s="18">
        <v>8.6999999999999993</v>
      </c>
      <c r="E1123" s="18">
        <v>43.6</v>
      </c>
      <c r="F1123" s="15">
        <v>1.35</v>
      </c>
    </row>
    <row r="1124" spans="1:6" x14ac:dyDescent="0.25">
      <c r="A1124" s="11">
        <v>2024</v>
      </c>
      <c r="B1124" s="11" t="s">
        <v>255</v>
      </c>
      <c r="C1124" s="18">
        <v>9.1</v>
      </c>
      <c r="D1124" s="18">
        <v>9.6</v>
      </c>
      <c r="E1124" s="18">
        <v>49.9</v>
      </c>
      <c r="F1124" s="15">
        <v>1.47</v>
      </c>
    </row>
    <row r="1125" spans="1:6" x14ac:dyDescent="0.25">
      <c r="A1125" s="11">
        <v>2024</v>
      </c>
      <c r="B1125" s="11" t="s">
        <v>256</v>
      </c>
      <c r="C1125" s="18">
        <v>7</v>
      </c>
      <c r="D1125" s="18">
        <v>7.6</v>
      </c>
      <c r="E1125" s="18">
        <v>36.9</v>
      </c>
      <c r="F1125" s="15">
        <v>1.19</v>
      </c>
    </row>
    <row r="1126" spans="1:6" x14ac:dyDescent="0.25">
      <c r="A1126" s="11">
        <v>2024</v>
      </c>
      <c r="B1126" s="11" t="s">
        <v>257</v>
      </c>
      <c r="C1126" s="18">
        <v>9</v>
      </c>
      <c r="D1126" s="18">
        <v>9.4</v>
      </c>
      <c r="E1126" s="18">
        <v>48.5</v>
      </c>
      <c r="F1126" s="15">
        <v>1.46</v>
      </c>
    </row>
    <row r="1127" spans="1:6" x14ac:dyDescent="0.25">
      <c r="A1127" s="11">
        <v>2024</v>
      </c>
      <c r="B1127" s="11" t="s">
        <v>258</v>
      </c>
      <c r="C1127" s="18">
        <v>9</v>
      </c>
      <c r="D1127" s="18">
        <v>9.3000000000000007</v>
      </c>
      <c r="E1127" s="18">
        <v>47.8</v>
      </c>
      <c r="F1127" s="15">
        <v>1.45</v>
      </c>
    </row>
  </sheetData>
  <pageMargins left="0.7" right="0.7" top="0.75" bottom="0.75" header="0.3" footer="0.3"/>
  <pageSetup paperSize="9" orientation="portrait" horizontalDpi="300" verticalDpi="300"/>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515"/>
  <sheetViews>
    <sheetView workbookViewId="0"/>
  </sheetViews>
  <sheetFormatPr defaultColWidth="11.6328125" defaultRowHeight="15" x14ac:dyDescent="0.25"/>
  <cols>
    <col min="1" max="1" width="10.6328125" bestFit="1" customWidth="1"/>
    <col min="2" max="2" width="25.6328125" bestFit="1" customWidth="1"/>
    <col min="3" max="6" width="18.7265625" customWidth="1"/>
  </cols>
  <sheetData>
    <row r="1" spans="1:6" ht="21" x14ac:dyDescent="0.4">
      <c r="A1" s="5" t="s">
        <v>283</v>
      </c>
    </row>
    <row r="2" spans="1:6" x14ac:dyDescent="0.25">
      <c r="A2" t="s">
        <v>29</v>
      </c>
    </row>
    <row r="3" spans="1:6" x14ac:dyDescent="0.25">
      <c r="A3" t="s">
        <v>278</v>
      </c>
    </row>
    <row r="4" spans="1:6" x14ac:dyDescent="0.25">
      <c r="A4" s="16" t="str">
        <f>HYPERLINK("#'Contents'!A1", "back to contents")</f>
        <v>back to contents</v>
      </c>
    </row>
    <row r="5" spans="1:6" ht="33.75" customHeight="1" x14ac:dyDescent="0.3">
      <c r="A5" s="10" t="s">
        <v>69</v>
      </c>
      <c r="B5" s="10" t="s">
        <v>279</v>
      </c>
      <c r="C5" s="14" t="s">
        <v>284</v>
      </c>
      <c r="D5" s="14" t="s">
        <v>285</v>
      </c>
      <c r="E5" s="14" t="s">
        <v>336</v>
      </c>
      <c r="F5" s="14" t="s">
        <v>337</v>
      </c>
    </row>
    <row r="6" spans="1:6" x14ac:dyDescent="0.25">
      <c r="A6" s="11">
        <v>1991</v>
      </c>
      <c r="B6" s="11" t="s">
        <v>11</v>
      </c>
      <c r="C6" s="18">
        <v>13.2</v>
      </c>
      <c r="D6" s="18">
        <v>13.2</v>
      </c>
      <c r="E6" s="18">
        <v>59.8</v>
      </c>
      <c r="F6" s="15">
        <v>1.7</v>
      </c>
    </row>
    <row r="7" spans="1:6" x14ac:dyDescent="0.25">
      <c r="A7" s="11">
        <v>1991</v>
      </c>
      <c r="B7" s="11" t="s">
        <v>260</v>
      </c>
      <c r="C7" s="18">
        <v>13</v>
      </c>
      <c r="D7" s="18">
        <v>13.8</v>
      </c>
      <c r="E7" s="18">
        <v>60.8</v>
      </c>
      <c r="F7" s="15">
        <v>1.77</v>
      </c>
    </row>
    <row r="8" spans="1:6" x14ac:dyDescent="0.25">
      <c r="A8" s="11">
        <v>1991</v>
      </c>
      <c r="B8" s="11" t="s">
        <v>261</v>
      </c>
      <c r="C8" s="18">
        <v>12.1</v>
      </c>
      <c r="D8" s="18">
        <v>14</v>
      </c>
      <c r="E8" s="18">
        <v>60.3</v>
      </c>
      <c r="F8" s="15">
        <v>1.8</v>
      </c>
    </row>
    <row r="9" spans="1:6" x14ac:dyDescent="0.25">
      <c r="A9" s="11">
        <v>1991</v>
      </c>
      <c r="B9" s="11" t="s">
        <v>233</v>
      </c>
      <c r="C9" s="18">
        <v>12.1</v>
      </c>
      <c r="D9" s="18">
        <v>13.8</v>
      </c>
      <c r="E9" s="18">
        <v>60.4</v>
      </c>
      <c r="F9" s="15">
        <v>1.78</v>
      </c>
    </row>
    <row r="10" spans="1:6" x14ac:dyDescent="0.25">
      <c r="A10" s="11">
        <v>1991</v>
      </c>
      <c r="B10" s="11" t="s">
        <v>240</v>
      </c>
      <c r="C10" s="18">
        <v>12.6</v>
      </c>
      <c r="D10" s="18">
        <v>13</v>
      </c>
      <c r="E10" s="18">
        <v>58</v>
      </c>
      <c r="F10" s="15">
        <v>1.67</v>
      </c>
    </row>
    <row r="11" spans="1:6" x14ac:dyDescent="0.25">
      <c r="A11" s="11">
        <v>1991</v>
      </c>
      <c r="B11" s="11" t="s">
        <v>262</v>
      </c>
      <c r="C11" s="18">
        <v>13.1</v>
      </c>
      <c r="D11" s="18">
        <v>13.3</v>
      </c>
      <c r="E11" s="18">
        <v>59.2</v>
      </c>
      <c r="F11" s="15">
        <v>1.71</v>
      </c>
    </row>
    <row r="12" spans="1:6" x14ac:dyDescent="0.25">
      <c r="A12" s="11">
        <v>1991</v>
      </c>
      <c r="B12" s="11" t="s">
        <v>263</v>
      </c>
      <c r="C12" s="18">
        <v>13.2</v>
      </c>
      <c r="D12" s="18">
        <v>13.2</v>
      </c>
      <c r="E12" s="18">
        <v>58.8</v>
      </c>
      <c r="F12" s="15">
        <v>1.69</v>
      </c>
    </row>
    <row r="13" spans="1:6" x14ac:dyDescent="0.25">
      <c r="A13" s="11">
        <v>1991</v>
      </c>
      <c r="B13" s="11" t="s">
        <v>264</v>
      </c>
      <c r="C13" s="18">
        <v>13.6</v>
      </c>
      <c r="D13" s="18">
        <v>12.9</v>
      </c>
      <c r="E13" s="18">
        <v>60.9</v>
      </c>
      <c r="F13" s="15">
        <v>1.67</v>
      </c>
    </row>
    <row r="14" spans="1:6" x14ac:dyDescent="0.25">
      <c r="A14" s="11">
        <v>1991</v>
      </c>
      <c r="B14" s="11" t="s">
        <v>242</v>
      </c>
      <c r="C14" s="18">
        <v>13</v>
      </c>
      <c r="D14" s="18">
        <v>14.6</v>
      </c>
      <c r="E14" s="18">
        <v>63.6</v>
      </c>
      <c r="F14" s="15">
        <v>1.9</v>
      </c>
    </row>
    <row r="15" spans="1:6" x14ac:dyDescent="0.25">
      <c r="A15" s="11">
        <v>1991</v>
      </c>
      <c r="B15" s="11" t="s">
        <v>265</v>
      </c>
      <c r="C15" s="18">
        <v>13.6</v>
      </c>
      <c r="D15" s="18">
        <v>13.3</v>
      </c>
      <c r="E15" s="18">
        <v>60.1</v>
      </c>
      <c r="F15" s="15">
        <v>1.71</v>
      </c>
    </row>
    <row r="16" spans="1:6" x14ac:dyDescent="0.25">
      <c r="A16" s="11">
        <v>1991</v>
      </c>
      <c r="B16" s="11" t="s">
        <v>266</v>
      </c>
      <c r="C16" s="18">
        <v>13.4</v>
      </c>
      <c r="D16" s="18">
        <v>12.3</v>
      </c>
      <c r="E16" s="18">
        <v>57.2</v>
      </c>
      <c r="F16" s="15">
        <v>1.59</v>
      </c>
    </row>
    <row r="17" spans="1:6" x14ac:dyDescent="0.25">
      <c r="A17" s="11">
        <v>1991</v>
      </c>
      <c r="B17" s="11" t="s">
        <v>267</v>
      </c>
      <c r="C17" s="18">
        <v>12.1</v>
      </c>
      <c r="D17" s="18">
        <v>14.4</v>
      </c>
      <c r="E17" s="18">
        <v>61.4</v>
      </c>
      <c r="F17" s="15">
        <v>1.88</v>
      </c>
    </row>
    <row r="18" spans="1:6" x14ac:dyDescent="0.25">
      <c r="A18" s="11">
        <v>1991</v>
      </c>
      <c r="B18" s="11" t="s">
        <v>268</v>
      </c>
      <c r="C18" s="18">
        <v>14.4</v>
      </c>
      <c r="D18" s="18">
        <v>16.3</v>
      </c>
      <c r="E18" s="18">
        <v>70.3</v>
      </c>
      <c r="F18" s="15">
        <v>2.13</v>
      </c>
    </row>
    <row r="19" spans="1:6" x14ac:dyDescent="0.25">
      <c r="A19" s="11">
        <v>1991</v>
      </c>
      <c r="B19" s="11" t="s">
        <v>269</v>
      </c>
      <c r="C19" s="18">
        <v>12.5</v>
      </c>
      <c r="D19" s="18">
        <v>13.4</v>
      </c>
      <c r="E19" s="18">
        <v>59.4</v>
      </c>
      <c r="F19" s="15">
        <v>1.72</v>
      </c>
    </row>
    <row r="20" spans="1:6" x14ac:dyDescent="0.25">
      <c r="A20" s="11">
        <v>1991</v>
      </c>
      <c r="B20" s="11" t="s">
        <v>270</v>
      </c>
      <c r="C20" s="18">
        <v>11.2</v>
      </c>
      <c r="D20" s="18">
        <v>14.5</v>
      </c>
      <c r="E20" s="18">
        <v>61.2</v>
      </c>
      <c r="F20" s="15">
        <v>1.9</v>
      </c>
    </row>
    <row r="21" spans="1:6" x14ac:dyDescent="0.25">
      <c r="A21" s="11">
        <v>1992</v>
      </c>
      <c r="B21" s="11" t="s">
        <v>11</v>
      </c>
      <c r="C21" s="18">
        <v>12.9</v>
      </c>
      <c r="D21" s="18">
        <v>12.9</v>
      </c>
      <c r="E21" s="18">
        <v>59.3</v>
      </c>
      <c r="F21" s="15">
        <v>1.68</v>
      </c>
    </row>
    <row r="22" spans="1:6" x14ac:dyDescent="0.25">
      <c r="A22" s="11">
        <v>1992</v>
      </c>
      <c r="B22" s="11" t="s">
        <v>260</v>
      </c>
      <c r="C22" s="18">
        <v>12.6</v>
      </c>
      <c r="D22" s="18">
        <v>13.4</v>
      </c>
      <c r="E22" s="18">
        <v>59.8</v>
      </c>
      <c r="F22" s="15">
        <v>1.74</v>
      </c>
    </row>
    <row r="23" spans="1:6" x14ac:dyDescent="0.25">
      <c r="A23" s="11">
        <v>1992</v>
      </c>
      <c r="B23" s="11" t="s">
        <v>261</v>
      </c>
      <c r="C23" s="18">
        <v>11.4</v>
      </c>
      <c r="D23" s="18">
        <v>13.2</v>
      </c>
      <c r="E23" s="18">
        <v>57.9</v>
      </c>
      <c r="F23" s="15">
        <v>1.71</v>
      </c>
    </row>
    <row r="24" spans="1:6" x14ac:dyDescent="0.25">
      <c r="A24" s="11">
        <v>1992</v>
      </c>
      <c r="B24" s="11" t="s">
        <v>233</v>
      </c>
      <c r="C24" s="18">
        <v>11.9</v>
      </c>
      <c r="D24" s="18">
        <v>13.5</v>
      </c>
      <c r="E24" s="18">
        <v>60</v>
      </c>
      <c r="F24" s="15">
        <v>1.77</v>
      </c>
    </row>
    <row r="25" spans="1:6" x14ac:dyDescent="0.25">
      <c r="A25" s="11">
        <v>1992</v>
      </c>
      <c r="B25" s="11" t="s">
        <v>240</v>
      </c>
      <c r="C25" s="18">
        <v>12.4</v>
      </c>
      <c r="D25" s="18">
        <v>12.8</v>
      </c>
      <c r="E25" s="18">
        <v>57.7</v>
      </c>
      <c r="F25" s="15">
        <v>1.66</v>
      </c>
    </row>
    <row r="26" spans="1:6" x14ac:dyDescent="0.25">
      <c r="A26" s="11">
        <v>1992</v>
      </c>
      <c r="B26" s="11" t="s">
        <v>262</v>
      </c>
      <c r="C26" s="18">
        <v>12.7</v>
      </c>
      <c r="D26" s="18">
        <v>12.9</v>
      </c>
      <c r="E26" s="18">
        <v>58.2</v>
      </c>
      <c r="F26" s="15">
        <v>1.67</v>
      </c>
    </row>
    <row r="27" spans="1:6" x14ac:dyDescent="0.25">
      <c r="A27" s="11">
        <v>1992</v>
      </c>
      <c r="B27" s="11" t="s">
        <v>263</v>
      </c>
      <c r="C27" s="18">
        <v>13.1</v>
      </c>
      <c r="D27" s="18">
        <v>13.1</v>
      </c>
      <c r="E27" s="18">
        <v>59.1</v>
      </c>
      <c r="F27" s="15">
        <v>1.69</v>
      </c>
    </row>
    <row r="28" spans="1:6" x14ac:dyDescent="0.25">
      <c r="A28" s="11">
        <v>1992</v>
      </c>
      <c r="B28" s="11" t="s">
        <v>264</v>
      </c>
      <c r="C28" s="18">
        <v>13.5</v>
      </c>
      <c r="D28" s="18">
        <v>12.8</v>
      </c>
      <c r="E28" s="18">
        <v>60.7</v>
      </c>
      <c r="F28" s="15">
        <v>1.66</v>
      </c>
    </row>
    <row r="29" spans="1:6" x14ac:dyDescent="0.25">
      <c r="A29" s="11">
        <v>1992</v>
      </c>
      <c r="B29" s="11" t="s">
        <v>242</v>
      </c>
      <c r="C29" s="18">
        <v>12.8</v>
      </c>
      <c r="D29" s="18">
        <v>14.4</v>
      </c>
      <c r="E29" s="18">
        <v>63.4</v>
      </c>
      <c r="F29" s="15">
        <v>1.88</v>
      </c>
    </row>
    <row r="30" spans="1:6" x14ac:dyDescent="0.25">
      <c r="A30" s="11">
        <v>1992</v>
      </c>
      <c r="B30" s="11" t="s">
        <v>265</v>
      </c>
      <c r="C30" s="18">
        <v>13.1</v>
      </c>
      <c r="D30" s="18">
        <v>12.9</v>
      </c>
      <c r="E30" s="18">
        <v>58.6</v>
      </c>
      <c r="F30" s="15">
        <v>1.67</v>
      </c>
    </row>
    <row r="31" spans="1:6" x14ac:dyDescent="0.25">
      <c r="A31" s="11">
        <v>1992</v>
      </c>
      <c r="B31" s="11" t="s">
        <v>266</v>
      </c>
      <c r="C31" s="18">
        <v>13.1</v>
      </c>
      <c r="D31" s="18">
        <v>12.1</v>
      </c>
      <c r="E31" s="18">
        <v>57.1</v>
      </c>
      <c r="F31" s="15">
        <v>1.57</v>
      </c>
    </row>
    <row r="32" spans="1:6" x14ac:dyDescent="0.25">
      <c r="A32" s="11">
        <v>1992</v>
      </c>
      <c r="B32" s="11" t="s">
        <v>267</v>
      </c>
      <c r="C32" s="18">
        <v>12.2</v>
      </c>
      <c r="D32" s="18">
        <v>14.4</v>
      </c>
      <c r="E32" s="18">
        <v>61.8</v>
      </c>
      <c r="F32" s="15">
        <v>1.9</v>
      </c>
    </row>
    <row r="33" spans="1:6" x14ac:dyDescent="0.25">
      <c r="A33" s="11">
        <v>1992</v>
      </c>
      <c r="B33" s="11" t="s">
        <v>268</v>
      </c>
      <c r="C33" s="18">
        <v>14.4</v>
      </c>
      <c r="D33" s="18">
        <v>16.100000000000001</v>
      </c>
      <c r="E33" s="18">
        <v>70</v>
      </c>
      <c r="F33" s="15">
        <v>2.12</v>
      </c>
    </row>
    <row r="34" spans="1:6" x14ac:dyDescent="0.25">
      <c r="A34" s="11">
        <v>1992</v>
      </c>
      <c r="B34" s="11" t="s">
        <v>269</v>
      </c>
      <c r="C34" s="18">
        <v>12.4</v>
      </c>
      <c r="D34" s="18">
        <v>13.2</v>
      </c>
      <c r="E34" s="18">
        <v>59.4</v>
      </c>
      <c r="F34" s="15">
        <v>1.71</v>
      </c>
    </row>
    <row r="35" spans="1:6" x14ac:dyDescent="0.25">
      <c r="A35" s="11">
        <v>1992</v>
      </c>
      <c r="B35" s="11" t="s">
        <v>270</v>
      </c>
      <c r="C35" s="18">
        <v>11.4</v>
      </c>
      <c r="D35" s="18">
        <v>14.6</v>
      </c>
      <c r="E35" s="18">
        <v>62.4</v>
      </c>
      <c r="F35" s="15">
        <v>1.93</v>
      </c>
    </row>
    <row r="36" spans="1:6" x14ac:dyDescent="0.25">
      <c r="A36" s="11">
        <v>1993</v>
      </c>
      <c r="B36" s="11" t="s">
        <v>11</v>
      </c>
      <c r="C36" s="18">
        <v>12.4</v>
      </c>
      <c r="D36" s="18">
        <v>12.4</v>
      </c>
      <c r="E36" s="18">
        <v>57.4</v>
      </c>
      <c r="F36" s="15">
        <v>1.62</v>
      </c>
    </row>
    <row r="37" spans="1:6" x14ac:dyDescent="0.25">
      <c r="A37" s="11">
        <v>1993</v>
      </c>
      <c r="B37" s="11" t="s">
        <v>260</v>
      </c>
      <c r="C37" s="18">
        <v>12.2</v>
      </c>
      <c r="D37" s="18">
        <v>13</v>
      </c>
      <c r="E37" s="18">
        <v>58.6</v>
      </c>
      <c r="F37" s="15">
        <v>1.71</v>
      </c>
    </row>
    <row r="38" spans="1:6" x14ac:dyDescent="0.25">
      <c r="A38" s="11">
        <v>1993</v>
      </c>
      <c r="B38" s="11" t="s">
        <v>261</v>
      </c>
      <c r="C38" s="18">
        <v>10.8</v>
      </c>
      <c r="D38" s="18">
        <v>12.5</v>
      </c>
      <c r="E38" s="18">
        <v>55.2</v>
      </c>
      <c r="F38" s="15">
        <v>1.61</v>
      </c>
    </row>
    <row r="39" spans="1:6" x14ac:dyDescent="0.25">
      <c r="A39" s="11">
        <v>1993</v>
      </c>
      <c r="B39" s="11" t="s">
        <v>233</v>
      </c>
      <c r="C39" s="18">
        <v>11.6</v>
      </c>
      <c r="D39" s="18">
        <v>13.2</v>
      </c>
      <c r="E39" s="18">
        <v>59.1</v>
      </c>
      <c r="F39" s="15">
        <v>1.73</v>
      </c>
    </row>
    <row r="40" spans="1:6" x14ac:dyDescent="0.25">
      <c r="A40" s="11">
        <v>1993</v>
      </c>
      <c r="B40" s="11" t="s">
        <v>240</v>
      </c>
      <c r="C40" s="18">
        <v>12.2</v>
      </c>
      <c r="D40" s="18">
        <v>12.7</v>
      </c>
      <c r="E40" s="18">
        <v>57.7</v>
      </c>
      <c r="F40" s="15">
        <v>1.65</v>
      </c>
    </row>
    <row r="41" spans="1:6" x14ac:dyDescent="0.25">
      <c r="A41" s="11">
        <v>1993</v>
      </c>
      <c r="B41" s="11" t="s">
        <v>262</v>
      </c>
      <c r="C41" s="18">
        <v>12.3</v>
      </c>
      <c r="D41" s="18">
        <v>12.5</v>
      </c>
      <c r="E41" s="18">
        <v>56.8</v>
      </c>
      <c r="F41" s="15">
        <v>1.62</v>
      </c>
    </row>
    <row r="42" spans="1:6" x14ac:dyDescent="0.25">
      <c r="A42" s="11">
        <v>1993</v>
      </c>
      <c r="B42" s="11" t="s">
        <v>263</v>
      </c>
      <c r="C42" s="18">
        <v>12.5</v>
      </c>
      <c r="D42" s="18">
        <v>12.4</v>
      </c>
      <c r="E42" s="18">
        <v>56.7</v>
      </c>
      <c r="F42" s="15">
        <v>1.61</v>
      </c>
    </row>
    <row r="43" spans="1:6" x14ac:dyDescent="0.25">
      <c r="A43" s="11">
        <v>1993</v>
      </c>
      <c r="B43" s="11" t="s">
        <v>264</v>
      </c>
      <c r="C43" s="18">
        <v>12.9</v>
      </c>
      <c r="D43" s="18">
        <v>12.2</v>
      </c>
      <c r="E43" s="18">
        <v>58.1</v>
      </c>
      <c r="F43" s="15">
        <v>1.59</v>
      </c>
    </row>
    <row r="44" spans="1:6" x14ac:dyDescent="0.25">
      <c r="A44" s="11">
        <v>1993</v>
      </c>
      <c r="B44" s="11" t="s">
        <v>242</v>
      </c>
      <c r="C44" s="18">
        <v>11.9</v>
      </c>
      <c r="D44" s="18">
        <v>13.4</v>
      </c>
      <c r="E44" s="18">
        <v>59.5</v>
      </c>
      <c r="F44" s="15">
        <v>1.76</v>
      </c>
    </row>
    <row r="45" spans="1:6" x14ac:dyDescent="0.25">
      <c r="A45" s="11">
        <v>1993</v>
      </c>
      <c r="B45" s="11" t="s">
        <v>265</v>
      </c>
      <c r="C45" s="18">
        <v>12.9</v>
      </c>
      <c r="D45" s="18">
        <v>12.7</v>
      </c>
      <c r="E45" s="18">
        <v>58.2</v>
      </c>
      <c r="F45" s="15">
        <v>1.65</v>
      </c>
    </row>
    <row r="46" spans="1:6" x14ac:dyDescent="0.25">
      <c r="A46" s="11">
        <v>1993</v>
      </c>
      <c r="B46" s="11" t="s">
        <v>266</v>
      </c>
      <c r="C46" s="18">
        <v>12.5</v>
      </c>
      <c r="D46" s="18">
        <v>11.6</v>
      </c>
      <c r="E46" s="18">
        <v>54.7</v>
      </c>
      <c r="F46" s="15">
        <v>1.51</v>
      </c>
    </row>
    <row r="47" spans="1:6" x14ac:dyDescent="0.25">
      <c r="A47" s="11">
        <v>1993</v>
      </c>
      <c r="B47" s="11" t="s">
        <v>267</v>
      </c>
      <c r="C47" s="18">
        <v>12</v>
      </c>
      <c r="D47" s="18">
        <v>14.2</v>
      </c>
      <c r="E47" s="18">
        <v>61.6</v>
      </c>
      <c r="F47" s="15">
        <v>1.89</v>
      </c>
    </row>
    <row r="48" spans="1:6" x14ac:dyDescent="0.25">
      <c r="A48" s="11">
        <v>1993</v>
      </c>
      <c r="B48" s="11" t="s">
        <v>268</v>
      </c>
      <c r="C48" s="18">
        <v>13.8</v>
      </c>
      <c r="D48" s="18">
        <v>15.2</v>
      </c>
      <c r="E48" s="18">
        <v>67.099999999999994</v>
      </c>
      <c r="F48" s="15">
        <v>2</v>
      </c>
    </row>
    <row r="49" spans="1:6" x14ac:dyDescent="0.25">
      <c r="A49" s="11">
        <v>1993</v>
      </c>
      <c r="B49" s="11" t="s">
        <v>269</v>
      </c>
      <c r="C49" s="18">
        <v>12</v>
      </c>
      <c r="D49" s="18">
        <v>12.8</v>
      </c>
      <c r="E49" s="18">
        <v>58.2</v>
      </c>
      <c r="F49" s="15">
        <v>1.67</v>
      </c>
    </row>
    <row r="50" spans="1:6" x14ac:dyDescent="0.25">
      <c r="A50" s="11">
        <v>1993</v>
      </c>
      <c r="B50" s="11" t="s">
        <v>270</v>
      </c>
      <c r="C50" s="18">
        <v>9.6999999999999993</v>
      </c>
      <c r="D50" s="18">
        <v>12.1</v>
      </c>
      <c r="E50" s="18">
        <v>52.4</v>
      </c>
      <c r="F50" s="15">
        <v>1.6</v>
      </c>
    </row>
    <row r="51" spans="1:6" x14ac:dyDescent="0.25">
      <c r="A51" s="11">
        <v>1994</v>
      </c>
      <c r="B51" s="11" t="s">
        <v>11</v>
      </c>
      <c r="C51" s="18">
        <v>12.1</v>
      </c>
      <c r="D51" s="18">
        <v>12.1</v>
      </c>
      <c r="E51" s="18">
        <v>56</v>
      </c>
      <c r="F51" s="15">
        <v>1.58</v>
      </c>
    </row>
    <row r="52" spans="1:6" x14ac:dyDescent="0.25">
      <c r="A52" s="11">
        <v>1994</v>
      </c>
      <c r="B52" s="11" t="s">
        <v>260</v>
      </c>
      <c r="C52" s="18">
        <v>11.5</v>
      </c>
      <c r="D52" s="18">
        <v>12.3</v>
      </c>
      <c r="E52" s="18">
        <v>55.5</v>
      </c>
      <c r="F52" s="15">
        <v>1.62</v>
      </c>
    </row>
    <row r="53" spans="1:6" x14ac:dyDescent="0.25">
      <c r="A53" s="11">
        <v>1994</v>
      </c>
      <c r="B53" s="11" t="s">
        <v>261</v>
      </c>
      <c r="C53" s="18">
        <v>10.9</v>
      </c>
      <c r="D53" s="18">
        <v>12.5</v>
      </c>
      <c r="E53" s="18">
        <v>55.7</v>
      </c>
      <c r="F53" s="15">
        <v>1.64</v>
      </c>
    </row>
    <row r="54" spans="1:6" x14ac:dyDescent="0.25">
      <c r="A54" s="11">
        <v>1994</v>
      </c>
      <c r="B54" s="11" t="s">
        <v>233</v>
      </c>
      <c r="C54" s="18">
        <v>11.8</v>
      </c>
      <c r="D54" s="18">
        <v>13.5</v>
      </c>
      <c r="E54" s="18">
        <v>60.8</v>
      </c>
      <c r="F54" s="15">
        <v>1.81</v>
      </c>
    </row>
    <row r="55" spans="1:6" x14ac:dyDescent="0.25">
      <c r="A55" s="11">
        <v>1994</v>
      </c>
      <c r="B55" s="11" t="s">
        <v>240</v>
      </c>
      <c r="C55" s="18">
        <v>11.7</v>
      </c>
      <c r="D55" s="18">
        <v>12.2</v>
      </c>
      <c r="E55" s="18">
        <v>55.6</v>
      </c>
      <c r="F55" s="15">
        <v>1.6</v>
      </c>
    </row>
    <row r="56" spans="1:6" x14ac:dyDescent="0.25">
      <c r="A56" s="11">
        <v>1994</v>
      </c>
      <c r="B56" s="11" t="s">
        <v>262</v>
      </c>
      <c r="C56" s="18">
        <v>11.8</v>
      </c>
      <c r="D56" s="18">
        <v>12</v>
      </c>
      <c r="E56" s="18">
        <v>54.6</v>
      </c>
      <c r="F56" s="15">
        <v>1.57</v>
      </c>
    </row>
    <row r="57" spans="1:6" x14ac:dyDescent="0.25">
      <c r="A57" s="11">
        <v>1994</v>
      </c>
      <c r="B57" s="11" t="s">
        <v>263</v>
      </c>
      <c r="C57" s="18">
        <v>12.4</v>
      </c>
      <c r="D57" s="18">
        <v>12.3</v>
      </c>
      <c r="E57" s="18">
        <v>56.2</v>
      </c>
      <c r="F57" s="15">
        <v>1.6</v>
      </c>
    </row>
    <row r="58" spans="1:6" x14ac:dyDescent="0.25">
      <c r="A58" s="11">
        <v>1994</v>
      </c>
      <c r="B58" s="11" t="s">
        <v>264</v>
      </c>
      <c r="C58" s="18">
        <v>12.5</v>
      </c>
      <c r="D58" s="18">
        <v>11.8</v>
      </c>
      <c r="E58" s="18">
        <v>56.2</v>
      </c>
      <c r="F58" s="15">
        <v>1.55</v>
      </c>
    </row>
    <row r="59" spans="1:6" x14ac:dyDescent="0.25">
      <c r="A59" s="11">
        <v>1994</v>
      </c>
      <c r="B59" s="11" t="s">
        <v>242</v>
      </c>
      <c r="C59" s="18">
        <v>11.7</v>
      </c>
      <c r="D59" s="18">
        <v>13.3</v>
      </c>
      <c r="E59" s="18">
        <v>59.2</v>
      </c>
      <c r="F59" s="15">
        <v>1.76</v>
      </c>
    </row>
    <row r="60" spans="1:6" x14ac:dyDescent="0.25">
      <c r="A60" s="11">
        <v>1994</v>
      </c>
      <c r="B60" s="11" t="s">
        <v>265</v>
      </c>
      <c r="C60" s="18">
        <v>12.4</v>
      </c>
      <c r="D60" s="18">
        <v>12.2</v>
      </c>
      <c r="E60" s="18">
        <v>56.1</v>
      </c>
      <c r="F60" s="15">
        <v>1.6</v>
      </c>
    </row>
    <row r="61" spans="1:6" x14ac:dyDescent="0.25">
      <c r="A61" s="11">
        <v>1994</v>
      </c>
      <c r="B61" s="11" t="s">
        <v>266</v>
      </c>
      <c r="C61" s="18">
        <v>12.4</v>
      </c>
      <c r="D61" s="18">
        <v>11.4</v>
      </c>
      <c r="E61" s="18">
        <v>54.5</v>
      </c>
      <c r="F61" s="15">
        <v>1.49</v>
      </c>
    </row>
    <row r="62" spans="1:6" x14ac:dyDescent="0.25">
      <c r="A62" s="11">
        <v>1994</v>
      </c>
      <c r="B62" s="11" t="s">
        <v>267</v>
      </c>
      <c r="C62" s="18">
        <v>12.6</v>
      </c>
      <c r="D62" s="18">
        <v>14.9</v>
      </c>
      <c r="E62" s="18">
        <v>64.8</v>
      </c>
      <c r="F62" s="15">
        <v>1.96</v>
      </c>
    </row>
    <row r="63" spans="1:6" x14ac:dyDescent="0.25">
      <c r="A63" s="11">
        <v>1994</v>
      </c>
      <c r="B63" s="11" t="s">
        <v>268</v>
      </c>
      <c r="C63" s="18">
        <v>13.8</v>
      </c>
      <c r="D63" s="18">
        <v>15.2</v>
      </c>
      <c r="E63" s="18">
        <v>67.3</v>
      </c>
      <c r="F63" s="15">
        <v>2.02</v>
      </c>
    </row>
    <row r="64" spans="1:6" x14ac:dyDescent="0.25">
      <c r="A64" s="11">
        <v>1994</v>
      </c>
      <c r="B64" s="11" t="s">
        <v>269</v>
      </c>
      <c r="C64" s="18">
        <v>11.2</v>
      </c>
      <c r="D64" s="18">
        <v>12</v>
      </c>
      <c r="E64" s="18">
        <v>54.6</v>
      </c>
      <c r="F64" s="15">
        <v>1.57</v>
      </c>
    </row>
    <row r="65" spans="1:6" x14ac:dyDescent="0.25">
      <c r="A65" s="11">
        <v>1994</v>
      </c>
      <c r="B65" s="11" t="s">
        <v>270</v>
      </c>
      <c r="C65" s="18">
        <v>10.3</v>
      </c>
      <c r="D65" s="18">
        <v>12.9</v>
      </c>
      <c r="E65" s="18">
        <v>56.2</v>
      </c>
      <c r="F65" s="15">
        <v>1.73</v>
      </c>
    </row>
    <row r="66" spans="1:6" x14ac:dyDescent="0.25">
      <c r="A66" s="11">
        <v>1995</v>
      </c>
      <c r="B66" s="11" t="s">
        <v>11</v>
      </c>
      <c r="C66" s="18">
        <v>11.8</v>
      </c>
      <c r="D66" s="18">
        <v>11.8</v>
      </c>
      <c r="E66" s="18">
        <v>54.6</v>
      </c>
      <c r="F66" s="15">
        <v>1.56</v>
      </c>
    </row>
    <row r="67" spans="1:6" x14ac:dyDescent="0.25">
      <c r="A67" s="11">
        <v>1995</v>
      </c>
      <c r="B67" s="11" t="s">
        <v>260</v>
      </c>
      <c r="C67" s="18">
        <v>11.2</v>
      </c>
      <c r="D67" s="18">
        <v>11.9</v>
      </c>
      <c r="E67" s="18">
        <v>54.2</v>
      </c>
      <c r="F67" s="15">
        <v>1.6</v>
      </c>
    </row>
    <row r="68" spans="1:6" x14ac:dyDescent="0.25">
      <c r="A68" s="11">
        <v>1995</v>
      </c>
      <c r="B68" s="11" t="s">
        <v>261</v>
      </c>
      <c r="C68" s="18">
        <v>11.1</v>
      </c>
      <c r="D68" s="18">
        <v>12.8</v>
      </c>
      <c r="E68" s="18">
        <v>57</v>
      </c>
      <c r="F68" s="15">
        <v>1.7</v>
      </c>
    </row>
    <row r="69" spans="1:6" x14ac:dyDescent="0.25">
      <c r="A69" s="11">
        <v>1995</v>
      </c>
      <c r="B69" s="11" t="s">
        <v>233</v>
      </c>
      <c r="C69" s="18">
        <v>11</v>
      </c>
      <c r="D69" s="18">
        <v>12.7</v>
      </c>
      <c r="E69" s="18">
        <v>57.1</v>
      </c>
      <c r="F69" s="15">
        <v>1.71</v>
      </c>
    </row>
    <row r="70" spans="1:6" x14ac:dyDescent="0.25">
      <c r="A70" s="11">
        <v>1995</v>
      </c>
      <c r="B70" s="11" t="s">
        <v>240</v>
      </c>
      <c r="C70" s="18">
        <v>11.5</v>
      </c>
      <c r="D70" s="18">
        <v>12</v>
      </c>
      <c r="E70" s="18">
        <v>54.8</v>
      </c>
      <c r="F70" s="15">
        <v>1.6</v>
      </c>
    </row>
    <row r="71" spans="1:6" x14ac:dyDescent="0.25">
      <c r="A71" s="11">
        <v>1995</v>
      </c>
      <c r="B71" s="11" t="s">
        <v>262</v>
      </c>
      <c r="C71" s="18">
        <v>11.6</v>
      </c>
      <c r="D71" s="18">
        <v>11.8</v>
      </c>
      <c r="E71" s="18">
        <v>54.2</v>
      </c>
      <c r="F71" s="15">
        <v>1.57</v>
      </c>
    </row>
    <row r="72" spans="1:6" x14ac:dyDescent="0.25">
      <c r="A72" s="11">
        <v>1995</v>
      </c>
      <c r="B72" s="11" t="s">
        <v>263</v>
      </c>
      <c r="C72" s="18">
        <v>11.5</v>
      </c>
      <c r="D72" s="18">
        <v>11.4</v>
      </c>
      <c r="E72" s="18">
        <v>52.1</v>
      </c>
      <c r="F72" s="15">
        <v>1.49</v>
      </c>
    </row>
    <row r="73" spans="1:6" x14ac:dyDescent="0.25">
      <c r="A73" s="11">
        <v>1995</v>
      </c>
      <c r="B73" s="11" t="s">
        <v>264</v>
      </c>
      <c r="C73" s="18">
        <v>12.4</v>
      </c>
      <c r="D73" s="18">
        <v>11.7</v>
      </c>
      <c r="E73" s="18">
        <v>55.8</v>
      </c>
      <c r="F73" s="15">
        <v>1.56</v>
      </c>
    </row>
    <row r="74" spans="1:6" x14ac:dyDescent="0.25">
      <c r="A74" s="11">
        <v>1995</v>
      </c>
      <c r="B74" s="11" t="s">
        <v>242</v>
      </c>
      <c r="C74" s="18">
        <v>11.4</v>
      </c>
      <c r="D74" s="18">
        <v>13</v>
      </c>
      <c r="E74" s="18">
        <v>57.8</v>
      </c>
      <c r="F74" s="15">
        <v>1.73</v>
      </c>
    </row>
    <row r="75" spans="1:6" x14ac:dyDescent="0.25">
      <c r="A75" s="11">
        <v>1995</v>
      </c>
      <c r="B75" s="11" t="s">
        <v>265</v>
      </c>
      <c r="C75" s="18">
        <v>12</v>
      </c>
      <c r="D75" s="18">
        <v>11.8</v>
      </c>
      <c r="E75" s="18">
        <v>54.4</v>
      </c>
      <c r="F75" s="15">
        <v>1.57</v>
      </c>
    </row>
    <row r="76" spans="1:6" x14ac:dyDescent="0.25">
      <c r="A76" s="11">
        <v>1995</v>
      </c>
      <c r="B76" s="11" t="s">
        <v>266</v>
      </c>
      <c r="C76" s="18">
        <v>12.1</v>
      </c>
      <c r="D76" s="18">
        <v>11.1</v>
      </c>
      <c r="E76" s="18">
        <v>52.9</v>
      </c>
      <c r="F76" s="15">
        <v>1.45</v>
      </c>
    </row>
    <row r="77" spans="1:6" x14ac:dyDescent="0.25">
      <c r="A77" s="11">
        <v>1995</v>
      </c>
      <c r="B77" s="11" t="s">
        <v>267</v>
      </c>
      <c r="C77" s="18">
        <v>11.7</v>
      </c>
      <c r="D77" s="18">
        <v>13.9</v>
      </c>
      <c r="E77" s="18">
        <v>61.2</v>
      </c>
      <c r="F77" s="15">
        <v>1.93</v>
      </c>
    </row>
    <row r="78" spans="1:6" x14ac:dyDescent="0.25">
      <c r="A78" s="11">
        <v>1995</v>
      </c>
      <c r="B78" s="11" t="s">
        <v>268</v>
      </c>
      <c r="C78" s="18">
        <v>12.7</v>
      </c>
      <c r="D78" s="18">
        <v>13.9</v>
      </c>
      <c r="E78" s="18">
        <v>62</v>
      </c>
      <c r="F78" s="15">
        <v>1.86</v>
      </c>
    </row>
    <row r="79" spans="1:6" x14ac:dyDescent="0.25">
      <c r="A79" s="11">
        <v>1995</v>
      </c>
      <c r="B79" s="11" t="s">
        <v>269</v>
      </c>
      <c r="C79" s="18">
        <v>11</v>
      </c>
      <c r="D79" s="18">
        <v>11.7</v>
      </c>
      <c r="E79" s="18">
        <v>53.6</v>
      </c>
      <c r="F79" s="15">
        <v>1.56</v>
      </c>
    </row>
    <row r="80" spans="1:6" x14ac:dyDescent="0.25">
      <c r="A80" s="11">
        <v>1995</v>
      </c>
      <c r="B80" s="11" t="s">
        <v>270</v>
      </c>
      <c r="C80" s="18">
        <v>10.5</v>
      </c>
      <c r="D80" s="18">
        <v>13</v>
      </c>
      <c r="E80" s="18">
        <v>57</v>
      </c>
      <c r="F80" s="15">
        <v>1.75</v>
      </c>
    </row>
    <row r="81" spans="1:6" x14ac:dyDescent="0.25">
      <c r="A81" s="11">
        <v>1996</v>
      </c>
      <c r="B81" s="11" t="s">
        <v>11</v>
      </c>
      <c r="C81" s="18">
        <v>11.6</v>
      </c>
      <c r="D81" s="18">
        <v>11.6</v>
      </c>
      <c r="E81" s="18">
        <v>54.1</v>
      </c>
      <c r="F81" s="15">
        <v>1.56</v>
      </c>
    </row>
    <row r="82" spans="1:6" x14ac:dyDescent="0.25">
      <c r="A82" s="11">
        <v>1996</v>
      </c>
      <c r="B82" s="11" t="s">
        <v>260</v>
      </c>
      <c r="C82" s="18">
        <v>11.1</v>
      </c>
      <c r="D82" s="18">
        <v>11.8</v>
      </c>
      <c r="E82" s="18">
        <v>54</v>
      </c>
      <c r="F82" s="15">
        <v>1.61</v>
      </c>
    </row>
    <row r="83" spans="1:6" x14ac:dyDescent="0.25">
      <c r="A83" s="11">
        <v>1996</v>
      </c>
      <c r="B83" s="11" t="s">
        <v>261</v>
      </c>
      <c r="C83" s="18">
        <v>10.7</v>
      </c>
      <c r="D83" s="18">
        <v>12.4</v>
      </c>
      <c r="E83" s="18">
        <v>55.7</v>
      </c>
      <c r="F83" s="15">
        <v>1.65</v>
      </c>
    </row>
    <row r="84" spans="1:6" x14ac:dyDescent="0.25">
      <c r="A84" s="11">
        <v>1996</v>
      </c>
      <c r="B84" s="11" t="s">
        <v>233</v>
      </c>
      <c r="C84" s="18">
        <v>10.8</v>
      </c>
      <c r="D84" s="18">
        <v>12.6</v>
      </c>
      <c r="E84" s="18">
        <v>56.7</v>
      </c>
      <c r="F84" s="15">
        <v>1.74</v>
      </c>
    </row>
    <row r="85" spans="1:6" x14ac:dyDescent="0.25">
      <c r="A85" s="11">
        <v>1996</v>
      </c>
      <c r="B85" s="11" t="s">
        <v>240</v>
      </c>
      <c r="C85" s="18">
        <v>11</v>
      </c>
      <c r="D85" s="18">
        <v>11.5</v>
      </c>
      <c r="E85" s="18">
        <v>52.4</v>
      </c>
      <c r="F85" s="15">
        <v>1.55</v>
      </c>
    </row>
    <row r="86" spans="1:6" x14ac:dyDescent="0.25">
      <c r="A86" s="11">
        <v>1996</v>
      </c>
      <c r="B86" s="11" t="s">
        <v>262</v>
      </c>
      <c r="C86" s="18">
        <v>11.6</v>
      </c>
      <c r="D86" s="18">
        <v>11.8</v>
      </c>
      <c r="E86" s="18">
        <v>54.2</v>
      </c>
      <c r="F86" s="15">
        <v>1.57</v>
      </c>
    </row>
    <row r="87" spans="1:6" x14ac:dyDescent="0.25">
      <c r="A87" s="11">
        <v>1996</v>
      </c>
      <c r="B87" s="11" t="s">
        <v>263</v>
      </c>
      <c r="C87" s="18">
        <v>11.4</v>
      </c>
      <c r="D87" s="18">
        <v>11.2</v>
      </c>
      <c r="E87" s="18">
        <v>51.6</v>
      </c>
      <c r="F87" s="15">
        <v>1.49</v>
      </c>
    </row>
    <row r="88" spans="1:6" x14ac:dyDescent="0.25">
      <c r="A88" s="11">
        <v>1996</v>
      </c>
      <c r="B88" s="11" t="s">
        <v>264</v>
      </c>
      <c r="C88" s="18">
        <v>12.3</v>
      </c>
      <c r="D88" s="18">
        <v>11.7</v>
      </c>
      <c r="E88" s="18">
        <v>55.3</v>
      </c>
      <c r="F88" s="15">
        <v>1.56</v>
      </c>
    </row>
    <row r="89" spans="1:6" x14ac:dyDescent="0.25">
      <c r="A89" s="11">
        <v>1996</v>
      </c>
      <c r="B89" s="11" t="s">
        <v>242</v>
      </c>
      <c r="C89" s="18">
        <v>11.1</v>
      </c>
      <c r="D89" s="18">
        <v>12.7</v>
      </c>
      <c r="E89" s="18">
        <v>56.7</v>
      </c>
      <c r="F89" s="15">
        <v>1.7</v>
      </c>
    </row>
    <row r="90" spans="1:6" x14ac:dyDescent="0.25">
      <c r="A90" s="11">
        <v>1996</v>
      </c>
      <c r="B90" s="11" t="s">
        <v>265</v>
      </c>
      <c r="C90" s="18">
        <v>12.2</v>
      </c>
      <c r="D90" s="18">
        <v>12</v>
      </c>
      <c r="E90" s="18">
        <v>55.1</v>
      </c>
      <c r="F90" s="15">
        <v>1.61</v>
      </c>
    </row>
    <row r="91" spans="1:6" x14ac:dyDescent="0.25">
      <c r="A91" s="11">
        <v>1996</v>
      </c>
      <c r="B91" s="11" t="s">
        <v>266</v>
      </c>
      <c r="C91" s="18">
        <v>11.9</v>
      </c>
      <c r="D91" s="18">
        <v>10.9</v>
      </c>
      <c r="E91" s="18">
        <v>52.4</v>
      </c>
      <c r="F91" s="15">
        <v>1.45</v>
      </c>
    </row>
    <row r="92" spans="1:6" x14ac:dyDescent="0.25">
      <c r="A92" s="11">
        <v>1996</v>
      </c>
      <c r="B92" s="11" t="s">
        <v>267</v>
      </c>
      <c r="C92" s="18">
        <v>10.8</v>
      </c>
      <c r="D92" s="18">
        <v>13</v>
      </c>
      <c r="E92" s="18">
        <v>57.2</v>
      </c>
      <c r="F92" s="15">
        <v>1.74</v>
      </c>
    </row>
    <row r="93" spans="1:6" x14ac:dyDescent="0.25">
      <c r="A93" s="11">
        <v>1996</v>
      </c>
      <c r="B93" s="11" t="s">
        <v>268</v>
      </c>
      <c r="C93" s="18">
        <v>11.8</v>
      </c>
      <c r="D93" s="18">
        <v>12.9</v>
      </c>
      <c r="E93" s="18">
        <v>58</v>
      </c>
      <c r="F93" s="15">
        <v>1.78</v>
      </c>
    </row>
    <row r="94" spans="1:6" x14ac:dyDescent="0.25">
      <c r="A94" s="11">
        <v>1996</v>
      </c>
      <c r="B94" s="11" t="s">
        <v>269</v>
      </c>
      <c r="C94" s="18">
        <v>10.9</v>
      </c>
      <c r="D94" s="18">
        <v>11.7</v>
      </c>
      <c r="E94" s="18">
        <v>53.3</v>
      </c>
      <c r="F94" s="15">
        <v>1.57</v>
      </c>
    </row>
    <row r="95" spans="1:6" x14ac:dyDescent="0.25">
      <c r="A95" s="11">
        <v>1996</v>
      </c>
      <c r="B95" s="11" t="s">
        <v>270</v>
      </c>
      <c r="C95" s="18">
        <v>9.8000000000000007</v>
      </c>
      <c r="D95" s="18">
        <v>12</v>
      </c>
      <c r="E95" s="18">
        <v>53.2</v>
      </c>
      <c r="F95" s="15">
        <v>1.64</v>
      </c>
    </row>
    <row r="96" spans="1:6" x14ac:dyDescent="0.25">
      <c r="A96" s="11">
        <v>1997</v>
      </c>
      <c r="B96" s="11" t="s">
        <v>11</v>
      </c>
      <c r="C96" s="18">
        <v>11.7</v>
      </c>
      <c r="D96" s="18">
        <v>11.7</v>
      </c>
      <c r="E96" s="18">
        <v>54.4</v>
      </c>
      <c r="F96" s="15">
        <v>1.59</v>
      </c>
    </row>
    <row r="97" spans="1:6" x14ac:dyDescent="0.25">
      <c r="A97" s="11">
        <v>1997</v>
      </c>
      <c r="B97" s="11" t="s">
        <v>260</v>
      </c>
      <c r="C97" s="18">
        <v>11.2</v>
      </c>
      <c r="D97" s="18">
        <v>11.9</v>
      </c>
      <c r="E97" s="18">
        <v>54.5</v>
      </c>
      <c r="F97" s="15">
        <v>1.65</v>
      </c>
    </row>
    <row r="98" spans="1:6" x14ac:dyDescent="0.25">
      <c r="A98" s="11">
        <v>1997</v>
      </c>
      <c r="B98" s="11" t="s">
        <v>261</v>
      </c>
      <c r="C98" s="18">
        <v>10.7</v>
      </c>
      <c r="D98" s="18">
        <v>12.4</v>
      </c>
      <c r="E98" s="18">
        <v>55.9</v>
      </c>
      <c r="F98" s="15">
        <v>1.69</v>
      </c>
    </row>
    <row r="99" spans="1:6" x14ac:dyDescent="0.25">
      <c r="A99" s="11">
        <v>1997</v>
      </c>
      <c r="B99" s="11" t="s">
        <v>233</v>
      </c>
      <c r="C99" s="18">
        <v>10.6</v>
      </c>
      <c r="D99" s="18">
        <v>12.4</v>
      </c>
      <c r="E99" s="18">
        <v>55.5</v>
      </c>
      <c r="F99" s="15">
        <v>1.72</v>
      </c>
    </row>
    <row r="100" spans="1:6" x14ac:dyDescent="0.25">
      <c r="A100" s="11">
        <v>1997</v>
      </c>
      <c r="B100" s="11" t="s">
        <v>240</v>
      </c>
      <c r="C100" s="18">
        <v>11</v>
      </c>
      <c r="D100" s="18">
        <v>11.5</v>
      </c>
      <c r="E100" s="18">
        <v>52.8</v>
      </c>
      <c r="F100" s="15">
        <v>1.59</v>
      </c>
    </row>
    <row r="101" spans="1:6" x14ac:dyDescent="0.25">
      <c r="A101" s="11">
        <v>1997</v>
      </c>
      <c r="B101" s="11" t="s">
        <v>262</v>
      </c>
      <c r="C101" s="18">
        <v>11.5</v>
      </c>
      <c r="D101" s="18">
        <v>11.7</v>
      </c>
      <c r="E101" s="18">
        <v>53.9</v>
      </c>
      <c r="F101" s="15">
        <v>1.58</v>
      </c>
    </row>
    <row r="102" spans="1:6" x14ac:dyDescent="0.25">
      <c r="A102" s="11">
        <v>1997</v>
      </c>
      <c r="B102" s="11" t="s">
        <v>263</v>
      </c>
      <c r="C102" s="18">
        <v>11.4</v>
      </c>
      <c r="D102" s="18">
        <v>11.3</v>
      </c>
      <c r="E102" s="18">
        <v>52.3</v>
      </c>
      <c r="F102" s="15">
        <v>1.52</v>
      </c>
    </row>
    <row r="103" spans="1:6" x14ac:dyDescent="0.25">
      <c r="A103" s="11">
        <v>1997</v>
      </c>
      <c r="B103" s="11" t="s">
        <v>264</v>
      </c>
      <c r="C103" s="18">
        <v>12.4</v>
      </c>
      <c r="D103" s="18">
        <v>11.7</v>
      </c>
      <c r="E103" s="18">
        <v>55.4</v>
      </c>
      <c r="F103" s="15">
        <v>1.58</v>
      </c>
    </row>
    <row r="104" spans="1:6" x14ac:dyDescent="0.25">
      <c r="A104" s="11">
        <v>1997</v>
      </c>
      <c r="B104" s="11" t="s">
        <v>242</v>
      </c>
      <c r="C104" s="18">
        <v>11.3</v>
      </c>
      <c r="D104" s="18">
        <v>12.9</v>
      </c>
      <c r="E104" s="18">
        <v>58.3</v>
      </c>
      <c r="F104" s="15">
        <v>1.78</v>
      </c>
    </row>
    <row r="105" spans="1:6" x14ac:dyDescent="0.25">
      <c r="A105" s="11">
        <v>1997</v>
      </c>
      <c r="B105" s="11" t="s">
        <v>265</v>
      </c>
      <c r="C105" s="18">
        <v>12.2</v>
      </c>
      <c r="D105" s="18">
        <v>12</v>
      </c>
      <c r="E105" s="18">
        <v>55.4</v>
      </c>
      <c r="F105" s="15">
        <v>1.64</v>
      </c>
    </row>
    <row r="106" spans="1:6" x14ac:dyDescent="0.25">
      <c r="A106" s="11">
        <v>1997</v>
      </c>
      <c r="B106" s="11" t="s">
        <v>266</v>
      </c>
      <c r="C106" s="18">
        <v>12</v>
      </c>
      <c r="D106" s="18">
        <v>10.9</v>
      </c>
      <c r="E106" s="18">
        <v>52.5</v>
      </c>
      <c r="F106" s="15">
        <v>1.47</v>
      </c>
    </row>
    <row r="107" spans="1:6" x14ac:dyDescent="0.25">
      <c r="A107" s="11">
        <v>1997</v>
      </c>
      <c r="B107" s="11" t="s">
        <v>267</v>
      </c>
      <c r="C107" s="18">
        <v>11.3</v>
      </c>
      <c r="D107" s="18">
        <v>13.5</v>
      </c>
      <c r="E107" s="18">
        <v>60.2</v>
      </c>
      <c r="F107" s="15">
        <v>1.9</v>
      </c>
    </row>
    <row r="108" spans="1:6" x14ac:dyDescent="0.25">
      <c r="A108" s="11">
        <v>1997</v>
      </c>
      <c r="B108" s="11" t="s">
        <v>268</v>
      </c>
      <c r="C108" s="18">
        <v>12.5</v>
      </c>
      <c r="D108" s="18">
        <v>13.6</v>
      </c>
      <c r="E108" s="18">
        <v>62</v>
      </c>
      <c r="F108" s="15">
        <v>1.84</v>
      </c>
    </row>
    <row r="109" spans="1:6" x14ac:dyDescent="0.25">
      <c r="A109" s="11">
        <v>1997</v>
      </c>
      <c r="B109" s="11" t="s">
        <v>269</v>
      </c>
      <c r="C109" s="18">
        <v>11.1</v>
      </c>
      <c r="D109" s="18">
        <v>11.9</v>
      </c>
      <c r="E109" s="18">
        <v>54.3</v>
      </c>
      <c r="F109" s="15">
        <v>1.62</v>
      </c>
    </row>
    <row r="110" spans="1:6" x14ac:dyDescent="0.25">
      <c r="A110" s="11">
        <v>1997</v>
      </c>
      <c r="B110" s="11" t="s">
        <v>270</v>
      </c>
      <c r="C110" s="18">
        <v>9</v>
      </c>
      <c r="D110" s="18">
        <v>11.3</v>
      </c>
      <c r="E110" s="18">
        <v>50</v>
      </c>
      <c r="F110" s="15">
        <v>1.53</v>
      </c>
    </row>
    <row r="111" spans="1:6" x14ac:dyDescent="0.25">
      <c r="A111" s="11">
        <v>1998</v>
      </c>
      <c r="B111" s="11" t="s">
        <v>11</v>
      </c>
      <c r="C111" s="18">
        <v>11.3</v>
      </c>
      <c r="D111" s="18">
        <v>11.3</v>
      </c>
      <c r="E111" s="18">
        <v>52.7</v>
      </c>
      <c r="F111" s="15">
        <v>1.55</v>
      </c>
    </row>
    <row r="112" spans="1:6" x14ac:dyDescent="0.25">
      <c r="A112" s="11">
        <v>1998</v>
      </c>
      <c r="B112" s="11" t="s">
        <v>260</v>
      </c>
      <c r="C112" s="18">
        <v>10.9</v>
      </c>
      <c r="D112" s="18">
        <v>11.7</v>
      </c>
      <c r="E112" s="18">
        <v>53.6</v>
      </c>
      <c r="F112" s="15">
        <v>1.65</v>
      </c>
    </row>
    <row r="113" spans="1:6" x14ac:dyDescent="0.25">
      <c r="A113" s="11">
        <v>1998</v>
      </c>
      <c r="B113" s="11" t="s">
        <v>261</v>
      </c>
      <c r="C113" s="18">
        <v>9.8000000000000007</v>
      </c>
      <c r="D113" s="18">
        <v>11.4</v>
      </c>
      <c r="E113" s="18">
        <v>51.4</v>
      </c>
      <c r="F113" s="15">
        <v>1.58</v>
      </c>
    </row>
    <row r="114" spans="1:6" x14ac:dyDescent="0.25">
      <c r="A114" s="11">
        <v>1998</v>
      </c>
      <c r="B114" s="11" t="s">
        <v>233</v>
      </c>
      <c r="C114" s="18">
        <v>10.199999999999999</v>
      </c>
      <c r="D114" s="18">
        <v>12</v>
      </c>
      <c r="E114" s="18">
        <v>54.2</v>
      </c>
      <c r="F114" s="15">
        <v>1.71</v>
      </c>
    </row>
    <row r="115" spans="1:6" x14ac:dyDescent="0.25">
      <c r="A115" s="11">
        <v>1998</v>
      </c>
      <c r="B115" s="11" t="s">
        <v>240</v>
      </c>
      <c r="C115" s="18">
        <v>11.1</v>
      </c>
      <c r="D115" s="18">
        <v>11.6</v>
      </c>
      <c r="E115" s="18">
        <v>53.4</v>
      </c>
      <c r="F115" s="15">
        <v>1.62</v>
      </c>
    </row>
    <row r="116" spans="1:6" x14ac:dyDescent="0.25">
      <c r="A116" s="11">
        <v>1998</v>
      </c>
      <c r="B116" s="11" t="s">
        <v>262</v>
      </c>
      <c r="C116" s="18">
        <v>11.4</v>
      </c>
      <c r="D116" s="18">
        <v>11.6</v>
      </c>
      <c r="E116" s="18">
        <v>53.6</v>
      </c>
      <c r="F116" s="15">
        <v>1.59</v>
      </c>
    </row>
    <row r="117" spans="1:6" x14ac:dyDescent="0.25">
      <c r="A117" s="11">
        <v>1998</v>
      </c>
      <c r="B117" s="11" t="s">
        <v>263</v>
      </c>
      <c r="C117" s="18">
        <v>11.3</v>
      </c>
      <c r="D117" s="18">
        <v>11.3</v>
      </c>
      <c r="E117" s="18">
        <v>52.3</v>
      </c>
      <c r="F117" s="15">
        <v>1.54</v>
      </c>
    </row>
    <row r="118" spans="1:6" x14ac:dyDescent="0.25">
      <c r="A118" s="11">
        <v>1998</v>
      </c>
      <c r="B118" s="11" t="s">
        <v>264</v>
      </c>
      <c r="C118" s="18">
        <v>11.7</v>
      </c>
      <c r="D118" s="18">
        <v>11</v>
      </c>
      <c r="E118" s="18">
        <v>52.2</v>
      </c>
      <c r="F118" s="15">
        <v>1.51</v>
      </c>
    </row>
    <row r="119" spans="1:6" x14ac:dyDescent="0.25">
      <c r="A119" s="11">
        <v>1998</v>
      </c>
      <c r="B119" s="11" t="s">
        <v>242</v>
      </c>
      <c r="C119" s="18">
        <v>11</v>
      </c>
      <c r="D119" s="18">
        <v>12.6</v>
      </c>
      <c r="E119" s="18">
        <v>57.3</v>
      </c>
      <c r="F119" s="15">
        <v>1.77</v>
      </c>
    </row>
    <row r="120" spans="1:6" x14ac:dyDescent="0.25">
      <c r="A120" s="11">
        <v>1998</v>
      </c>
      <c r="B120" s="11" t="s">
        <v>265</v>
      </c>
      <c r="C120" s="18">
        <v>11.8</v>
      </c>
      <c r="D120" s="18">
        <v>11.6</v>
      </c>
      <c r="E120" s="18">
        <v>53.8</v>
      </c>
      <c r="F120" s="15">
        <v>1.61</v>
      </c>
    </row>
    <row r="121" spans="1:6" x14ac:dyDescent="0.25">
      <c r="A121" s="11">
        <v>1998</v>
      </c>
      <c r="B121" s="11" t="s">
        <v>266</v>
      </c>
      <c r="C121" s="18">
        <v>11.5</v>
      </c>
      <c r="D121" s="18">
        <v>10.4</v>
      </c>
      <c r="E121" s="18">
        <v>50.2</v>
      </c>
      <c r="F121" s="15">
        <v>1.42</v>
      </c>
    </row>
    <row r="122" spans="1:6" x14ac:dyDescent="0.25">
      <c r="A122" s="11">
        <v>1998</v>
      </c>
      <c r="B122" s="11" t="s">
        <v>267</v>
      </c>
      <c r="C122" s="18">
        <v>9.9</v>
      </c>
      <c r="D122" s="18">
        <v>11.8</v>
      </c>
      <c r="E122" s="18">
        <v>53.4</v>
      </c>
      <c r="F122" s="15">
        <v>1.72</v>
      </c>
    </row>
    <row r="123" spans="1:6" x14ac:dyDescent="0.25">
      <c r="A123" s="11">
        <v>1998</v>
      </c>
      <c r="B123" s="11" t="s">
        <v>268</v>
      </c>
      <c r="C123" s="18">
        <v>11.7</v>
      </c>
      <c r="D123" s="18">
        <v>12.6</v>
      </c>
      <c r="E123" s="18">
        <v>58.4</v>
      </c>
      <c r="F123" s="15">
        <v>1.76</v>
      </c>
    </row>
    <row r="124" spans="1:6" x14ac:dyDescent="0.25">
      <c r="A124" s="11">
        <v>1998</v>
      </c>
      <c r="B124" s="11" t="s">
        <v>269</v>
      </c>
      <c r="C124" s="18">
        <v>10.6</v>
      </c>
      <c r="D124" s="18">
        <v>11.4</v>
      </c>
      <c r="E124" s="18">
        <v>52.3</v>
      </c>
      <c r="F124" s="15">
        <v>1.57</v>
      </c>
    </row>
    <row r="125" spans="1:6" x14ac:dyDescent="0.25">
      <c r="A125" s="11">
        <v>1998</v>
      </c>
      <c r="B125" s="11" t="s">
        <v>270</v>
      </c>
      <c r="C125" s="18">
        <v>9.9</v>
      </c>
      <c r="D125" s="18">
        <v>12.5</v>
      </c>
      <c r="E125" s="18">
        <v>56.1</v>
      </c>
      <c r="F125" s="15">
        <v>1.71</v>
      </c>
    </row>
    <row r="126" spans="1:6" x14ac:dyDescent="0.25">
      <c r="A126" s="11">
        <v>1999</v>
      </c>
      <c r="B126" s="11" t="s">
        <v>11</v>
      </c>
      <c r="C126" s="18">
        <v>10.9</v>
      </c>
      <c r="D126" s="18">
        <v>10.9</v>
      </c>
      <c r="E126" s="18">
        <v>50.9</v>
      </c>
      <c r="F126" s="15">
        <v>1.52</v>
      </c>
    </row>
    <row r="127" spans="1:6" x14ac:dyDescent="0.25">
      <c r="A127" s="11">
        <v>1999</v>
      </c>
      <c r="B127" s="11" t="s">
        <v>260</v>
      </c>
      <c r="C127" s="18">
        <v>10.1</v>
      </c>
      <c r="D127" s="18">
        <v>10.8</v>
      </c>
      <c r="E127" s="18">
        <v>49.9</v>
      </c>
      <c r="F127" s="15">
        <v>1.55</v>
      </c>
    </row>
    <row r="128" spans="1:6" x14ac:dyDescent="0.25">
      <c r="A128" s="11">
        <v>1999</v>
      </c>
      <c r="B128" s="11" t="s">
        <v>261</v>
      </c>
      <c r="C128" s="18">
        <v>10</v>
      </c>
      <c r="D128" s="18">
        <v>11.8</v>
      </c>
      <c r="E128" s="18">
        <v>52.8</v>
      </c>
      <c r="F128" s="15">
        <v>1.63</v>
      </c>
    </row>
    <row r="129" spans="1:6" x14ac:dyDescent="0.25">
      <c r="A129" s="11">
        <v>1999</v>
      </c>
      <c r="B129" s="11" t="s">
        <v>233</v>
      </c>
      <c r="C129" s="18">
        <v>9.5</v>
      </c>
      <c r="D129" s="18">
        <v>11.2</v>
      </c>
      <c r="E129" s="18">
        <v>50.7</v>
      </c>
      <c r="F129" s="15">
        <v>1.63</v>
      </c>
    </row>
    <row r="130" spans="1:6" x14ac:dyDescent="0.25">
      <c r="A130" s="11">
        <v>1999</v>
      </c>
      <c r="B130" s="11" t="s">
        <v>240</v>
      </c>
      <c r="C130" s="18">
        <v>10.5</v>
      </c>
      <c r="D130" s="18">
        <v>11.1</v>
      </c>
      <c r="E130" s="18">
        <v>50.9</v>
      </c>
      <c r="F130" s="15">
        <v>1.56</v>
      </c>
    </row>
    <row r="131" spans="1:6" x14ac:dyDescent="0.25">
      <c r="A131" s="11">
        <v>1999</v>
      </c>
      <c r="B131" s="11" t="s">
        <v>262</v>
      </c>
      <c r="C131" s="18">
        <v>10.9</v>
      </c>
      <c r="D131" s="18">
        <v>11</v>
      </c>
      <c r="E131" s="18">
        <v>51.5</v>
      </c>
      <c r="F131" s="15">
        <v>1.54</v>
      </c>
    </row>
    <row r="132" spans="1:6" x14ac:dyDescent="0.25">
      <c r="A132" s="11">
        <v>1999</v>
      </c>
      <c r="B132" s="11" t="s">
        <v>263</v>
      </c>
      <c r="C132" s="18">
        <v>10.9</v>
      </c>
      <c r="D132" s="18">
        <v>10.9</v>
      </c>
      <c r="E132" s="18">
        <v>51.1</v>
      </c>
      <c r="F132" s="15">
        <v>1.51</v>
      </c>
    </row>
    <row r="133" spans="1:6" x14ac:dyDescent="0.25">
      <c r="A133" s="11">
        <v>1999</v>
      </c>
      <c r="B133" s="11" t="s">
        <v>264</v>
      </c>
      <c r="C133" s="18">
        <v>11.3</v>
      </c>
      <c r="D133" s="18">
        <v>10.6</v>
      </c>
      <c r="E133" s="18">
        <v>50.4</v>
      </c>
      <c r="F133" s="15">
        <v>1.48</v>
      </c>
    </row>
    <row r="134" spans="1:6" x14ac:dyDescent="0.25">
      <c r="A134" s="11">
        <v>1999</v>
      </c>
      <c r="B134" s="11" t="s">
        <v>242</v>
      </c>
      <c r="C134" s="18">
        <v>10.199999999999999</v>
      </c>
      <c r="D134" s="18">
        <v>11.8</v>
      </c>
      <c r="E134" s="18">
        <v>53.5</v>
      </c>
      <c r="F134" s="15">
        <v>1.68</v>
      </c>
    </row>
    <row r="135" spans="1:6" x14ac:dyDescent="0.25">
      <c r="A135" s="11">
        <v>1999</v>
      </c>
      <c r="B135" s="11" t="s">
        <v>265</v>
      </c>
      <c r="C135" s="18">
        <v>11.5</v>
      </c>
      <c r="D135" s="18">
        <v>11.4</v>
      </c>
      <c r="E135" s="18">
        <v>52.8</v>
      </c>
      <c r="F135" s="15">
        <v>1.6</v>
      </c>
    </row>
    <row r="136" spans="1:6" x14ac:dyDescent="0.25">
      <c r="A136" s="11">
        <v>1999</v>
      </c>
      <c r="B136" s="11" t="s">
        <v>266</v>
      </c>
      <c r="C136" s="18">
        <v>11.3</v>
      </c>
      <c r="D136" s="18">
        <v>10.199999999999999</v>
      </c>
      <c r="E136" s="18">
        <v>49.3</v>
      </c>
      <c r="F136" s="15">
        <v>1.4</v>
      </c>
    </row>
    <row r="137" spans="1:6" x14ac:dyDescent="0.25">
      <c r="A137" s="11">
        <v>1999</v>
      </c>
      <c r="B137" s="11" t="s">
        <v>267</v>
      </c>
      <c r="C137" s="18">
        <v>9.6999999999999993</v>
      </c>
      <c r="D137" s="18">
        <v>11.6</v>
      </c>
      <c r="E137" s="18">
        <v>52.6</v>
      </c>
      <c r="F137" s="15">
        <v>1.72</v>
      </c>
    </row>
    <row r="138" spans="1:6" x14ac:dyDescent="0.25">
      <c r="A138" s="11">
        <v>1999</v>
      </c>
      <c r="B138" s="11" t="s">
        <v>268</v>
      </c>
      <c r="C138" s="18">
        <v>12.6</v>
      </c>
      <c r="D138" s="18">
        <v>13.8</v>
      </c>
      <c r="E138" s="18">
        <v>63.5</v>
      </c>
      <c r="F138" s="15">
        <v>1.92</v>
      </c>
    </row>
    <row r="139" spans="1:6" x14ac:dyDescent="0.25">
      <c r="A139" s="11">
        <v>1999</v>
      </c>
      <c r="B139" s="11" t="s">
        <v>269</v>
      </c>
      <c r="C139" s="18">
        <v>10.1</v>
      </c>
      <c r="D139" s="18">
        <v>10.9</v>
      </c>
      <c r="E139" s="18">
        <v>50</v>
      </c>
      <c r="F139" s="15">
        <v>1.52</v>
      </c>
    </row>
    <row r="140" spans="1:6" x14ac:dyDescent="0.25">
      <c r="A140" s="11">
        <v>1999</v>
      </c>
      <c r="B140" s="11" t="s">
        <v>270</v>
      </c>
      <c r="C140" s="18">
        <v>9.6999999999999993</v>
      </c>
      <c r="D140" s="18">
        <v>12.3</v>
      </c>
      <c r="E140" s="18">
        <v>55.4</v>
      </c>
      <c r="F140" s="15">
        <v>1.72</v>
      </c>
    </row>
    <row r="141" spans="1:6" x14ac:dyDescent="0.25">
      <c r="A141" s="11">
        <v>2000</v>
      </c>
      <c r="B141" s="11" t="s">
        <v>11</v>
      </c>
      <c r="C141" s="18">
        <v>10.5</v>
      </c>
      <c r="D141" s="18">
        <v>10.5</v>
      </c>
      <c r="E141" s="18">
        <v>49.2</v>
      </c>
      <c r="F141" s="15">
        <v>1.48</v>
      </c>
    </row>
    <row r="142" spans="1:6" x14ac:dyDescent="0.25">
      <c r="A142" s="11">
        <v>2000</v>
      </c>
      <c r="B142" s="11" t="s">
        <v>260</v>
      </c>
      <c r="C142" s="18">
        <v>10</v>
      </c>
      <c r="D142" s="18">
        <v>10.8</v>
      </c>
      <c r="E142" s="18">
        <v>49.5</v>
      </c>
      <c r="F142" s="15">
        <v>1.57</v>
      </c>
    </row>
    <row r="143" spans="1:6" x14ac:dyDescent="0.25">
      <c r="A143" s="11">
        <v>2000</v>
      </c>
      <c r="B143" s="11" t="s">
        <v>261</v>
      </c>
      <c r="C143" s="18">
        <v>10.1</v>
      </c>
      <c r="D143" s="18">
        <v>11.9</v>
      </c>
      <c r="E143" s="18">
        <v>53.5</v>
      </c>
      <c r="F143" s="15">
        <v>1.7</v>
      </c>
    </row>
    <row r="144" spans="1:6" x14ac:dyDescent="0.25">
      <c r="A144" s="11">
        <v>2000</v>
      </c>
      <c r="B144" s="11" t="s">
        <v>233</v>
      </c>
      <c r="C144" s="18">
        <v>9.3000000000000007</v>
      </c>
      <c r="D144" s="18">
        <v>11.1</v>
      </c>
      <c r="E144" s="18">
        <v>50.1</v>
      </c>
      <c r="F144" s="15">
        <v>1.65</v>
      </c>
    </row>
    <row r="145" spans="1:6" x14ac:dyDescent="0.25">
      <c r="A145" s="11">
        <v>2000</v>
      </c>
      <c r="B145" s="11" t="s">
        <v>240</v>
      </c>
      <c r="C145" s="18">
        <v>10</v>
      </c>
      <c r="D145" s="18">
        <v>10.5</v>
      </c>
      <c r="E145" s="18">
        <v>48.7</v>
      </c>
      <c r="F145" s="15">
        <v>1.5</v>
      </c>
    </row>
    <row r="146" spans="1:6" x14ac:dyDescent="0.25">
      <c r="A146" s="11">
        <v>2000</v>
      </c>
      <c r="B146" s="11" t="s">
        <v>262</v>
      </c>
      <c r="C146" s="18">
        <v>10.5</v>
      </c>
      <c r="D146" s="18">
        <v>10.6</v>
      </c>
      <c r="E146" s="18">
        <v>49.5</v>
      </c>
      <c r="F146" s="15">
        <v>1.49</v>
      </c>
    </row>
    <row r="147" spans="1:6" x14ac:dyDescent="0.25">
      <c r="A147" s="11">
        <v>2000</v>
      </c>
      <c r="B147" s="11" t="s">
        <v>263</v>
      </c>
      <c r="C147" s="18">
        <v>10.1</v>
      </c>
      <c r="D147" s="18">
        <v>10.1</v>
      </c>
      <c r="E147" s="18">
        <v>47.6</v>
      </c>
      <c r="F147" s="15">
        <v>1.42</v>
      </c>
    </row>
    <row r="148" spans="1:6" x14ac:dyDescent="0.25">
      <c r="A148" s="11">
        <v>2000</v>
      </c>
      <c r="B148" s="11" t="s">
        <v>264</v>
      </c>
      <c r="C148" s="18">
        <v>11</v>
      </c>
      <c r="D148" s="18">
        <v>10.3</v>
      </c>
      <c r="E148" s="18">
        <v>48.7</v>
      </c>
      <c r="F148" s="15">
        <v>1.45</v>
      </c>
    </row>
    <row r="149" spans="1:6" x14ac:dyDescent="0.25">
      <c r="A149" s="11">
        <v>2000</v>
      </c>
      <c r="B149" s="11" t="s">
        <v>242</v>
      </c>
      <c r="C149" s="18">
        <v>9.8000000000000007</v>
      </c>
      <c r="D149" s="18">
        <v>11.5</v>
      </c>
      <c r="E149" s="18">
        <v>52.2</v>
      </c>
      <c r="F149" s="15">
        <v>1.67</v>
      </c>
    </row>
    <row r="150" spans="1:6" x14ac:dyDescent="0.25">
      <c r="A150" s="11">
        <v>2000</v>
      </c>
      <c r="B150" s="11" t="s">
        <v>265</v>
      </c>
      <c r="C150" s="18">
        <v>11.2</v>
      </c>
      <c r="D150" s="18">
        <v>11.1</v>
      </c>
      <c r="E150" s="18">
        <v>51.6</v>
      </c>
      <c r="F150" s="15">
        <v>1.58</v>
      </c>
    </row>
    <row r="151" spans="1:6" x14ac:dyDescent="0.25">
      <c r="A151" s="11">
        <v>2000</v>
      </c>
      <c r="B151" s="11" t="s">
        <v>266</v>
      </c>
      <c r="C151" s="18">
        <v>10.9</v>
      </c>
      <c r="D151" s="18">
        <v>9.8000000000000007</v>
      </c>
      <c r="E151" s="18">
        <v>47.5</v>
      </c>
      <c r="F151" s="15">
        <v>1.37</v>
      </c>
    </row>
    <row r="152" spans="1:6" x14ac:dyDescent="0.25">
      <c r="A152" s="11">
        <v>2000</v>
      </c>
      <c r="B152" s="11" t="s">
        <v>267</v>
      </c>
      <c r="C152" s="18">
        <v>7.9</v>
      </c>
      <c r="D152" s="18">
        <v>9.4</v>
      </c>
      <c r="E152" s="18">
        <v>42.9</v>
      </c>
      <c r="F152" s="15">
        <v>1.36</v>
      </c>
    </row>
    <row r="153" spans="1:6" x14ac:dyDescent="0.25">
      <c r="A153" s="11">
        <v>2000</v>
      </c>
      <c r="B153" s="11" t="s">
        <v>268</v>
      </c>
      <c r="C153" s="18">
        <v>10.199999999999999</v>
      </c>
      <c r="D153" s="18">
        <v>11.3</v>
      </c>
      <c r="E153" s="18">
        <v>52.5</v>
      </c>
      <c r="F153" s="15">
        <v>1.6</v>
      </c>
    </row>
    <row r="154" spans="1:6" x14ac:dyDescent="0.25">
      <c r="A154" s="11">
        <v>2000</v>
      </c>
      <c r="B154" s="11" t="s">
        <v>269</v>
      </c>
      <c r="C154" s="18">
        <v>9.9</v>
      </c>
      <c r="D154" s="18">
        <v>10.6</v>
      </c>
      <c r="E154" s="18">
        <v>48.8</v>
      </c>
      <c r="F154" s="15">
        <v>1.51</v>
      </c>
    </row>
    <row r="155" spans="1:6" x14ac:dyDescent="0.25">
      <c r="A155" s="11">
        <v>2000</v>
      </c>
      <c r="B155" s="11" t="s">
        <v>270</v>
      </c>
      <c r="C155" s="18">
        <v>8.5</v>
      </c>
      <c r="D155" s="18">
        <v>10.8</v>
      </c>
      <c r="E155" s="18">
        <v>49</v>
      </c>
      <c r="F155" s="15">
        <v>1.54</v>
      </c>
    </row>
    <row r="156" spans="1:6" x14ac:dyDescent="0.25">
      <c r="A156" s="11">
        <v>2001</v>
      </c>
      <c r="B156" s="11" t="s">
        <v>11</v>
      </c>
      <c r="C156" s="18">
        <v>10.4</v>
      </c>
      <c r="D156" s="18">
        <v>10.4</v>
      </c>
      <c r="E156" s="18">
        <v>48.8</v>
      </c>
      <c r="F156" s="15">
        <v>1.49</v>
      </c>
    </row>
    <row r="157" spans="1:6" x14ac:dyDescent="0.25">
      <c r="A157" s="11">
        <v>2001</v>
      </c>
      <c r="B157" s="11" t="s">
        <v>260</v>
      </c>
      <c r="C157" s="18">
        <v>10</v>
      </c>
      <c r="D157" s="18">
        <v>10.8</v>
      </c>
      <c r="E157" s="18">
        <v>49.7</v>
      </c>
      <c r="F157" s="15">
        <v>1.6</v>
      </c>
    </row>
    <row r="158" spans="1:6" x14ac:dyDescent="0.25">
      <c r="A158" s="11">
        <v>2001</v>
      </c>
      <c r="B158" s="11" t="s">
        <v>261</v>
      </c>
      <c r="C158" s="18">
        <v>10</v>
      </c>
      <c r="D158" s="18">
        <v>11.9</v>
      </c>
      <c r="E158" s="18">
        <v>53.5</v>
      </c>
      <c r="F158" s="15">
        <v>1.71</v>
      </c>
    </row>
    <row r="159" spans="1:6" x14ac:dyDescent="0.25">
      <c r="A159" s="11">
        <v>2001</v>
      </c>
      <c r="B159" s="11" t="s">
        <v>233</v>
      </c>
      <c r="C159" s="18">
        <v>8.6999999999999993</v>
      </c>
      <c r="D159" s="18">
        <v>10.5</v>
      </c>
      <c r="E159" s="18">
        <v>47.4</v>
      </c>
      <c r="F159" s="15">
        <v>1.59</v>
      </c>
    </row>
    <row r="160" spans="1:6" x14ac:dyDescent="0.25">
      <c r="A160" s="11">
        <v>2001</v>
      </c>
      <c r="B160" s="11" t="s">
        <v>240</v>
      </c>
      <c r="C160" s="18">
        <v>10.4</v>
      </c>
      <c r="D160" s="18">
        <v>10.9</v>
      </c>
      <c r="E160" s="18">
        <v>50.6</v>
      </c>
      <c r="F160" s="15">
        <v>1.59</v>
      </c>
    </row>
    <row r="161" spans="1:6" x14ac:dyDescent="0.25">
      <c r="A161" s="11">
        <v>2001</v>
      </c>
      <c r="B161" s="11" t="s">
        <v>262</v>
      </c>
      <c r="C161" s="18">
        <v>10.1</v>
      </c>
      <c r="D161" s="18">
        <v>10.199999999999999</v>
      </c>
      <c r="E161" s="18">
        <v>48.1</v>
      </c>
      <c r="F161" s="15">
        <v>1.47</v>
      </c>
    </row>
    <row r="162" spans="1:6" x14ac:dyDescent="0.25">
      <c r="A162" s="11">
        <v>2001</v>
      </c>
      <c r="B162" s="11" t="s">
        <v>263</v>
      </c>
      <c r="C162" s="18">
        <v>9.9</v>
      </c>
      <c r="D162" s="18">
        <v>10</v>
      </c>
      <c r="E162" s="18">
        <v>47.1</v>
      </c>
      <c r="F162" s="15">
        <v>1.42</v>
      </c>
    </row>
    <row r="163" spans="1:6" x14ac:dyDescent="0.25">
      <c r="A163" s="11">
        <v>2001</v>
      </c>
      <c r="B163" s="11" t="s">
        <v>264</v>
      </c>
      <c r="C163" s="18">
        <v>10.8</v>
      </c>
      <c r="D163" s="18">
        <v>10.1</v>
      </c>
      <c r="E163" s="18">
        <v>48.1</v>
      </c>
      <c r="F163" s="15">
        <v>1.44</v>
      </c>
    </row>
    <row r="164" spans="1:6" x14ac:dyDescent="0.25">
      <c r="A164" s="11">
        <v>2001</v>
      </c>
      <c r="B164" s="11" t="s">
        <v>242</v>
      </c>
      <c r="C164" s="18">
        <v>9.6999999999999993</v>
      </c>
      <c r="D164" s="18">
        <v>11.5</v>
      </c>
      <c r="E164" s="18">
        <v>52.2</v>
      </c>
      <c r="F164" s="15">
        <v>1.7</v>
      </c>
    </row>
    <row r="165" spans="1:6" x14ac:dyDescent="0.25">
      <c r="A165" s="11">
        <v>2001</v>
      </c>
      <c r="B165" s="11" t="s">
        <v>265</v>
      </c>
      <c r="C165" s="18">
        <v>11</v>
      </c>
      <c r="D165" s="18">
        <v>10.8</v>
      </c>
      <c r="E165" s="18">
        <v>50.6</v>
      </c>
      <c r="F165" s="15">
        <v>1.57</v>
      </c>
    </row>
    <row r="166" spans="1:6" x14ac:dyDescent="0.25">
      <c r="A166" s="11">
        <v>2001</v>
      </c>
      <c r="B166" s="11" t="s">
        <v>266</v>
      </c>
      <c r="C166" s="18">
        <v>10.7</v>
      </c>
      <c r="D166" s="18">
        <v>9.5</v>
      </c>
      <c r="E166" s="18">
        <v>46.5</v>
      </c>
      <c r="F166" s="15">
        <v>1.35</v>
      </c>
    </row>
    <row r="167" spans="1:6" x14ac:dyDescent="0.25">
      <c r="A167" s="11">
        <v>2001</v>
      </c>
      <c r="B167" s="11" t="s">
        <v>267</v>
      </c>
      <c r="C167" s="18">
        <v>9.1</v>
      </c>
      <c r="D167" s="18">
        <v>10.9</v>
      </c>
      <c r="E167" s="18">
        <v>49.6</v>
      </c>
      <c r="F167" s="15">
        <v>1.56</v>
      </c>
    </row>
    <row r="168" spans="1:6" x14ac:dyDescent="0.25">
      <c r="A168" s="11">
        <v>2001</v>
      </c>
      <c r="B168" s="11" t="s">
        <v>268</v>
      </c>
      <c r="C168" s="18">
        <v>11.2</v>
      </c>
      <c r="D168" s="18">
        <v>12.6</v>
      </c>
      <c r="E168" s="18">
        <v>58.9</v>
      </c>
      <c r="F168" s="15">
        <v>1.85</v>
      </c>
    </row>
    <row r="169" spans="1:6" x14ac:dyDescent="0.25">
      <c r="A169" s="11">
        <v>2001</v>
      </c>
      <c r="B169" s="11" t="s">
        <v>269</v>
      </c>
      <c r="C169" s="18">
        <v>10</v>
      </c>
      <c r="D169" s="18">
        <v>10.9</v>
      </c>
      <c r="E169" s="18">
        <v>50.2</v>
      </c>
      <c r="F169" s="15">
        <v>1.57</v>
      </c>
    </row>
    <row r="170" spans="1:6" x14ac:dyDescent="0.25">
      <c r="A170" s="11">
        <v>2001</v>
      </c>
      <c r="B170" s="11" t="s">
        <v>270</v>
      </c>
      <c r="C170" s="18">
        <v>8.5</v>
      </c>
      <c r="D170" s="18">
        <v>10.9</v>
      </c>
      <c r="E170" s="18">
        <v>50</v>
      </c>
      <c r="F170" s="15">
        <v>1.6</v>
      </c>
    </row>
    <row r="171" spans="1:6" x14ac:dyDescent="0.25">
      <c r="A171" s="11">
        <v>2002</v>
      </c>
      <c r="B171" s="11" t="s">
        <v>11</v>
      </c>
      <c r="C171" s="18">
        <v>10.1</v>
      </c>
      <c r="D171" s="18">
        <v>10.1</v>
      </c>
      <c r="E171" s="18">
        <v>47.9</v>
      </c>
      <c r="F171" s="15">
        <v>1.47</v>
      </c>
    </row>
    <row r="172" spans="1:6" x14ac:dyDescent="0.25">
      <c r="A172" s="11">
        <v>2002</v>
      </c>
      <c r="B172" s="11" t="s">
        <v>260</v>
      </c>
      <c r="C172" s="18">
        <v>9.5</v>
      </c>
      <c r="D172" s="18">
        <v>10.3</v>
      </c>
      <c r="E172" s="18">
        <v>47.7</v>
      </c>
      <c r="F172" s="15">
        <v>1.55</v>
      </c>
    </row>
    <row r="173" spans="1:6" x14ac:dyDescent="0.25">
      <c r="A173" s="11">
        <v>2002</v>
      </c>
      <c r="B173" s="11" t="s">
        <v>261</v>
      </c>
      <c r="C173" s="18">
        <v>9.5</v>
      </c>
      <c r="D173" s="18">
        <v>11.5</v>
      </c>
      <c r="E173" s="18">
        <v>51.5</v>
      </c>
      <c r="F173" s="15">
        <v>1.67</v>
      </c>
    </row>
    <row r="174" spans="1:6" x14ac:dyDescent="0.25">
      <c r="A174" s="11">
        <v>2002</v>
      </c>
      <c r="B174" s="11" t="s">
        <v>233</v>
      </c>
      <c r="C174" s="18">
        <v>9.1</v>
      </c>
      <c r="D174" s="18">
        <v>11.2</v>
      </c>
      <c r="E174" s="18">
        <v>50.2</v>
      </c>
      <c r="F174" s="15">
        <v>1.71</v>
      </c>
    </row>
    <row r="175" spans="1:6" x14ac:dyDescent="0.25">
      <c r="A175" s="11">
        <v>2002</v>
      </c>
      <c r="B175" s="11" t="s">
        <v>240</v>
      </c>
      <c r="C175" s="18">
        <v>10.1</v>
      </c>
      <c r="D175" s="18">
        <v>10.5</v>
      </c>
      <c r="E175" s="18">
        <v>48.8</v>
      </c>
      <c r="F175" s="15">
        <v>1.54</v>
      </c>
    </row>
    <row r="176" spans="1:6" x14ac:dyDescent="0.25">
      <c r="A176" s="11">
        <v>2002</v>
      </c>
      <c r="B176" s="11" t="s">
        <v>262</v>
      </c>
      <c r="C176" s="18">
        <v>10</v>
      </c>
      <c r="D176" s="18">
        <v>10.1</v>
      </c>
      <c r="E176" s="18">
        <v>47.9</v>
      </c>
      <c r="F176" s="15">
        <v>1.48</v>
      </c>
    </row>
    <row r="177" spans="1:6" x14ac:dyDescent="0.25">
      <c r="A177" s="11">
        <v>2002</v>
      </c>
      <c r="B177" s="11" t="s">
        <v>263</v>
      </c>
      <c r="C177" s="18">
        <v>10.1</v>
      </c>
      <c r="D177" s="18">
        <v>10.1</v>
      </c>
      <c r="E177" s="18">
        <v>48.1</v>
      </c>
      <c r="F177" s="15">
        <v>1.47</v>
      </c>
    </row>
    <row r="178" spans="1:6" x14ac:dyDescent="0.25">
      <c r="A178" s="11">
        <v>2002</v>
      </c>
      <c r="B178" s="11" t="s">
        <v>264</v>
      </c>
      <c r="C178" s="18">
        <v>10.5</v>
      </c>
      <c r="D178" s="18">
        <v>9.8000000000000007</v>
      </c>
      <c r="E178" s="18">
        <v>46.7</v>
      </c>
      <c r="F178" s="15">
        <v>1.41</v>
      </c>
    </row>
    <row r="179" spans="1:6" x14ac:dyDescent="0.25">
      <c r="A179" s="11">
        <v>2002</v>
      </c>
      <c r="B179" s="11" t="s">
        <v>242</v>
      </c>
      <c r="C179" s="18">
        <v>9.1</v>
      </c>
      <c r="D179" s="18">
        <v>10.9</v>
      </c>
      <c r="E179" s="18">
        <v>49.5</v>
      </c>
      <c r="F179" s="15">
        <v>1.63</v>
      </c>
    </row>
    <row r="180" spans="1:6" x14ac:dyDescent="0.25">
      <c r="A180" s="11">
        <v>2002</v>
      </c>
      <c r="B180" s="11" t="s">
        <v>265</v>
      </c>
      <c r="C180" s="18">
        <v>10.8</v>
      </c>
      <c r="D180" s="18">
        <v>10.6</v>
      </c>
      <c r="E180" s="18">
        <v>50</v>
      </c>
      <c r="F180" s="15">
        <v>1.57</v>
      </c>
    </row>
    <row r="181" spans="1:6" x14ac:dyDescent="0.25">
      <c r="A181" s="11">
        <v>2002</v>
      </c>
      <c r="B181" s="11" t="s">
        <v>266</v>
      </c>
      <c r="C181" s="18">
        <v>10.5</v>
      </c>
      <c r="D181" s="18">
        <v>9.3000000000000007</v>
      </c>
      <c r="E181" s="18">
        <v>46</v>
      </c>
      <c r="F181" s="15">
        <v>1.34</v>
      </c>
    </row>
    <row r="182" spans="1:6" x14ac:dyDescent="0.25">
      <c r="A182" s="11">
        <v>2002</v>
      </c>
      <c r="B182" s="11" t="s">
        <v>267</v>
      </c>
      <c r="C182" s="18">
        <v>8.5</v>
      </c>
      <c r="D182" s="18">
        <v>10.4</v>
      </c>
      <c r="E182" s="18">
        <v>47</v>
      </c>
      <c r="F182" s="15">
        <v>1.62</v>
      </c>
    </row>
    <row r="183" spans="1:6" x14ac:dyDescent="0.25">
      <c r="A183" s="11">
        <v>2002</v>
      </c>
      <c r="B183" s="11" t="s">
        <v>268</v>
      </c>
      <c r="C183" s="18">
        <v>9.5</v>
      </c>
      <c r="D183" s="18">
        <v>10.5</v>
      </c>
      <c r="E183" s="18">
        <v>49.9</v>
      </c>
      <c r="F183" s="15">
        <v>1.58</v>
      </c>
    </row>
    <row r="184" spans="1:6" x14ac:dyDescent="0.25">
      <c r="A184" s="11">
        <v>2002</v>
      </c>
      <c r="B184" s="11" t="s">
        <v>269</v>
      </c>
      <c r="C184" s="18">
        <v>9.5</v>
      </c>
      <c r="D184" s="18">
        <v>10.3</v>
      </c>
      <c r="E184" s="18">
        <v>47.8</v>
      </c>
      <c r="F184" s="15">
        <v>1.52</v>
      </c>
    </row>
    <row r="185" spans="1:6" x14ac:dyDescent="0.25">
      <c r="A185" s="11">
        <v>2002</v>
      </c>
      <c r="B185" s="11" t="s">
        <v>270</v>
      </c>
      <c r="C185" s="18">
        <v>9.1999999999999993</v>
      </c>
      <c r="D185" s="18">
        <v>11.7</v>
      </c>
      <c r="E185" s="18">
        <v>53.9</v>
      </c>
      <c r="F185" s="15">
        <v>1.75</v>
      </c>
    </row>
    <row r="186" spans="1:6" x14ac:dyDescent="0.25">
      <c r="A186" s="11">
        <v>2003</v>
      </c>
      <c r="B186" s="11" t="s">
        <v>11</v>
      </c>
      <c r="C186" s="18">
        <v>10.3</v>
      </c>
      <c r="D186" s="18">
        <v>10.3</v>
      </c>
      <c r="E186" s="18">
        <v>49.2</v>
      </c>
      <c r="F186" s="15">
        <v>1.52</v>
      </c>
    </row>
    <row r="187" spans="1:6" x14ac:dyDescent="0.25">
      <c r="A187" s="11">
        <v>2003</v>
      </c>
      <c r="B187" s="11" t="s">
        <v>260</v>
      </c>
      <c r="C187" s="18">
        <v>9.8000000000000007</v>
      </c>
      <c r="D187" s="18">
        <v>10.7</v>
      </c>
      <c r="E187" s="18">
        <v>49.5</v>
      </c>
      <c r="F187" s="15">
        <v>1.63</v>
      </c>
    </row>
    <row r="188" spans="1:6" x14ac:dyDescent="0.25">
      <c r="A188" s="11">
        <v>2003</v>
      </c>
      <c r="B188" s="11" t="s">
        <v>261</v>
      </c>
      <c r="C188" s="18">
        <v>9.6999999999999993</v>
      </c>
      <c r="D188" s="18">
        <v>11.8</v>
      </c>
      <c r="E188" s="18">
        <v>53</v>
      </c>
      <c r="F188" s="15">
        <v>1.73</v>
      </c>
    </row>
    <row r="189" spans="1:6" x14ac:dyDescent="0.25">
      <c r="A189" s="11">
        <v>2003</v>
      </c>
      <c r="B189" s="11" t="s">
        <v>233</v>
      </c>
      <c r="C189" s="18">
        <v>8.8000000000000007</v>
      </c>
      <c r="D189" s="18">
        <v>10.9</v>
      </c>
      <c r="E189" s="18">
        <v>49.1</v>
      </c>
      <c r="F189" s="15">
        <v>1.69</v>
      </c>
    </row>
    <row r="190" spans="1:6" x14ac:dyDescent="0.25">
      <c r="A190" s="11">
        <v>2003</v>
      </c>
      <c r="B190" s="11" t="s">
        <v>240</v>
      </c>
      <c r="C190" s="18">
        <v>10.4</v>
      </c>
      <c r="D190" s="18">
        <v>10.7</v>
      </c>
      <c r="E190" s="18">
        <v>50.5</v>
      </c>
      <c r="F190" s="15">
        <v>1.61</v>
      </c>
    </row>
    <row r="191" spans="1:6" x14ac:dyDescent="0.25">
      <c r="A191" s="11">
        <v>2003</v>
      </c>
      <c r="B191" s="11" t="s">
        <v>262</v>
      </c>
      <c r="C191" s="18">
        <v>10.4</v>
      </c>
      <c r="D191" s="18">
        <v>10.4</v>
      </c>
      <c r="E191" s="18">
        <v>49.5</v>
      </c>
      <c r="F191" s="15">
        <v>1.54</v>
      </c>
    </row>
    <row r="192" spans="1:6" x14ac:dyDescent="0.25">
      <c r="A192" s="11">
        <v>2003</v>
      </c>
      <c r="B192" s="11" t="s">
        <v>263</v>
      </c>
      <c r="C192" s="18">
        <v>9.8000000000000007</v>
      </c>
      <c r="D192" s="18">
        <v>9.9</v>
      </c>
      <c r="E192" s="18">
        <v>47.2</v>
      </c>
      <c r="F192" s="15">
        <v>1.46</v>
      </c>
    </row>
    <row r="193" spans="1:6" x14ac:dyDescent="0.25">
      <c r="A193" s="11">
        <v>2003</v>
      </c>
      <c r="B193" s="11" t="s">
        <v>264</v>
      </c>
      <c r="C193" s="18">
        <v>10.8</v>
      </c>
      <c r="D193" s="18">
        <v>10</v>
      </c>
      <c r="E193" s="18">
        <v>48.1</v>
      </c>
      <c r="F193" s="15">
        <v>1.47</v>
      </c>
    </row>
    <row r="194" spans="1:6" x14ac:dyDescent="0.25">
      <c r="A194" s="11">
        <v>2003</v>
      </c>
      <c r="B194" s="11" t="s">
        <v>242</v>
      </c>
      <c r="C194" s="18">
        <v>9.3000000000000007</v>
      </c>
      <c r="D194" s="18">
        <v>11.2</v>
      </c>
      <c r="E194" s="18">
        <v>51.2</v>
      </c>
      <c r="F194" s="15">
        <v>1.7</v>
      </c>
    </row>
    <row r="195" spans="1:6" x14ac:dyDescent="0.25">
      <c r="A195" s="11">
        <v>2003</v>
      </c>
      <c r="B195" s="11" t="s">
        <v>265</v>
      </c>
      <c r="C195" s="18">
        <v>10.9</v>
      </c>
      <c r="D195" s="18">
        <v>10.8</v>
      </c>
      <c r="E195" s="18">
        <v>51.1</v>
      </c>
      <c r="F195" s="15">
        <v>1.6</v>
      </c>
    </row>
    <row r="196" spans="1:6" x14ac:dyDescent="0.25">
      <c r="A196" s="11">
        <v>2003</v>
      </c>
      <c r="B196" s="11" t="s">
        <v>266</v>
      </c>
      <c r="C196" s="18">
        <v>10.8</v>
      </c>
      <c r="D196" s="18">
        <v>9.6</v>
      </c>
      <c r="E196" s="18">
        <v>47.5</v>
      </c>
      <c r="F196" s="15">
        <v>1.39</v>
      </c>
    </row>
    <row r="197" spans="1:6" x14ac:dyDescent="0.25">
      <c r="A197" s="11">
        <v>2003</v>
      </c>
      <c r="B197" s="11" t="s">
        <v>267</v>
      </c>
      <c r="C197" s="18">
        <v>8.8000000000000007</v>
      </c>
      <c r="D197" s="18">
        <v>10.7</v>
      </c>
      <c r="E197" s="18">
        <v>48.6</v>
      </c>
      <c r="F197" s="15">
        <v>1.65</v>
      </c>
    </row>
    <row r="198" spans="1:6" x14ac:dyDescent="0.25">
      <c r="A198" s="11">
        <v>2003</v>
      </c>
      <c r="B198" s="11" t="s">
        <v>268</v>
      </c>
      <c r="C198" s="18">
        <v>11.4</v>
      </c>
      <c r="D198" s="18">
        <v>12.7</v>
      </c>
      <c r="E198" s="18">
        <v>60.5</v>
      </c>
      <c r="F198" s="15">
        <v>1.87</v>
      </c>
    </row>
    <row r="199" spans="1:6" x14ac:dyDescent="0.25">
      <c r="A199" s="11">
        <v>2003</v>
      </c>
      <c r="B199" s="11" t="s">
        <v>269</v>
      </c>
      <c r="C199" s="18">
        <v>10.1</v>
      </c>
      <c r="D199" s="18">
        <v>10.9</v>
      </c>
      <c r="E199" s="18">
        <v>50.9</v>
      </c>
      <c r="F199" s="15">
        <v>1.63</v>
      </c>
    </row>
    <row r="200" spans="1:6" x14ac:dyDescent="0.25">
      <c r="A200" s="11">
        <v>2003</v>
      </c>
      <c r="B200" s="11" t="s">
        <v>270</v>
      </c>
      <c r="C200" s="18">
        <v>9.6</v>
      </c>
      <c r="D200" s="18">
        <v>12.4</v>
      </c>
      <c r="E200" s="18">
        <v>56.6</v>
      </c>
      <c r="F200" s="15">
        <v>1.79</v>
      </c>
    </row>
    <row r="201" spans="1:6" x14ac:dyDescent="0.25">
      <c r="A201" s="11">
        <v>2004</v>
      </c>
      <c r="B201" s="11" t="s">
        <v>11</v>
      </c>
      <c r="C201" s="18">
        <v>10.6</v>
      </c>
      <c r="D201" s="18">
        <v>10.6</v>
      </c>
      <c r="E201" s="18">
        <v>50.7</v>
      </c>
      <c r="F201" s="15">
        <v>1.58</v>
      </c>
    </row>
    <row r="202" spans="1:6" x14ac:dyDescent="0.25">
      <c r="A202" s="11">
        <v>2004</v>
      </c>
      <c r="B202" s="11" t="s">
        <v>260</v>
      </c>
      <c r="C202" s="18">
        <v>10.1</v>
      </c>
      <c r="D202" s="18">
        <v>11</v>
      </c>
      <c r="E202" s="18">
        <v>51.1</v>
      </c>
      <c r="F202" s="15">
        <v>1.68</v>
      </c>
    </row>
    <row r="203" spans="1:6" x14ac:dyDescent="0.25">
      <c r="A203" s="11">
        <v>2004</v>
      </c>
      <c r="B203" s="11" t="s">
        <v>261</v>
      </c>
      <c r="C203" s="18">
        <v>9.6</v>
      </c>
      <c r="D203" s="18">
        <v>11.8</v>
      </c>
      <c r="E203" s="18">
        <v>53.5</v>
      </c>
      <c r="F203" s="15">
        <v>1.76</v>
      </c>
    </row>
    <row r="204" spans="1:6" x14ac:dyDescent="0.25">
      <c r="A204" s="11">
        <v>2004</v>
      </c>
      <c r="B204" s="11" t="s">
        <v>233</v>
      </c>
      <c r="C204" s="18">
        <v>9.6</v>
      </c>
      <c r="D204" s="18">
        <v>12</v>
      </c>
      <c r="E204" s="18">
        <v>54.1</v>
      </c>
      <c r="F204" s="15">
        <v>1.88</v>
      </c>
    </row>
    <row r="205" spans="1:6" x14ac:dyDescent="0.25">
      <c r="A205" s="11">
        <v>2004</v>
      </c>
      <c r="B205" s="11" t="s">
        <v>240</v>
      </c>
      <c r="C205" s="18">
        <v>10.6</v>
      </c>
      <c r="D205" s="18">
        <v>10.9</v>
      </c>
      <c r="E205" s="18">
        <v>51.7</v>
      </c>
      <c r="F205" s="15">
        <v>1.66</v>
      </c>
    </row>
    <row r="206" spans="1:6" x14ac:dyDescent="0.25">
      <c r="A206" s="11">
        <v>2004</v>
      </c>
      <c r="B206" s="11" t="s">
        <v>262</v>
      </c>
      <c r="C206" s="18">
        <v>11.2</v>
      </c>
      <c r="D206" s="18">
        <v>11.2</v>
      </c>
      <c r="E206" s="18">
        <v>53.5</v>
      </c>
      <c r="F206" s="15">
        <v>1.67</v>
      </c>
    </row>
    <row r="207" spans="1:6" x14ac:dyDescent="0.25">
      <c r="A207" s="11">
        <v>2004</v>
      </c>
      <c r="B207" s="11" t="s">
        <v>263</v>
      </c>
      <c r="C207" s="18">
        <v>10</v>
      </c>
      <c r="D207" s="18">
        <v>10.1</v>
      </c>
      <c r="E207" s="18">
        <v>48.4</v>
      </c>
      <c r="F207" s="15">
        <v>1.5</v>
      </c>
    </row>
    <row r="208" spans="1:6" x14ac:dyDescent="0.25">
      <c r="A208" s="11">
        <v>2004</v>
      </c>
      <c r="B208" s="11" t="s">
        <v>264</v>
      </c>
      <c r="C208" s="18">
        <v>11</v>
      </c>
      <c r="D208" s="18">
        <v>10.3</v>
      </c>
      <c r="E208" s="18">
        <v>49.4</v>
      </c>
      <c r="F208" s="15">
        <v>1.52</v>
      </c>
    </row>
    <row r="209" spans="1:6" x14ac:dyDescent="0.25">
      <c r="A209" s="11">
        <v>2004</v>
      </c>
      <c r="B209" s="11" t="s">
        <v>242</v>
      </c>
      <c r="C209" s="18">
        <v>9.8000000000000007</v>
      </c>
      <c r="D209" s="18">
        <v>11.7</v>
      </c>
      <c r="E209" s="18">
        <v>53.8</v>
      </c>
      <c r="F209" s="15">
        <v>1.78</v>
      </c>
    </row>
    <row r="210" spans="1:6" x14ac:dyDescent="0.25">
      <c r="A210" s="11">
        <v>2004</v>
      </c>
      <c r="B210" s="11" t="s">
        <v>265</v>
      </c>
      <c r="C210" s="18">
        <v>11.7</v>
      </c>
      <c r="D210" s="18">
        <v>11.5</v>
      </c>
      <c r="E210" s="18">
        <v>54.9</v>
      </c>
      <c r="F210" s="15">
        <v>1.73</v>
      </c>
    </row>
    <row r="211" spans="1:6" x14ac:dyDescent="0.25">
      <c r="A211" s="11">
        <v>2004</v>
      </c>
      <c r="B211" s="11" t="s">
        <v>266</v>
      </c>
      <c r="C211" s="18">
        <v>10.8</v>
      </c>
      <c r="D211" s="18">
        <v>9.5</v>
      </c>
      <c r="E211" s="18">
        <v>47.6</v>
      </c>
      <c r="F211" s="15">
        <v>1.41</v>
      </c>
    </row>
    <row r="212" spans="1:6" x14ac:dyDescent="0.25">
      <c r="A212" s="11">
        <v>2004</v>
      </c>
      <c r="B212" s="11" t="s">
        <v>267</v>
      </c>
      <c r="C212" s="18">
        <v>8.6</v>
      </c>
      <c r="D212" s="18">
        <v>10.4</v>
      </c>
      <c r="E212" s="18">
        <v>47.8</v>
      </c>
      <c r="F212" s="15">
        <v>1.65</v>
      </c>
    </row>
    <row r="213" spans="1:6" x14ac:dyDescent="0.25">
      <c r="A213" s="11">
        <v>2004</v>
      </c>
      <c r="B213" s="11" t="s">
        <v>268</v>
      </c>
      <c r="C213" s="18">
        <v>10.4</v>
      </c>
      <c r="D213" s="18">
        <v>11.6</v>
      </c>
      <c r="E213" s="18">
        <v>54.8</v>
      </c>
      <c r="F213" s="15">
        <v>1.76</v>
      </c>
    </row>
    <row r="214" spans="1:6" x14ac:dyDescent="0.25">
      <c r="A214" s="11">
        <v>2004</v>
      </c>
      <c r="B214" s="11" t="s">
        <v>269</v>
      </c>
      <c r="C214" s="18">
        <v>10</v>
      </c>
      <c r="D214" s="18">
        <v>10.8</v>
      </c>
      <c r="E214" s="18">
        <v>50.6</v>
      </c>
      <c r="F214" s="15">
        <v>1.63</v>
      </c>
    </row>
    <row r="215" spans="1:6" x14ac:dyDescent="0.25">
      <c r="A215" s="11">
        <v>2004</v>
      </c>
      <c r="B215" s="11" t="s">
        <v>270</v>
      </c>
      <c r="C215" s="18">
        <v>8.4</v>
      </c>
      <c r="D215" s="18">
        <v>10.7</v>
      </c>
      <c r="E215" s="18">
        <v>48.8</v>
      </c>
      <c r="F215" s="15">
        <v>1.55</v>
      </c>
    </row>
    <row r="216" spans="1:6" x14ac:dyDescent="0.25">
      <c r="A216" s="11">
        <v>2005</v>
      </c>
      <c r="B216" s="11" t="s">
        <v>11</v>
      </c>
      <c r="C216" s="18">
        <v>10.6</v>
      </c>
      <c r="D216" s="18">
        <v>10.6</v>
      </c>
      <c r="E216" s="18">
        <v>51.1</v>
      </c>
      <c r="F216" s="15">
        <v>1.6</v>
      </c>
    </row>
    <row r="217" spans="1:6" x14ac:dyDescent="0.25">
      <c r="A217" s="11">
        <v>2005</v>
      </c>
      <c r="B217" s="11" t="s">
        <v>260</v>
      </c>
      <c r="C217" s="18">
        <v>9.8000000000000007</v>
      </c>
      <c r="D217" s="18">
        <v>10.8</v>
      </c>
      <c r="E217" s="18">
        <v>50.1</v>
      </c>
      <c r="F217" s="15">
        <v>1.65</v>
      </c>
    </row>
    <row r="218" spans="1:6" x14ac:dyDescent="0.25">
      <c r="A218" s="11">
        <v>2005</v>
      </c>
      <c r="B218" s="11" t="s">
        <v>261</v>
      </c>
      <c r="C218" s="18">
        <v>9.5</v>
      </c>
      <c r="D218" s="18">
        <v>11.6</v>
      </c>
      <c r="E218" s="18">
        <v>53.1</v>
      </c>
      <c r="F218" s="15">
        <v>1.8</v>
      </c>
    </row>
    <row r="219" spans="1:6" x14ac:dyDescent="0.25">
      <c r="A219" s="11">
        <v>2005</v>
      </c>
      <c r="B219" s="11" t="s">
        <v>233</v>
      </c>
      <c r="C219" s="18">
        <v>9.4</v>
      </c>
      <c r="D219" s="18">
        <v>11.8</v>
      </c>
      <c r="E219" s="18">
        <v>53.4</v>
      </c>
      <c r="F219" s="15">
        <v>1.85</v>
      </c>
    </row>
    <row r="220" spans="1:6" x14ac:dyDescent="0.25">
      <c r="A220" s="11">
        <v>2005</v>
      </c>
      <c r="B220" s="11" t="s">
        <v>240</v>
      </c>
      <c r="C220" s="18">
        <v>10.8</v>
      </c>
      <c r="D220" s="18">
        <v>11.1</v>
      </c>
      <c r="E220" s="18">
        <v>52.9</v>
      </c>
      <c r="F220" s="15">
        <v>1.7</v>
      </c>
    </row>
    <row r="221" spans="1:6" x14ac:dyDescent="0.25">
      <c r="A221" s="11">
        <v>2005</v>
      </c>
      <c r="B221" s="11" t="s">
        <v>262</v>
      </c>
      <c r="C221" s="18">
        <v>10.9</v>
      </c>
      <c r="D221" s="18">
        <v>11</v>
      </c>
      <c r="E221" s="18">
        <v>52.3</v>
      </c>
      <c r="F221" s="15">
        <v>1.65</v>
      </c>
    </row>
    <row r="222" spans="1:6" x14ac:dyDescent="0.25">
      <c r="A222" s="11">
        <v>2005</v>
      </c>
      <c r="B222" s="11" t="s">
        <v>263</v>
      </c>
      <c r="C222" s="18">
        <v>10.1</v>
      </c>
      <c r="D222" s="18">
        <v>10.199999999999999</v>
      </c>
      <c r="E222" s="18">
        <v>48.9</v>
      </c>
      <c r="F222" s="15">
        <v>1.53</v>
      </c>
    </row>
    <row r="223" spans="1:6" x14ac:dyDescent="0.25">
      <c r="A223" s="11">
        <v>2005</v>
      </c>
      <c r="B223" s="11" t="s">
        <v>264</v>
      </c>
      <c r="C223" s="18">
        <v>11.2</v>
      </c>
      <c r="D223" s="18">
        <v>10.5</v>
      </c>
      <c r="E223" s="18">
        <v>50.6</v>
      </c>
      <c r="F223" s="15">
        <v>1.56</v>
      </c>
    </row>
    <row r="224" spans="1:6" x14ac:dyDescent="0.25">
      <c r="A224" s="11">
        <v>2005</v>
      </c>
      <c r="B224" s="11" t="s">
        <v>242</v>
      </c>
      <c r="C224" s="18">
        <v>9.6999999999999993</v>
      </c>
      <c r="D224" s="18">
        <v>11.7</v>
      </c>
      <c r="E224" s="18">
        <v>53.9</v>
      </c>
      <c r="F224" s="15">
        <v>1.78</v>
      </c>
    </row>
    <row r="225" spans="1:6" x14ac:dyDescent="0.25">
      <c r="A225" s="11">
        <v>2005</v>
      </c>
      <c r="B225" s="11" t="s">
        <v>265</v>
      </c>
      <c r="C225" s="18">
        <v>11.3</v>
      </c>
      <c r="D225" s="18">
        <v>11.2</v>
      </c>
      <c r="E225" s="18">
        <v>53.5</v>
      </c>
      <c r="F225" s="15">
        <v>1.7</v>
      </c>
    </row>
    <row r="226" spans="1:6" x14ac:dyDescent="0.25">
      <c r="A226" s="11">
        <v>2005</v>
      </c>
      <c r="B226" s="11" t="s">
        <v>266</v>
      </c>
      <c r="C226" s="18">
        <v>11.1</v>
      </c>
      <c r="D226" s="18">
        <v>9.6999999999999993</v>
      </c>
      <c r="E226" s="18">
        <v>48.7</v>
      </c>
      <c r="F226" s="15">
        <v>1.45</v>
      </c>
    </row>
    <row r="227" spans="1:6" x14ac:dyDescent="0.25">
      <c r="A227" s="11">
        <v>2005</v>
      </c>
      <c r="B227" s="11" t="s">
        <v>267</v>
      </c>
      <c r="C227" s="18">
        <v>9</v>
      </c>
      <c r="D227" s="18">
        <v>10.9</v>
      </c>
      <c r="E227" s="18">
        <v>50.1</v>
      </c>
      <c r="F227" s="15">
        <v>1.71</v>
      </c>
    </row>
    <row r="228" spans="1:6" x14ac:dyDescent="0.25">
      <c r="A228" s="11">
        <v>2005</v>
      </c>
      <c r="B228" s="11" t="s">
        <v>268</v>
      </c>
      <c r="C228" s="18">
        <v>10.199999999999999</v>
      </c>
      <c r="D228" s="18">
        <v>11.2</v>
      </c>
      <c r="E228" s="18">
        <v>53.5</v>
      </c>
      <c r="F228" s="15">
        <v>1.77</v>
      </c>
    </row>
    <row r="229" spans="1:6" x14ac:dyDescent="0.25">
      <c r="A229" s="11">
        <v>2005</v>
      </c>
      <c r="B229" s="11" t="s">
        <v>269</v>
      </c>
      <c r="C229" s="18">
        <v>10.1</v>
      </c>
      <c r="D229" s="18">
        <v>10.9</v>
      </c>
      <c r="E229" s="18">
        <v>51.7</v>
      </c>
      <c r="F229" s="15">
        <v>1.64</v>
      </c>
    </row>
    <row r="230" spans="1:6" x14ac:dyDescent="0.25">
      <c r="A230" s="11">
        <v>2005</v>
      </c>
      <c r="B230" s="11" t="s">
        <v>270</v>
      </c>
      <c r="C230" s="18">
        <v>8.6999999999999993</v>
      </c>
      <c r="D230" s="18">
        <v>11.2</v>
      </c>
      <c r="E230" s="18">
        <v>51.1</v>
      </c>
      <c r="F230" s="15">
        <v>1.69</v>
      </c>
    </row>
    <row r="231" spans="1:6" x14ac:dyDescent="0.25">
      <c r="A231" s="11">
        <v>2006</v>
      </c>
      <c r="B231" s="11" t="s">
        <v>11</v>
      </c>
      <c r="C231" s="18">
        <v>10.8</v>
      </c>
      <c r="D231" s="18">
        <v>10.8</v>
      </c>
      <c r="E231" s="18">
        <v>52.4</v>
      </c>
      <c r="F231" s="15">
        <v>1.64</v>
      </c>
    </row>
    <row r="232" spans="1:6" x14ac:dyDescent="0.25">
      <c r="A232" s="11">
        <v>2006</v>
      </c>
      <c r="B232" s="11" t="s">
        <v>260</v>
      </c>
      <c r="C232" s="18">
        <v>10.4</v>
      </c>
      <c r="D232" s="18">
        <v>11.4</v>
      </c>
      <c r="E232" s="18">
        <v>53.4</v>
      </c>
      <c r="F232" s="15">
        <v>1.78</v>
      </c>
    </row>
    <row r="233" spans="1:6" x14ac:dyDescent="0.25">
      <c r="A233" s="11">
        <v>2006</v>
      </c>
      <c r="B233" s="11" t="s">
        <v>261</v>
      </c>
      <c r="C233" s="18">
        <v>10</v>
      </c>
      <c r="D233" s="18">
        <v>12.4</v>
      </c>
      <c r="E233" s="18">
        <v>56.7</v>
      </c>
      <c r="F233" s="15">
        <v>1.9</v>
      </c>
    </row>
    <row r="234" spans="1:6" x14ac:dyDescent="0.25">
      <c r="A234" s="11">
        <v>2006</v>
      </c>
      <c r="B234" s="11" t="s">
        <v>233</v>
      </c>
      <c r="C234" s="18">
        <v>9.8000000000000007</v>
      </c>
      <c r="D234" s="18">
        <v>12.4</v>
      </c>
      <c r="E234" s="18">
        <v>56.1</v>
      </c>
      <c r="F234" s="15">
        <v>1.95</v>
      </c>
    </row>
    <row r="235" spans="1:6" x14ac:dyDescent="0.25">
      <c r="A235" s="11">
        <v>2006</v>
      </c>
      <c r="B235" s="11" t="s">
        <v>240</v>
      </c>
      <c r="C235" s="18">
        <v>11.2</v>
      </c>
      <c r="D235" s="18">
        <v>11.6</v>
      </c>
      <c r="E235" s="18">
        <v>55.3</v>
      </c>
      <c r="F235" s="15">
        <v>1.78</v>
      </c>
    </row>
    <row r="236" spans="1:6" x14ac:dyDescent="0.25">
      <c r="A236" s="11">
        <v>2006</v>
      </c>
      <c r="B236" s="11" t="s">
        <v>262</v>
      </c>
      <c r="C236" s="18">
        <v>11.1</v>
      </c>
      <c r="D236" s="18">
        <v>11.1</v>
      </c>
      <c r="E236" s="18">
        <v>53.4</v>
      </c>
      <c r="F236" s="15">
        <v>1.7</v>
      </c>
    </row>
    <row r="237" spans="1:6" x14ac:dyDescent="0.25">
      <c r="A237" s="11">
        <v>2006</v>
      </c>
      <c r="B237" s="11" t="s">
        <v>263</v>
      </c>
      <c r="C237" s="18">
        <v>10.5</v>
      </c>
      <c r="D237" s="18">
        <v>10.6</v>
      </c>
      <c r="E237" s="18">
        <v>51.1</v>
      </c>
      <c r="F237" s="15">
        <v>1.61</v>
      </c>
    </row>
    <row r="238" spans="1:6" x14ac:dyDescent="0.25">
      <c r="A238" s="11">
        <v>2006</v>
      </c>
      <c r="B238" s="11" t="s">
        <v>264</v>
      </c>
      <c r="C238" s="18">
        <v>10.9</v>
      </c>
      <c r="D238" s="18">
        <v>10.199999999999999</v>
      </c>
      <c r="E238" s="18">
        <v>49.7</v>
      </c>
      <c r="F238" s="15">
        <v>1.54</v>
      </c>
    </row>
    <row r="239" spans="1:6" x14ac:dyDescent="0.25">
      <c r="A239" s="11">
        <v>2006</v>
      </c>
      <c r="B239" s="11" t="s">
        <v>242</v>
      </c>
      <c r="C239" s="18">
        <v>9.4</v>
      </c>
      <c r="D239" s="18">
        <v>11.4</v>
      </c>
      <c r="E239" s="18">
        <v>52.7</v>
      </c>
      <c r="F239" s="15">
        <v>1.74</v>
      </c>
    </row>
    <row r="240" spans="1:6" x14ac:dyDescent="0.25">
      <c r="A240" s="11">
        <v>2006</v>
      </c>
      <c r="B240" s="11" t="s">
        <v>265</v>
      </c>
      <c r="C240" s="18">
        <v>11.8</v>
      </c>
      <c r="D240" s="18">
        <v>11.7</v>
      </c>
      <c r="E240" s="18">
        <v>56.4</v>
      </c>
      <c r="F240" s="15">
        <v>1.79</v>
      </c>
    </row>
    <row r="241" spans="1:6" x14ac:dyDescent="0.25">
      <c r="A241" s="11">
        <v>2006</v>
      </c>
      <c r="B241" s="11" t="s">
        <v>266</v>
      </c>
      <c r="C241" s="18">
        <v>11.4</v>
      </c>
      <c r="D241" s="18">
        <v>9.9</v>
      </c>
      <c r="E241" s="18">
        <v>50.2</v>
      </c>
      <c r="F241" s="15">
        <v>1.5</v>
      </c>
    </row>
    <row r="242" spans="1:6" x14ac:dyDescent="0.25">
      <c r="A242" s="11">
        <v>2006</v>
      </c>
      <c r="B242" s="11" t="s">
        <v>267</v>
      </c>
      <c r="C242" s="18">
        <v>10.5</v>
      </c>
      <c r="D242" s="18">
        <v>12.8</v>
      </c>
      <c r="E242" s="18">
        <v>58.5</v>
      </c>
      <c r="F242" s="15">
        <v>2.0499999999999998</v>
      </c>
    </row>
    <row r="243" spans="1:6" x14ac:dyDescent="0.25">
      <c r="A243" s="11">
        <v>2006</v>
      </c>
      <c r="B243" s="11" t="s">
        <v>268</v>
      </c>
      <c r="C243" s="18">
        <v>12.1</v>
      </c>
      <c r="D243" s="18">
        <v>13.5</v>
      </c>
      <c r="E243" s="18">
        <v>63.7</v>
      </c>
      <c r="F243" s="15">
        <v>2.09</v>
      </c>
    </row>
    <row r="244" spans="1:6" x14ac:dyDescent="0.25">
      <c r="A244" s="11">
        <v>2006</v>
      </c>
      <c r="B244" s="11" t="s">
        <v>269</v>
      </c>
      <c r="C244" s="18">
        <v>10.1</v>
      </c>
      <c r="D244" s="18">
        <v>10.9</v>
      </c>
      <c r="E244" s="18">
        <v>51.8</v>
      </c>
      <c r="F244" s="15">
        <v>1.66</v>
      </c>
    </row>
    <row r="245" spans="1:6" x14ac:dyDescent="0.25">
      <c r="A245" s="11">
        <v>2006</v>
      </c>
      <c r="B245" s="11" t="s">
        <v>270</v>
      </c>
      <c r="C245" s="18">
        <v>10.1</v>
      </c>
      <c r="D245" s="18">
        <v>12.9</v>
      </c>
      <c r="E245" s="18">
        <v>60.3</v>
      </c>
      <c r="F245" s="15">
        <v>1.91</v>
      </c>
    </row>
    <row r="246" spans="1:6" x14ac:dyDescent="0.25">
      <c r="A246" s="11">
        <v>2007</v>
      </c>
      <c r="B246" s="11" t="s">
        <v>11</v>
      </c>
      <c r="C246" s="18">
        <v>11.2</v>
      </c>
      <c r="D246" s="18">
        <v>11.2</v>
      </c>
      <c r="E246" s="18">
        <v>54.2</v>
      </c>
      <c r="F246" s="15">
        <v>1.7</v>
      </c>
    </row>
    <row r="247" spans="1:6" x14ac:dyDescent="0.25">
      <c r="A247" s="11">
        <v>2007</v>
      </c>
      <c r="B247" s="11" t="s">
        <v>260</v>
      </c>
      <c r="C247" s="18">
        <v>10.4</v>
      </c>
      <c r="D247" s="18">
        <v>11.6</v>
      </c>
      <c r="E247" s="18">
        <v>54.1</v>
      </c>
      <c r="F247" s="15">
        <v>1.79</v>
      </c>
    </row>
    <row r="248" spans="1:6" x14ac:dyDescent="0.25">
      <c r="A248" s="11">
        <v>2007</v>
      </c>
      <c r="B248" s="11" t="s">
        <v>261</v>
      </c>
      <c r="C248" s="18">
        <v>10.4</v>
      </c>
      <c r="D248" s="18">
        <v>13.1</v>
      </c>
      <c r="E248" s="18">
        <v>59.2</v>
      </c>
      <c r="F248" s="15">
        <v>2.0099999999999998</v>
      </c>
    </row>
    <row r="249" spans="1:6" x14ac:dyDescent="0.25">
      <c r="A249" s="11">
        <v>2007</v>
      </c>
      <c r="B249" s="11" t="s">
        <v>233</v>
      </c>
      <c r="C249" s="18">
        <v>10</v>
      </c>
      <c r="D249" s="18">
        <v>12.7</v>
      </c>
      <c r="E249" s="18">
        <v>58</v>
      </c>
      <c r="F249" s="15">
        <v>1.97</v>
      </c>
    </row>
    <row r="250" spans="1:6" x14ac:dyDescent="0.25">
      <c r="A250" s="11">
        <v>2007</v>
      </c>
      <c r="B250" s="11" t="s">
        <v>240</v>
      </c>
      <c r="C250" s="18">
        <v>11.4</v>
      </c>
      <c r="D250" s="18">
        <v>11.8</v>
      </c>
      <c r="E250" s="18">
        <v>56.6</v>
      </c>
      <c r="F250" s="15">
        <v>1.82</v>
      </c>
    </row>
    <row r="251" spans="1:6" x14ac:dyDescent="0.25">
      <c r="A251" s="11">
        <v>2007</v>
      </c>
      <c r="B251" s="11" t="s">
        <v>262</v>
      </c>
      <c r="C251" s="18">
        <v>11.7</v>
      </c>
      <c r="D251" s="18">
        <v>11.8</v>
      </c>
      <c r="E251" s="18">
        <v>56.4</v>
      </c>
      <c r="F251" s="15">
        <v>1.79</v>
      </c>
    </row>
    <row r="252" spans="1:6" x14ac:dyDescent="0.25">
      <c r="A252" s="11">
        <v>2007</v>
      </c>
      <c r="B252" s="11" t="s">
        <v>263</v>
      </c>
      <c r="C252" s="18">
        <v>11.1</v>
      </c>
      <c r="D252" s="18">
        <v>11.1</v>
      </c>
      <c r="E252" s="18">
        <v>54.2</v>
      </c>
      <c r="F252" s="15">
        <v>1.7</v>
      </c>
    </row>
    <row r="253" spans="1:6" x14ac:dyDescent="0.25">
      <c r="A253" s="11">
        <v>2007</v>
      </c>
      <c r="B253" s="11" t="s">
        <v>264</v>
      </c>
      <c r="C253" s="18">
        <v>11.5</v>
      </c>
      <c r="D253" s="18">
        <v>10.7</v>
      </c>
      <c r="E253" s="18">
        <v>52.5</v>
      </c>
      <c r="F253" s="15">
        <v>1.63</v>
      </c>
    </row>
    <row r="254" spans="1:6" x14ac:dyDescent="0.25">
      <c r="A254" s="11">
        <v>2007</v>
      </c>
      <c r="B254" s="11" t="s">
        <v>242</v>
      </c>
      <c r="C254" s="18">
        <v>9.8000000000000007</v>
      </c>
      <c r="D254" s="18">
        <v>11.8</v>
      </c>
      <c r="E254" s="18">
        <v>54.8</v>
      </c>
      <c r="F254" s="15">
        <v>1.83</v>
      </c>
    </row>
    <row r="255" spans="1:6" x14ac:dyDescent="0.25">
      <c r="A255" s="11">
        <v>2007</v>
      </c>
      <c r="B255" s="11" t="s">
        <v>265</v>
      </c>
      <c r="C255" s="18">
        <v>11.7</v>
      </c>
      <c r="D255" s="18">
        <v>11.6</v>
      </c>
      <c r="E255" s="18">
        <v>56.2</v>
      </c>
      <c r="F255" s="15">
        <v>1.79</v>
      </c>
    </row>
    <row r="256" spans="1:6" x14ac:dyDescent="0.25">
      <c r="A256" s="11">
        <v>2007</v>
      </c>
      <c r="B256" s="11" t="s">
        <v>266</v>
      </c>
      <c r="C256" s="18">
        <v>11.7</v>
      </c>
      <c r="D256" s="18">
        <v>10.199999999999999</v>
      </c>
      <c r="E256" s="18">
        <v>51.8</v>
      </c>
      <c r="F256" s="15">
        <v>1.55</v>
      </c>
    </row>
    <row r="257" spans="1:6" x14ac:dyDescent="0.25">
      <c r="A257" s="11">
        <v>2007</v>
      </c>
      <c r="B257" s="11" t="s">
        <v>267</v>
      </c>
      <c r="C257" s="18">
        <v>9.1999999999999993</v>
      </c>
      <c r="D257" s="18">
        <v>11.4</v>
      </c>
      <c r="E257" s="18">
        <v>51.8</v>
      </c>
      <c r="F257" s="15">
        <v>1.77</v>
      </c>
    </row>
    <row r="258" spans="1:6" x14ac:dyDescent="0.25">
      <c r="A258" s="11">
        <v>2007</v>
      </c>
      <c r="B258" s="11" t="s">
        <v>268</v>
      </c>
      <c r="C258" s="18">
        <v>10.9</v>
      </c>
      <c r="D258" s="18">
        <v>12.2</v>
      </c>
      <c r="E258" s="18">
        <v>58.3</v>
      </c>
      <c r="F258" s="15">
        <v>1.83</v>
      </c>
    </row>
    <row r="259" spans="1:6" x14ac:dyDescent="0.25">
      <c r="A259" s="11">
        <v>2007</v>
      </c>
      <c r="B259" s="11" t="s">
        <v>269</v>
      </c>
      <c r="C259" s="18">
        <v>10.6</v>
      </c>
      <c r="D259" s="18">
        <v>11.3</v>
      </c>
      <c r="E259" s="18">
        <v>54.2</v>
      </c>
      <c r="F259" s="15">
        <v>1.73</v>
      </c>
    </row>
    <row r="260" spans="1:6" x14ac:dyDescent="0.25">
      <c r="A260" s="11">
        <v>2007</v>
      </c>
      <c r="B260" s="11" t="s">
        <v>270</v>
      </c>
      <c r="C260" s="18">
        <v>9.6999999999999993</v>
      </c>
      <c r="D260" s="18">
        <v>12.4</v>
      </c>
      <c r="E260" s="18">
        <v>57.9</v>
      </c>
      <c r="F260" s="15">
        <v>1.92</v>
      </c>
    </row>
    <row r="261" spans="1:6" x14ac:dyDescent="0.25">
      <c r="A261" s="11">
        <v>2008</v>
      </c>
      <c r="B261" s="11" t="s">
        <v>11</v>
      </c>
      <c r="C261" s="18">
        <v>11.5</v>
      </c>
      <c r="D261" s="18">
        <v>11.5</v>
      </c>
      <c r="E261" s="18">
        <v>56.4</v>
      </c>
      <c r="F261" s="15">
        <v>1.77</v>
      </c>
    </row>
    <row r="262" spans="1:6" x14ac:dyDescent="0.25">
      <c r="A262" s="11">
        <v>2008</v>
      </c>
      <c r="B262" s="11" t="s">
        <v>260</v>
      </c>
      <c r="C262" s="18">
        <v>10.5</v>
      </c>
      <c r="D262" s="18">
        <v>11.7</v>
      </c>
      <c r="E262" s="18">
        <v>55.3</v>
      </c>
      <c r="F262" s="15">
        <v>1.82</v>
      </c>
    </row>
    <row r="263" spans="1:6" x14ac:dyDescent="0.25">
      <c r="A263" s="11">
        <v>2008</v>
      </c>
      <c r="B263" s="11" t="s">
        <v>261</v>
      </c>
      <c r="C263" s="18">
        <v>10</v>
      </c>
      <c r="D263" s="18">
        <v>12.6</v>
      </c>
      <c r="E263" s="18">
        <v>57.4</v>
      </c>
      <c r="F263" s="15">
        <v>1.96</v>
      </c>
    </row>
    <row r="264" spans="1:6" x14ac:dyDescent="0.25">
      <c r="A264" s="11">
        <v>2008</v>
      </c>
      <c r="B264" s="11" t="s">
        <v>233</v>
      </c>
      <c r="C264" s="18">
        <v>9.5</v>
      </c>
      <c r="D264" s="18">
        <v>12</v>
      </c>
      <c r="E264" s="18">
        <v>55.3</v>
      </c>
      <c r="F264" s="15">
        <v>1.9</v>
      </c>
    </row>
    <row r="265" spans="1:6" x14ac:dyDescent="0.25">
      <c r="A265" s="11">
        <v>2008</v>
      </c>
      <c r="B265" s="11" t="s">
        <v>240</v>
      </c>
      <c r="C265" s="18">
        <v>12.1</v>
      </c>
      <c r="D265" s="18">
        <v>12.6</v>
      </c>
      <c r="E265" s="18">
        <v>60.9</v>
      </c>
      <c r="F265" s="15">
        <v>1.94</v>
      </c>
    </row>
    <row r="266" spans="1:6" x14ac:dyDescent="0.25">
      <c r="A266" s="11">
        <v>2008</v>
      </c>
      <c r="B266" s="11" t="s">
        <v>262</v>
      </c>
      <c r="C266" s="18">
        <v>11.8</v>
      </c>
      <c r="D266" s="18">
        <v>12</v>
      </c>
      <c r="E266" s="18">
        <v>57.7</v>
      </c>
      <c r="F266" s="15">
        <v>1.84</v>
      </c>
    </row>
    <row r="267" spans="1:6" x14ac:dyDescent="0.25">
      <c r="A267" s="11">
        <v>2008</v>
      </c>
      <c r="B267" s="11" t="s">
        <v>263</v>
      </c>
      <c r="C267" s="18">
        <v>11.4</v>
      </c>
      <c r="D267" s="18">
        <v>11.4</v>
      </c>
      <c r="E267" s="18">
        <v>55.9</v>
      </c>
      <c r="F267" s="15">
        <v>1.74</v>
      </c>
    </row>
    <row r="268" spans="1:6" x14ac:dyDescent="0.25">
      <c r="A268" s="11">
        <v>2008</v>
      </c>
      <c r="B268" s="11" t="s">
        <v>264</v>
      </c>
      <c r="C268" s="18">
        <v>11.8</v>
      </c>
      <c r="D268" s="18">
        <v>10.9</v>
      </c>
      <c r="E268" s="18">
        <v>54.2</v>
      </c>
      <c r="F268" s="15">
        <v>1.67</v>
      </c>
    </row>
    <row r="269" spans="1:6" x14ac:dyDescent="0.25">
      <c r="A269" s="11">
        <v>2008</v>
      </c>
      <c r="B269" s="11" t="s">
        <v>242</v>
      </c>
      <c r="C269" s="18">
        <v>10.4</v>
      </c>
      <c r="D269" s="18">
        <v>12.6</v>
      </c>
      <c r="E269" s="18">
        <v>58.7</v>
      </c>
      <c r="F269" s="15">
        <v>1.96</v>
      </c>
    </row>
    <row r="270" spans="1:6" x14ac:dyDescent="0.25">
      <c r="A270" s="11">
        <v>2008</v>
      </c>
      <c r="B270" s="11" t="s">
        <v>265</v>
      </c>
      <c r="C270" s="18">
        <v>12.2</v>
      </c>
      <c r="D270" s="18">
        <v>12.2</v>
      </c>
      <c r="E270" s="18">
        <v>59.3</v>
      </c>
      <c r="F270" s="15">
        <v>1.88</v>
      </c>
    </row>
    <row r="271" spans="1:6" x14ac:dyDescent="0.25">
      <c r="A271" s="11">
        <v>2008</v>
      </c>
      <c r="B271" s="11" t="s">
        <v>266</v>
      </c>
      <c r="C271" s="18">
        <v>12.2</v>
      </c>
      <c r="D271" s="18">
        <v>10.7</v>
      </c>
      <c r="E271" s="18">
        <v>54.6</v>
      </c>
      <c r="F271" s="15">
        <v>1.63</v>
      </c>
    </row>
    <row r="272" spans="1:6" x14ac:dyDescent="0.25">
      <c r="A272" s="11">
        <v>2008</v>
      </c>
      <c r="B272" s="11" t="s">
        <v>267</v>
      </c>
      <c r="C272" s="18">
        <v>10.3</v>
      </c>
      <c r="D272" s="18">
        <v>12.8</v>
      </c>
      <c r="E272" s="18">
        <v>58.2</v>
      </c>
      <c r="F272" s="15">
        <v>2.0099999999999998</v>
      </c>
    </row>
    <row r="273" spans="1:6" x14ac:dyDescent="0.25">
      <c r="A273" s="11">
        <v>2008</v>
      </c>
      <c r="B273" s="11" t="s">
        <v>268</v>
      </c>
      <c r="C273" s="18">
        <v>12.4</v>
      </c>
      <c r="D273" s="18">
        <v>14</v>
      </c>
      <c r="E273" s="18">
        <v>67.2</v>
      </c>
      <c r="F273" s="15">
        <v>2.1800000000000002</v>
      </c>
    </row>
    <row r="274" spans="1:6" x14ac:dyDescent="0.25">
      <c r="A274" s="11">
        <v>2008</v>
      </c>
      <c r="B274" s="11" t="s">
        <v>269</v>
      </c>
      <c r="C274" s="18">
        <v>11</v>
      </c>
      <c r="D274" s="18">
        <v>11.8</v>
      </c>
      <c r="E274" s="18">
        <v>56.9</v>
      </c>
      <c r="F274" s="15">
        <v>1.81</v>
      </c>
    </row>
    <row r="275" spans="1:6" x14ac:dyDescent="0.25">
      <c r="A275" s="11">
        <v>2008</v>
      </c>
      <c r="B275" s="11" t="s">
        <v>270</v>
      </c>
      <c r="C275" s="18">
        <v>9.4</v>
      </c>
      <c r="D275" s="18">
        <v>12.3</v>
      </c>
      <c r="E275" s="18">
        <v>57.2</v>
      </c>
      <c r="F275" s="15">
        <v>1.83</v>
      </c>
    </row>
    <row r="276" spans="1:6" x14ac:dyDescent="0.25">
      <c r="A276" s="11">
        <v>2009</v>
      </c>
      <c r="B276" s="11" t="s">
        <v>11</v>
      </c>
      <c r="C276" s="18">
        <v>11.3</v>
      </c>
      <c r="D276" s="18">
        <v>11.3</v>
      </c>
      <c r="E276" s="18">
        <v>55.6</v>
      </c>
      <c r="F276" s="15">
        <v>1.73</v>
      </c>
    </row>
    <row r="277" spans="1:6" x14ac:dyDescent="0.25">
      <c r="A277" s="11">
        <v>2009</v>
      </c>
      <c r="B277" s="11" t="s">
        <v>260</v>
      </c>
      <c r="C277" s="18">
        <v>10.5</v>
      </c>
      <c r="D277" s="18">
        <v>11.8</v>
      </c>
      <c r="E277" s="18">
        <v>55.8</v>
      </c>
      <c r="F277" s="15">
        <v>1.83</v>
      </c>
    </row>
    <row r="278" spans="1:6" x14ac:dyDescent="0.25">
      <c r="A278" s="11">
        <v>2009</v>
      </c>
      <c r="B278" s="11" t="s">
        <v>261</v>
      </c>
      <c r="C278" s="18">
        <v>10.199999999999999</v>
      </c>
      <c r="D278" s="18">
        <v>13</v>
      </c>
      <c r="E278" s="18">
        <v>59.2</v>
      </c>
      <c r="F278" s="15">
        <v>2.02</v>
      </c>
    </row>
    <row r="279" spans="1:6" x14ac:dyDescent="0.25">
      <c r="A279" s="11">
        <v>2009</v>
      </c>
      <c r="B279" s="11" t="s">
        <v>233</v>
      </c>
      <c r="C279" s="18">
        <v>10</v>
      </c>
      <c r="D279" s="18">
        <v>12.7</v>
      </c>
      <c r="E279" s="18">
        <v>58.8</v>
      </c>
      <c r="F279" s="15">
        <v>1.98</v>
      </c>
    </row>
    <row r="280" spans="1:6" x14ac:dyDescent="0.25">
      <c r="A280" s="11">
        <v>2009</v>
      </c>
      <c r="B280" s="11" t="s">
        <v>240</v>
      </c>
      <c r="C280" s="18">
        <v>11.4</v>
      </c>
      <c r="D280" s="18">
        <v>12</v>
      </c>
      <c r="E280" s="18">
        <v>58.2</v>
      </c>
      <c r="F280" s="15">
        <v>1.85</v>
      </c>
    </row>
    <row r="281" spans="1:6" x14ac:dyDescent="0.25">
      <c r="A281" s="11">
        <v>2009</v>
      </c>
      <c r="B281" s="11" t="s">
        <v>262</v>
      </c>
      <c r="C281" s="18">
        <v>11.4</v>
      </c>
      <c r="D281" s="18">
        <v>11.7</v>
      </c>
      <c r="E281" s="18">
        <v>56.5</v>
      </c>
      <c r="F281" s="15">
        <v>1.79</v>
      </c>
    </row>
    <row r="282" spans="1:6" x14ac:dyDescent="0.25">
      <c r="A282" s="11">
        <v>2009</v>
      </c>
      <c r="B282" s="11" t="s">
        <v>263</v>
      </c>
      <c r="C282" s="18">
        <v>11.5</v>
      </c>
      <c r="D282" s="18">
        <v>11.4</v>
      </c>
      <c r="E282" s="18">
        <v>56.5</v>
      </c>
      <c r="F282" s="15">
        <v>1.75</v>
      </c>
    </row>
    <row r="283" spans="1:6" x14ac:dyDescent="0.25">
      <c r="A283" s="11">
        <v>2009</v>
      </c>
      <c r="B283" s="11" t="s">
        <v>264</v>
      </c>
      <c r="C283" s="18">
        <v>11.6</v>
      </c>
      <c r="D283" s="18">
        <v>10.7</v>
      </c>
      <c r="E283" s="18">
        <v>53.9</v>
      </c>
      <c r="F283" s="15">
        <v>1.65</v>
      </c>
    </row>
    <row r="284" spans="1:6" x14ac:dyDescent="0.25">
      <c r="A284" s="11">
        <v>2009</v>
      </c>
      <c r="B284" s="11" t="s">
        <v>242</v>
      </c>
      <c r="C284" s="18">
        <v>10</v>
      </c>
      <c r="D284" s="18">
        <v>12.1</v>
      </c>
      <c r="E284" s="18">
        <v>57.3</v>
      </c>
      <c r="F284" s="15">
        <v>1.9</v>
      </c>
    </row>
    <row r="285" spans="1:6" x14ac:dyDescent="0.25">
      <c r="A285" s="11">
        <v>2009</v>
      </c>
      <c r="B285" s="11" t="s">
        <v>265</v>
      </c>
      <c r="C285" s="18">
        <v>11.6</v>
      </c>
      <c r="D285" s="18">
        <v>11.7</v>
      </c>
      <c r="E285" s="18">
        <v>57.3</v>
      </c>
      <c r="F285" s="15">
        <v>1.81</v>
      </c>
    </row>
    <row r="286" spans="1:6" x14ac:dyDescent="0.25">
      <c r="A286" s="11">
        <v>2009</v>
      </c>
      <c r="B286" s="11" t="s">
        <v>266</v>
      </c>
      <c r="C286" s="18">
        <v>11.9</v>
      </c>
      <c r="D286" s="18">
        <v>10.4</v>
      </c>
      <c r="E286" s="18">
        <v>53.6</v>
      </c>
      <c r="F286" s="15">
        <v>1.59</v>
      </c>
    </row>
    <row r="287" spans="1:6" x14ac:dyDescent="0.25">
      <c r="A287" s="11">
        <v>2009</v>
      </c>
      <c r="B287" s="11" t="s">
        <v>267</v>
      </c>
      <c r="C287" s="18">
        <v>9.5</v>
      </c>
      <c r="D287" s="18">
        <v>11.6</v>
      </c>
      <c r="E287" s="18">
        <v>53.5</v>
      </c>
      <c r="F287" s="15">
        <v>1.81</v>
      </c>
    </row>
    <row r="288" spans="1:6" x14ac:dyDescent="0.25">
      <c r="A288" s="11">
        <v>2009</v>
      </c>
      <c r="B288" s="11" t="s">
        <v>268</v>
      </c>
      <c r="C288" s="18">
        <v>12</v>
      </c>
      <c r="D288" s="18">
        <v>13.7</v>
      </c>
      <c r="E288" s="18">
        <v>65.900000000000006</v>
      </c>
      <c r="F288" s="15">
        <v>2.13</v>
      </c>
    </row>
    <row r="289" spans="1:6" x14ac:dyDescent="0.25">
      <c r="A289" s="11">
        <v>2009</v>
      </c>
      <c r="B289" s="11" t="s">
        <v>269</v>
      </c>
      <c r="C289" s="18">
        <v>10.8</v>
      </c>
      <c r="D289" s="18">
        <v>11.5</v>
      </c>
      <c r="E289" s="18">
        <v>55.8</v>
      </c>
      <c r="F289" s="15">
        <v>1.75</v>
      </c>
    </row>
    <row r="290" spans="1:6" x14ac:dyDescent="0.25">
      <c r="A290" s="11">
        <v>2009</v>
      </c>
      <c r="B290" s="11" t="s">
        <v>270</v>
      </c>
      <c r="C290" s="18">
        <v>8.3000000000000007</v>
      </c>
      <c r="D290" s="18">
        <v>10.8</v>
      </c>
      <c r="E290" s="18">
        <v>50.6</v>
      </c>
      <c r="F290" s="15">
        <v>1.67</v>
      </c>
    </row>
    <row r="291" spans="1:6" x14ac:dyDescent="0.25">
      <c r="A291" s="11">
        <v>2010</v>
      </c>
      <c r="B291" s="11" t="s">
        <v>11</v>
      </c>
      <c r="C291" s="18">
        <v>11.2</v>
      </c>
      <c r="D291" s="18">
        <v>11.2</v>
      </c>
      <c r="E291" s="18">
        <v>55.6</v>
      </c>
      <c r="F291" s="15">
        <v>1.72</v>
      </c>
    </row>
    <row r="292" spans="1:6" x14ac:dyDescent="0.25">
      <c r="A292" s="11">
        <v>2010</v>
      </c>
      <c r="B292" s="11" t="s">
        <v>260</v>
      </c>
      <c r="C292" s="18">
        <v>10.199999999999999</v>
      </c>
      <c r="D292" s="18">
        <v>11.5</v>
      </c>
      <c r="E292" s="18">
        <v>55.1</v>
      </c>
      <c r="F292" s="15">
        <v>1.79</v>
      </c>
    </row>
    <row r="293" spans="1:6" x14ac:dyDescent="0.25">
      <c r="A293" s="11">
        <v>2010</v>
      </c>
      <c r="B293" s="11" t="s">
        <v>261</v>
      </c>
      <c r="C293" s="18">
        <v>10.199999999999999</v>
      </c>
      <c r="D293" s="18">
        <v>13.1</v>
      </c>
      <c r="E293" s="18">
        <v>60.3</v>
      </c>
      <c r="F293" s="15">
        <v>2.0499999999999998</v>
      </c>
    </row>
    <row r="294" spans="1:6" x14ac:dyDescent="0.25">
      <c r="A294" s="11">
        <v>2010</v>
      </c>
      <c r="B294" s="11" t="s">
        <v>233</v>
      </c>
      <c r="C294" s="18">
        <v>9.6</v>
      </c>
      <c r="D294" s="18">
        <v>12.2</v>
      </c>
      <c r="E294" s="18">
        <v>57.1</v>
      </c>
      <c r="F294" s="15">
        <v>1.91</v>
      </c>
    </row>
    <row r="295" spans="1:6" x14ac:dyDescent="0.25">
      <c r="A295" s="11">
        <v>2010</v>
      </c>
      <c r="B295" s="11" t="s">
        <v>240</v>
      </c>
      <c r="C295" s="18">
        <v>11.5</v>
      </c>
      <c r="D295" s="18">
        <v>12.1</v>
      </c>
      <c r="E295" s="18">
        <v>59</v>
      </c>
      <c r="F295" s="15">
        <v>1.87</v>
      </c>
    </row>
    <row r="296" spans="1:6" x14ac:dyDescent="0.25">
      <c r="A296" s="11">
        <v>2010</v>
      </c>
      <c r="B296" s="11" t="s">
        <v>262</v>
      </c>
      <c r="C296" s="18">
        <v>11.2</v>
      </c>
      <c r="D296" s="18">
        <v>11.6</v>
      </c>
      <c r="E296" s="18">
        <v>56.4</v>
      </c>
      <c r="F296" s="15">
        <v>1.8</v>
      </c>
    </row>
    <row r="297" spans="1:6" x14ac:dyDescent="0.25">
      <c r="A297" s="11">
        <v>2010</v>
      </c>
      <c r="B297" s="11" t="s">
        <v>263</v>
      </c>
      <c r="C297" s="18">
        <v>11.1</v>
      </c>
      <c r="D297" s="18">
        <v>10.8</v>
      </c>
      <c r="E297" s="18">
        <v>54.5</v>
      </c>
      <c r="F297" s="15">
        <v>1.67</v>
      </c>
    </row>
    <row r="298" spans="1:6" x14ac:dyDescent="0.25">
      <c r="A298" s="11">
        <v>2010</v>
      </c>
      <c r="B298" s="11" t="s">
        <v>264</v>
      </c>
      <c r="C298" s="18">
        <v>11.7</v>
      </c>
      <c r="D298" s="18">
        <v>10.8</v>
      </c>
      <c r="E298" s="18">
        <v>54.5</v>
      </c>
      <c r="F298" s="15">
        <v>1.65</v>
      </c>
    </row>
    <row r="299" spans="1:6" x14ac:dyDescent="0.25">
      <c r="A299" s="11">
        <v>2010</v>
      </c>
      <c r="B299" s="11" t="s">
        <v>242</v>
      </c>
      <c r="C299" s="18">
        <v>10.1</v>
      </c>
      <c r="D299" s="18">
        <v>12.2</v>
      </c>
      <c r="E299" s="18">
        <v>58.5</v>
      </c>
      <c r="F299" s="15">
        <v>1.91</v>
      </c>
    </row>
    <row r="300" spans="1:6" x14ac:dyDescent="0.25">
      <c r="A300" s="11">
        <v>2010</v>
      </c>
      <c r="B300" s="11" t="s">
        <v>265</v>
      </c>
      <c r="C300" s="18">
        <v>11.3</v>
      </c>
      <c r="D300" s="18">
        <v>11.5</v>
      </c>
      <c r="E300" s="18">
        <v>56.5</v>
      </c>
      <c r="F300" s="15">
        <v>1.77</v>
      </c>
    </row>
    <row r="301" spans="1:6" x14ac:dyDescent="0.25">
      <c r="A301" s="11">
        <v>2010</v>
      </c>
      <c r="B301" s="11" t="s">
        <v>266</v>
      </c>
      <c r="C301" s="18">
        <v>11.9</v>
      </c>
      <c r="D301" s="18">
        <v>10.4</v>
      </c>
      <c r="E301" s="18">
        <v>53.9</v>
      </c>
      <c r="F301" s="15">
        <v>1.6</v>
      </c>
    </row>
    <row r="302" spans="1:6" x14ac:dyDescent="0.25">
      <c r="A302" s="11">
        <v>2010</v>
      </c>
      <c r="B302" s="11" t="s">
        <v>267</v>
      </c>
      <c r="C302" s="18">
        <v>9.3000000000000007</v>
      </c>
      <c r="D302" s="18">
        <v>11.2</v>
      </c>
      <c r="E302" s="18">
        <v>52.3</v>
      </c>
      <c r="F302" s="15">
        <v>1.77</v>
      </c>
    </row>
    <row r="303" spans="1:6" x14ac:dyDescent="0.25">
      <c r="A303" s="11">
        <v>2010</v>
      </c>
      <c r="B303" s="11" t="s">
        <v>268</v>
      </c>
      <c r="C303" s="18">
        <v>11.5</v>
      </c>
      <c r="D303" s="18">
        <v>13</v>
      </c>
      <c r="E303" s="18">
        <v>63.5</v>
      </c>
      <c r="F303" s="15">
        <v>2.04</v>
      </c>
    </row>
    <row r="304" spans="1:6" x14ac:dyDescent="0.25">
      <c r="A304" s="11">
        <v>2010</v>
      </c>
      <c r="B304" s="11" t="s">
        <v>269</v>
      </c>
      <c r="C304" s="18">
        <v>10.6</v>
      </c>
      <c r="D304" s="18">
        <v>11.2</v>
      </c>
      <c r="E304" s="18">
        <v>55.2</v>
      </c>
      <c r="F304" s="15">
        <v>1.72</v>
      </c>
    </row>
    <row r="305" spans="1:6" x14ac:dyDescent="0.25">
      <c r="A305" s="11">
        <v>2010</v>
      </c>
      <c r="B305" s="11" t="s">
        <v>270</v>
      </c>
      <c r="C305" s="18">
        <v>8.5</v>
      </c>
      <c r="D305" s="18">
        <v>11.2</v>
      </c>
      <c r="E305" s="18">
        <v>52.4</v>
      </c>
      <c r="F305" s="15">
        <v>1.68</v>
      </c>
    </row>
    <row r="306" spans="1:6" x14ac:dyDescent="0.25">
      <c r="A306" s="11">
        <v>2011</v>
      </c>
      <c r="B306" s="11" t="s">
        <v>11</v>
      </c>
      <c r="C306" s="18">
        <v>11.1</v>
      </c>
      <c r="D306" s="18">
        <v>11.1</v>
      </c>
      <c r="E306" s="18">
        <v>55.4</v>
      </c>
      <c r="F306" s="15">
        <v>1.69</v>
      </c>
    </row>
    <row r="307" spans="1:6" x14ac:dyDescent="0.25">
      <c r="A307" s="11">
        <v>2011</v>
      </c>
      <c r="B307" s="11" t="s">
        <v>260</v>
      </c>
      <c r="C307" s="18">
        <v>10.4</v>
      </c>
      <c r="D307" s="18">
        <v>11.8</v>
      </c>
      <c r="E307" s="18">
        <v>56.6</v>
      </c>
      <c r="F307" s="15">
        <v>1.82</v>
      </c>
    </row>
    <row r="308" spans="1:6" x14ac:dyDescent="0.25">
      <c r="A308" s="11">
        <v>2011</v>
      </c>
      <c r="B308" s="11" t="s">
        <v>261</v>
      </c>
      <c r="C308" s="18">
        <v>9.6999999999999993</v>
      </c>
      <c r="D308" s="18">
        <v>12.7</v>
      </c>
      <c r="E308" s="18">
        <v>58.5</v>
      </c>
      <c r="F308" s="15">
        <v>1.99</v>
      </c>
    </row>
    <row r="309" spans="1:6" x14ac:dyDescent="0.25">
      <c r="A309" s="11">
        <v>2011</v>
      </c>
      <c r="B309" s="11" t="s">
        <v>233</v>
      </c>
      <c r="C309" s="18">
        <v>9.1999999999999993</v>
      </c>
      <c r="D309" s="18">
        <v>11.8</v>
      </c>
      <c r="E309" s="18">
        <v>55.6</v>
      </c>
      <c r="F309" s="15">
        <v>1.83</v>
      </c>
    </row>
    <row r="310" spans="1:6" x14ac:dyDescent="0.25">
      <c r="A310" s="11">
        <v>2011</v>
      </c>
      <c r="B310" s="11" t="s">
        <v>240</v>
      </c>
      <c r="C310" s="18">
        <v>11.7</v>
      </c>
      <c r="D310" s="18">
        <v>12.4</v>
      </c>
      <c r="E310" s="18">
        <v>60.5</v>
      </c>
      <c r="F310" s="15">
        <v>1.91</v>
      </c>
    </row>
    <row r="311" spans="1:6" x14ac:dyDescent="0.25">
      <c r="A311" s="11">
        <v>2011</v>
      </c>
      <c r="B311" s="11" t="s">
        <v>262</v>
      </c>
      <c r="C311" s="18">
        <v>10.6</v>
      </c>
      <c r="D311" s="18">
        <v>11</v>
      </c>
      <c r="E311" s="18">
        <v>53.5</v>
      </c>
      <c r="F311" s="15">
        <v>1.69</v>
      </c>
    </row>
    <row r="312" spans="1:6" x14ac:dyDescent="0.25">
      <c r="A312" s="11">
        <v>2011</v>
      </c>
      <c r="B312" s="11" t="s">
        <v>263</v>
      </c>
      <c r="C312" s="18">
        <v>11</v>
      </c>
      <c r="D312" s="18">
        <v>10.7</v>
      </c>
      <c r="E312" s="18">
        <v>54.4</v>
      </c>
      <c r="F312" s="15">
        <v>1.65</v>
      </c>
    </row>
    <row r="313" spans="1:6" x14ac:dyDescent="0.25">
      <c r="A313" s="11">
        <v>2011</v>
      </c>
      <c r="B313" s="11" t="s">
        <v>264</v>
      </c>
      <c r="C313" s="18">
        <v>11.5</v>
      </c>
      <c r="D313" s="18">
        <v>10.6</v>
      </c>
      <c r="E313" s="18">
        <v>53.9</v>
      </c>
      <c r="F313" s="15">
        <v>1.62</v>
      </c>
    </row>
    <row r="314" spans="1:6" x14ac:dyDescent="0.25">
      <c r="A314" s="11">
        <v>2011</v>
      </c>
      <c r="B314" s="11" t="s">
        <v>242</v>
      </c>
      <c r="C314" s="18">
        <v>9.6</v>
      </c>
      <c r="D314" s="18">
        <v>11.7</v>
      </c>
      <c r="E314" s="18">
        <v>56.2</v>
      </c>
      <c r="F314" s="15">
        <v>1.81</v>
      </c>
    </row>
    <row r="315" spans="1:6" x14ac:dyDescent="0.25">
      <c r="A315" s="11">
        <v>2011</v>
      </c>
      <c r="B315" s="11" t="s">
        <v>265</v>
      </c>
      <c r="C315" s="18">
        <v>11.5</v>
      </c>
      <c r="D315" s="18">
        <v>11.8</v>
      </c>
      <c r="E315" s="18">
        <v>58.2</v>
      </c>
      <c r="F315" s="15">
        <v>1.81</v>
      </c>
    </row>
    <row r="316" spans="1:6" x14ac:dyDescent="0.25">
      <c r="A316" s="11">
        <v>2011</v>
      </c>
      <c r="B316" s="11" t="s">
        <v>266</v>
      </c>
      <c r="C316" s="18">
        <v>11.7</v>
      </c>
      <c r="D316" s="18">
        <v>10.199999999999999</v>
      </c>
      <c r="E316" s="18">
        <v>53.2</v>
      </c>
      <c r="F316" s="15">
        <v>1.57</v>
      </c>
    </row>
    <row r="317" spans="1:6" x14ac:dyDescent="0.25">
      <c r="A317" s="11">
        <v>2011</v>
      </c>
      <c r="B317" s="11" t="s">
        <v>267</v>
      </c>
      <c r="C317" s="18">
        <v>9.6</v>
      </c>
      <c r="D317" s="18">
        <v>11.7</v>
      </c>
      <c r="E317" s="18">
        <v>55.2</v>
      </c>
      <c r="F317" s="15">
        <v>1.83</v>
      </c>
    </row>
    <row r="318" spans="1:6" x14ac:dyDescent="0.25">
      <c r="A318" s="11">
        <v>2011</v>
      </c>
      <c r="B318" s="11" t="s">
        <v>268</v>
      </c>
      <c r="C318" s="18">
        <v>10.4</v>
      </c>
      <c r="D318" s="18">
        <v>11.7</v>
      </c>
      <c r="E318" s="18">
        <v>57.8</v>
      </c>
      <c r="F318" s="15">
        <v>1.84</v>
      </c>
    </row>
    <row r="319" spans="1:6" x14ac:dyDescent="0.25">
      <c r="A319" s="11">
        <v>2011</v>
      </c>
      <c r="B319" s="11" t="s">
        <v>269</v>
      </c>
      <c r="C319" s="18">
        <v>10.6</v>
      </c>
      <c r="D319" s="18">
        <v>11.2</v>
      </c>
      <c r="E319" s="18">
        <v>55.7</v>
      </c>
      <c r="F319" s="15">
        <v>1.72</v>
      </c>
    </row>
    <row r="320" spans="1:6" x14ac:dyDescent="0.25">
      <c r="A320" s="11">
        <v>2011</v>
      </c>
      <c r="B320" s="11" t="s">
        <v>270</v>
      </c>
      <c r="C320" s="18">
        <v>8.5</v>
      </c>
      <c r="D320" s="18">
        <v>11.2</v>
      </c>
      <c r="E320" s="18">
        <v>52.7</v>
      </c>
      <c r="F320" s="15">
        <v>1.75</v>
      </c>
    </row>
    <row r="321" spans="1:6" x14ac:dyDescent="0.25">
      <c r="A321" s="11">
        <v>2012</v>
      </c>
      <c r="B321" s="11" t="s">
        <v>11</v>
      </c>
      <c r="C321" s="18">
        <v>10.9</v>
      </c>
      <c r="D321" s="18">
        <v>10.9</v>
      </c>
      <c r="E321" s="18">
        <v>55.3</v>
      </c>
      <c r="F321" s="15">
        <v>1.68</v>
      </c>
    </row>
    <row r="322" spans="1:6" x14ac:dyDescent="0.25">
      <c r="A322" s="11">
        <v>2012</v>
      </c>
      <c r="B322" s="11" t="s">
        <v>260</v>
      </c>
      <c r="C322" s="18">
        <v>9.9</v>
      </c>
      <c r="D322" s="18">
        <v>11.3</v>
      </c>
      <c r="E322" s="18">
        <v>54.9</v>
      </c>
      <c r="F322" s="15">
        <v>1.75</v>
      </c>
    </row>
    <row r="323" spans="1:6" x14ac:dyDescent="0.25">
      <c r="A323" s="11">
        <v>2012</v>
      </c>
      <c r="B323" s="11" t="s">
        <v>261</v>
      </c>
      <c r="C323" s="18">
        <v>10</v>
      </c>
      <c r="D323" s="18">
        <v>13.2</v>
      </c>
      <c r="E323" s="18">
        <v>61.4</v>
      </c>
      <c r="F323" s="15">
        <v>2.0699999999999998</v>
      </c>
    </row>
    <row r="324" spans="1:6" x14ac:dyDescent="0.25">
      <c r="A324" s="11">
        <v>2012</v>
      </c>
      <c r="B324" s="11" t="s">
        <v>233</v>
      </c>
      <c r="C324" s="18">
        <v>9.1999999999999993</v>
      </c>
      <c r="D324" s="18">
        <v>11.8</v>
      </c>
      <c r="E324" s="18">
        <v>56.3</v>
      </c>
      <c r="F324" s="15">
        <v>1.83</v>
      </c>
    </row>
    <row r="325" spans="1:6" x14ac:dyDescent="0.25">
      <c r="A325" s="11">
        <v>2012</v>
      </c>
      <c r="B325" s="11" t="s">
        <v>240</v>
      </c>
      <c r="C325" s="18">
        <v>11</v>
      </c>
      <c r="D325" s="18">
        <v>11.7</v>
      </c>
      <c r="E325" s="18">
        <v>57.5</v>
      </c>
      <c r="F325" s="15">
        <v>1.8</v>
      </c>
    </row>
    <row r="326" spans="1:6" x14ac:dyDescent="0.25">
      <c r="A326" s="11">
        <v>2012</v>
      </c>
      <c r="B326" s="11" t="s">
        <v>262</v>
      </c>
      <c r="C326" s="18">
        <v>10.9</v>
      </c>
      <c r="D326" s="18">
        <v>11.5</v>
      </c>
      <c r="E326" s="18">
        <v>56.1</v>
      </c>
      <c r="F326" s="15">
        <v>1.77</v>
      </c>
    </row>
    <row r="327" spans="1:6" x14ac:dyDescent="0.25">
      <c r="A327" s="11">
        <v>2012</v>
      </c>
      <c r="B327" s="11" t="s">
        <v>263</v>
      </c>
      <c r="C327" s="18">
        <v>11.3</v>
      </c>
      <c r="D327" s="18">
        <v>11</v>
      </c>
      <c r="E327" s="18">
        <v>56.1</v>
      </c>
      <c r="F327" s="15">
        <v>1.68</v>
      </c>
    </row>
    <row r="328" spans="1:6" x14ac:dyDescent="0.25">
      <c r="A328" s="11">
        <v>2012</v>
      </c>
      <c r="B328" s="11" t="s">
        <v>264</v>
      </c>
      <c r="C328" s="18">
        <v>11.5</v>
      </c>
      <c r="D328" s="18">
        <v>10.5</v>
      </c>
      <c r="E328" s="18">
        <v>54.6</v>
      </c>
      <c r="F328" s="15">
        <v>1.62</v>
      </c>
    </row>
    <row r="329" spans="1:6" x14ac:dyDescent="0.25">
      <c r="A329" s="11">
        <v>2012</v>
      </c>
      <c r="B329" s="11" t="s">
        <v>242</v>
      </c>
      <c r="C329" s="18">
        <v>9.8000000000000007</v>
      </c>
      <c r="D329" s="18">
        <v>12</v>
      </c>
      <c r="E329" s="18">
        <v>58.1</v>
      </c>
      <c r="F329" s="15">
        <v>1.85</v>
      </c>
    </row>
    <row r="330" spans="1:6" x14ac:dyDescent="0.25">
      <c r="A330" s="11">
        <v>2012</v>
      </c>
      <c r="B330" s="11" t="s">
        <v>265</v>
      </c>
      <c r="C330" s="18">
        <v>10.9</v>
      </c>
      <c r="D330" s="18">
        <v>11.2</v>
      </c>
      <c r="E330" s="18">
        <v>55.8</v>
      </c>
      <c r="F330" s="15">
        <v>1.73</v>
      </c>
    </row>
    <row r="331" spans="1:6" x14ac:dyDescent="0.25">
      <c r="A331" s="11">
        <v>2012</v>
      </c>
      <c r="B331" s="11" t="s">
        <v>266</v>
      </c>
      <c r="C331" s="18">
        <v>11.7</v>
      </c>
      <c r="D331" s="18">
        <v>10.1</v>
      </c>
      <c r="E331" s="18">
        <v>53.5</v>
      </c>
      <c r="F331" s="15">
        <v>1.57</v>
      </c>
    </row>
    <row r="332" spans="1:6" x14ac:dyDescent="0.25">
      <c r="A332" s="11">
        <v>2012</v>
      </c>
      <c r="B332" s="11" t="s">
        <v>267</v>
      </c>
      <c r="C332" s="18">
        <v>9.3000000000000007</v>
      </c>
      <c r="D332" s="18">
        <v>11.3</v>
      </c>
      <c r="E332" s="18">
        <v>54.7</v>
      </c>
      <c r="F332" s="15">
        <v>1.77</v>
      </c>
    </row>
    <row r="333" spans="1:6" x14ac:dyDescent="0.25">
      <c r="A333" s="11">
        <v>2012</v>
      </c>
      <c r="B333" s="11" t="s">
        <v>268</v>
      </c>
      <c r="C333" s="18">
        <v>11.9</v>
      </c>
      <c r="D333" s="18">
        <v>13.6</v>
      </c>
      <c r="E333" s="18">
        <v>66.400000000000006</v>
      </c>
      <c r="F333" s="15">
        <v>2.11</v>
      </c>
    </row>
    <row r="334" spans="1:6" x14ac:dyDescent="0.25">
      <c r="A334" s="11">
        <v>2012</v>
      </c>
      <c r="B334" s="11" t="s">
        <v>269</v>
      </c>
      <c r="C334" s="18">
        <v>10.1</v>
      </c>
      <c r="D334" s="18">
        <v>10.6</v>
      </c>
      <c r="E334" s="18">
        <v>53.2</v>
      </c>
      <c r="F334" s="15">
        <v>1.63</v>
      </c>
    </row>
    <row r="335" spans="1:6" x14ac:dyDescent="0.25">
      <c r="A335" s="11">
        <v>2012</v>
      </c>
      <c r="B335" s="11" t="s">
        <v>270</v>
      </c>
      <c r="C335" s="18">
        <v>8.6</v>
      </c>
      <c r="D335" s="18">
        <v>11.4</v>
      </c>
      <c r="E335" s="18">
        <v>53.8</v>
      </c>
      <c r="F335" s="15">
        <v>1.79</v>
      </c>
    </row>
    <row r="336" spans="1:6" x14ac:dyDescent="0.25">
      <c r="A336" s="11">
        <v>2013</v>
      </c>
      <c r="B336" s="11" t="s">
        <v>11</v>
      </c>
      <c r="C336" s="18">
        <v>10.5</v>
      </c>
      <c r="D336" s="18">
        <v>10.5</v>
      </c>
      <c r="E336" s="18">
        <v>54</v>
      </c>
      <c r="F336" s="15">
        <v>1.62</v>
      </c>
    </row>
    <row r="337" spans="1:6" x14ac:dyDescent="0.25">
      <c r="A337" s="11">
        <v>2013</v>
      </c>
      <c r="B337" s="11" t="s">
        <v>260</v>
      </c>
      <c r="C337" s="18">
        <v>9.8000000000000007</v>
      </c>
      <c r="D337" s="18">
        <v>11.2</v>
      </c>
      <c r="E337" s="18">
        <v>55.1</v>
      </c>
      <c r="F337" s="15">
        <v>1.74</v>
      </c>
    </row>
    <row r="338" spans="1:6" x14ac:dyDescent="0.25">
      <c r="A338" s="11">
        <v>2013</v>
      </c>
      <c r="B338" s="11" t="s">
        <v>261</v>
      </c>
      <c r="C338" s="18">
        <v>10</v>
      </c>
      <c r="D338" s="18">
        <v>13.2</v>
      </c>
      <c r="E338" s="18">
        <v>62</v>
      </c>
      <c r="F338" s="15">
        <v>2.0699999999999998</v>
      </c>
    </row>
    <row r="339" spans="1:6" x14ac:dyDescent="0.25">
      <c r="A339" s="11">
        <v>2013</v>
      </c>
      <c r="B339" s="11" t="s">
        <v>233</v>
      </c>
      <c r="C339" s="18">
        <v>8.8000000000000007</v>
      </c>
      <c r="D339" s="18">
        <v>11.3</v>
      </c>
      <c r="E339" s="18">
        <v>54.6</v>
      </c>
      <c r="F339" s="15">
        <v>1.75</v>
      </c>
    </row>
    <row r="340" spans="1:6" x14ac:dyDescent="0.25">
      <c r="A340" s="11">
        <v>2013</v>
      </c>
      <c r="B340" s="11" t="s">
        <v>240</v>
      </c>
      <c r="C340" s="18">
        <v>10.6</v>
      </c>
      <c r="D340" s="18">
        <v>11.3</v>
      </c>
      <c r="E340" s="18">
        <v>56.1</v>
      </c>
      <c r="F340" s="15">
        <v>1.74</v>
      </c>
    </row>
    <row r="341" spans="1:6" x14ac:dyDescent="0.25">
      <c r="A341" s="11">
        <v>2013</v>
      </c>
      <c r="B341" s="11" t="s">
        <v>262</v>
      </c>
      <c r="C341" s="18">
        <v>10.1</v>
      </c>
      <c r="D341" s="18">
        <v>10.8</v>
      </c>
      <c r="E341" s="18">
        <v>53.1</v>
      </c>
      <c r="F341" s="15">
        <v>1.66</v>
      </c>
    </row>
    <row r="342" spans="1:6" x14ac:dyDescent="0.25">
      <c r="A342" s="11">
        <v>2013</v>
      </c>
      <c r="B342" s="11" t="s">
        <v>263</v>
      </c>
      <c r="C342" s="18">
        <v>10.7</v>
      </c>
      <c r="D342" s="18">
        <v>10.3</v>
      </c>
      <c r="E342" s="18">
        <v>53.2</v>
      </c>
      <c r="F342" s="15">
        <v>1.58</v>
      </c>
    </row>
    <row r="343" spans="1:6" x14ac:dyDescent="0.25">
      <c r="A343" s="11">
        <v>2013</v>
      </c>
      <c r="B343" s="11" t="s">
        <v>264</v>
      </c>
      <c r="C343" s="18">
        <v>11.1</v>
      </c>
      <c r="D343" s="18">
        <v>10.1</v>
      </c>
      <c r="E343" s="18">
        <v>53.2</v>
      </c>
      <c r="F343" s="15">
        <v>1.57</v>
      </c>
    </row>
    <row r="344" spans="1:6" x14ac:dyDescent="0.25">
      <c r="A344" s="11">
        <v>2013</v>
      </c>
      <c r="B344" s="11" t="s">
        <v>242</v>
      </c>
      <c r="C344" s="18">
        <v>9.1</v>
      </c>
      <c r="D344" s="18">
        <v>11.2</v>
      </c>
      <c r="E344" s="18">
        <v>55</v>
      </c>
      <c r="F344" s="15">
        <v>1.74</v>
      </c>
    </row>
    <row r="345" spans="1:6" x14ac:dyDescent="0.25">
      <c r="A345" s="11">
        <v>2013</v>
      </c>
      <c r="B345" s="11" t="s">
        <v>265</v>
      </c>
      <c r="C345" s="18">
        <v>10.7</v>
      </c>
      <c r="D345" s="18">
        <v>11.1</v>
      </c>
      <c r="E345" s="18">
        <v>55.7</v>
      </c>
      <c r="F345" s="15">
        <v>1.71</v>
      </c>
    </row>
    <row r="346" spans="1:6" x14ac:dyDescent="0.25">
      <c r="A346" s="11">
        <v>2013</v>
      </c>
      <c r="B346" s="11" t="s">
        <v>266</v>
      </c>
      <c r="C346" s="18">
        <v>11.3</v>
      </c>
      <c r="D346" s="18">
        <v>9.9</v>
      </c>
      <c r="E346" s="18">
        <v>52.5</v>
      </c>
      <c r="F346" s="15">
        <v>1.53</v>
      </c>
    </row>
    <row r="347" spans="1:6" x14ac:dyDescent="0.25">
      <c r="A347" s="11">
        <v>2013</v>
      </c>
      <c r="B347" s="11" t="s">
        <v>267</v>
      </c>
      <c r="C347" s="18">
        <v>9.3000000000000007</v>
      </c>
      <c r="D347" s="18">
        <v>11.3</v>
      </c>
      <c r="E347" s="18">
        <v>55.7</v>
      </c>
      <c r="F347" s="15">
        <v>1.75</v>
      </c>
    </row>
    <row r="348" spans="1:6" x14ac:dyDescent="0.25">
      <c r="A348" s="11">
        <v>2013</v>
      </c>
      <c r="B348" s="11" t="s">
        <v>268</v>
      </c>
      <c r="C348" s="18">
        <v>11.3</v>
      </c>
      <c r="D348" s="18">
        <v>12.9</v>
      </c>
      <c r="E348" s="18">
        <v>63.4</v>
      </c>
      <c r="F348" s="15">
        <v>2.0099999999999998</v>
      </c>
    </row>
    <row r="349" spans="1:6" x14ac:dyDescent="0.25">
      <c r="A349" s="11">
        <v>2013</v>
      </c>
      <c r="B349" s="11" t="s">
        <v>269</v>
      </c>
      <c r="C349" s="18">
        <v>9.8000000000000007</v>
      </c>
      <c r="D349" s="18">
        <v>10.3</v>
      </c>
      <c r="E349" s="18">
        <v>52.2</v>
      </c>
      <c r="F349" s="15">
        <v>1.59</v>
      </c>
    </row>
    <row r="350" spans="1:6" x14ac:dyDescent="0.25">
      <c r="A350" s="11">
        <v>2013</v>
      </c>
      <c r="B350" s="11" t="s">
        <v>270</v>
      </c>
      <c r="C350" s="18">
        <v>9</v>
      </c>
      <c r="D350" s="18">
        <v>11.8</v>
      </c>
      <c r="E350" s="18">
        <v>56.8</v>
      </c>
      <c r="F350" s="15">
        <v>1.87</v>
      </c>
    </row>
    <row r="351" spans="1:6" x14ac:dyDescent="0.25">
      <c r="A351" s="11">
        <v>2014</v>
      </c>
      <c r="B351" s="11" t="s">
        <v>11</v>
      </c>
      <c r="C351" s="18">
        <v>10.6</v>
      </c>
      <c r="D351" s="18">
        <v>10.6</v>
      </c>
      <c r="E351" s="18">
        <v>55.1</v>
      </c>
      <c r="F351" s="15">
        <v>1.64</v>
      </c>
    </row>
    <row r="352" spans="1:6" x14ac:dyDescent="0.25">
      <c r="A352" s="11">
        <v>2014</v>
      </c>
      <c r="B352" s="11" t="s">
        <v>260</v>
      </c>
      <c r="C352" s="18">
        <v>9.6</v>
      </c>
      <c r="D352" s="18">
        <v>11</v>
      </c>
      <c r="E352" s="18">
        <v>54.9</v>
      </c>
      <c r="F352" s="15">
        <v>1.71</v>
      </c>
    </row>
    <row r="353" spans="1:6" x14ac:dyDescent="0.25">
      <c r="A353" s="11">
        <v>2014</v>
      </c>
      <c r="B353" s="11" t="s">
        <v>261</v>
      </c>
      <c r="C353" s="18">
        <v>9.4</v>
      </c>
      <c r="D353" s="18">
        <v>12.5</v>
      </c>
      <c r="E353" s="18">
        <v>59.7</v>
      </c>
      <c r="F353" s="15">
        <v>1.95</v>
      </c>
    </row>
    <row r="354" spans="1:6" x14ac:dyDescent="0.25">
      <c r="A354" s="11">
        <v>2014</v>
      </c>
      <c r="B354" s="11" t="s">
        <v>233</v>
      </c>
      <c r="C354" s="18">
        <v>8.6</v>
      </c>
      <c r="D354" s="18">
        <v>11</v>
      </c>
      <c r="E354" s="18">
        <v>54.1</v>
      </c>
      <c r="F354" s="15">
        <v>1.7</v>
      </c>
    </row>
    <row r="355" spans="1:6" x14ac:dyDescent="0.25">
      <c r="A355" s="11">
        <v>2014</v>
      </c>
      <c r="B355" s="11" t="s">
        <v>240</v>
      </c>
      <c r="C355" s="18">
        <v>10.6</v>
      </c>
      <c r="D355" s="18">
        <v>11.4</v>
      </c>
      <c r="E355" s="18">
        <v>57.2</v>
      </c>
      <c r="F355" s="15">
        <v>1.76</v>
      </c>
    </row>
    <row r="356" spans="1:6" x14ac:dyDescent="0.25">
      <c r="A356" s="11">
        <v>2014</v>
      </c>
      <c r="B356" s="11" t="s">
        <v>262</v>
      </c>
      <c r="C356" s="18">
        <v>10.4</v>
      </c>
      <c r="D356" s="18">
        <v>11.2</v>
      </c>
      <c r="E356" s="18">
        <v>55.4</v>
      </c>
      <c r="F356" s="15">
        <v>1.73</v>
      </c>
    </row>
    <row r="357" spans="1:6" x14ac:dyDescent="0.25">
      <c r="A357" s="11">
        <v>2014</v>
      </c>
      <c r="B357" s="11" t="s">
        <v>263</v>
      </c>
      <c r="C357" s="18">
        <v>10.9</v>
      </c>
      <c r="D357" s="18">
        <v>10.4</v>
      </c>
      <c r="E357" s="18">
        <v>54.6</v>
      </c>
      <c r="F357" s="15">
        <v>1.6</v>
      </c>
    </row>
    <row r="358" spans="1:6" x14ac:dyDescent="0.25">
      <c r="A358" s="11">
        <v>2014</v>
      </c>
      <c r="B358" s="11" t="s">
        <v>264</v>
      </c>
      <c r="C358" s="18">
        <v>11.2</v>
      </c>
      <c r="D358" s="18">
        <v>10.199999999999999</v>
      </c>
      <c r="E358" s="18">
        <v>54.5</v>
      </c>
      <c r="F358" s="15">
        <v>1.58</v>
      </c>
    </row>
    <row r="359" spans="1:6" x14ac:dyDescent="0.25">
      <c r="A359" s="11">
        <v>2014</v>
      </c>
      <c r="B359" s="11" t="s">
        <v>242</v>
      </c>
      <c r="C359" s="18">
        <v>9.4</v>
      </c>
      <c r="D359" s="18">
        <v>11.6</v>
      </c>
      <c r="E359" s="18">
        <v>57.6</v>
      </c>
      <c r="F359" s="15">
        <v>1.81</v>
      </c>
    </row>
    <row r="360" spans="1:6" x14ac:dyDescent="0.25">
      <c r="A360" s="11">
        <v>2014</v>
      </c>
      <c r="B360" s="11" t="s">
        <v>265</v>
      </c>
      <c r="C360" s="18">
        <v>10.9</v>
      </c>
      <c r="D360" s="18">
        <v>11.2</v>
      </c>
      <c r="E360" s="18">
        <v>57.2</v>
      </c>
      <c r="F360" s="15">
        <v>1.73</v>
      </c>
    </row>
    <row r="361" spans="1:6" x14ac:dyDescent="0.25">
      <c r="A361" s="11">
        <v>2014</v>
      </c>
      <c r="B361" s="11" t="s">
        <v>266</v>
      </c>
      <c r="C361" s="18">
        <v>11.3</v>
      </c>
      <c r="D361" s="18">
        <v>9.8000000000000007</v>
      </c>
      <c r="E361" s="18">
        <v>52.8</v>
      </c>
      <c r="F361" s="15">
        <v>1.53</v>
      </c>
    </row>
    <row r="362" spans="1:6" x14ac:dyDescent="0.25">
      <c r="A362" s="11">
        <v>2014</v>
      </c>
      <c r="B362" s="11" t="s">
        <v>267</v>
      </c>
      <c r="C362" s="18">
        <v>8.4</v>
      </c>
      <c r="D362" s="18">
        <v>10.199999999999999</v>
      </c>
      <c r="E362" s="18">
        <v>50.8</v>
      </c>
      <c r="F362" s="15">
        <v>1.57</v>
      </c>
    </row>
    <row r="363" spans="1:6" x14ac:dyDescent="0.25">
      <c r="A363" s="11">
        <v>2014</v>
      </c>
      <c r="B363" s="11" t="s">
        <v>268</v>
      </c>
      <c r="C363" s="18">
        <v>10.8</v>
      </c>
      <c r="D363" s="18">
        <v>12.4</v>
      </c>
      <c r="E363" s="18">
        <v>61.8</v>
      </c>
      <c r="F363" s="15">
        <v>1.95</v>
      </c>
    </row>
    <row r="364" spans="1:6" x14ac:dyDescent="0.25">
      <c r="A364" s="11">
        <v>2014</v>
      </c>
      <c r="B364" s="11" t="s">
        <v>269</v>
      </c>
      <c r="C364" s="18">
        <v>10.199999999999999</v>
      </c>
      <c r="D364" s="18">
        <v>10.8</v>
      </c>
      <c r="E364" s="18">
        <v>55.3</v>
      </c>
      <c r="F364" s="15">
        <v>1.66</v>
      </c>
    </row>
    <row r="365" spans="1:6" x14ac:dyDescent="0.25">
      <c r="A365" s="11">
        <v>2014</v>
      </c>
      <c r="B365" s="11" t="s">
        <v>270</v>
      </c>
      <c r="C365" s="18">
        <v>8.3000000000000007</v>
      </c>
      <c r="D365" s="18">
        <v>11.1</v>
      </c>
      <c r="E365" s="18">
        <v>53.9</v>
      </c>
      <c r="F365" s="15">
        <v>1.72</v>
      </c>
    </row>
    <row r="366" spans="1:6" x14ac:dyDescent="0.25">
      <c r="A366" s="11">
        <v>2015</v>
      </c>
      <c r="B366" s="11" t="s">
        <v>11</v>
      </c>
      <c r="C366" s="18">
        <v>10.3</v>
      </c>
      <c r="D366" s="18">
        <v>10.3</v>
      </c>
      <c r="E366" s="18">
        <v>53.7</v>
      </c>
      <c r="F366" s="15">
        <v>1.58</v>
      </c>
    </row>
    <row r="367" spans="1:6" x14ac:dyDescent="0.25">
      <c r="A367" s="11">
        <v>2015</v>
      </c>
      <c r="B367" s="11" t="s">
        <v>260</v>
      </c>
      <c r="C367" s="18">
        <v>9.8000000000000007</v>
      </c>
      <c r="D367" s="18">
        <v>11.3</v>
      </c>
      <c r="E367" s="18">
        <v>56.6</v>
      </c>
      <c r="F367" s="15">
        <v>1.74</v>
      </c>
    </row>
    <row r="368" spans="1:6" x14ac:dyDescent="0.25">
      <c r="A368" s="11">
        <v>2015</v>
      </c>
      <c r="B368" s="11" t="s">
        <v>261</v>
      </c>
      <c r="C368" s="18">
        <v>9</v>
      </c>
      <c r="D368" s="18">
        <v>12</v>
      </c>
      <c r="E368" s="18">
        <v>57.8</v>
      </c>
      <c r="F368" s="15">
        <v>1.88</v>
      </c>
    </row>
    <row r="369" spans="1:6" x14ac:dyDescent="0.25">
      <c r="A369" s="11">
        <v>2015</v>
      </c>
      <c r="B369" s="11" t="s">
        <v>233</v>
      </c>
      <c r="C369" s="18">
        <v>8.4</v>
      </c>
      <c r="D369" s="18">
        <v>10.8</v>
      </c>
      <c r="E369" s="18">
        <v>53.8</v>
      </c>
      <c r="F369" s="15">
        <v>1.66</v>
      </c>
    </row>
    <row r="370" spans="1:6" x14ac:dyDescent="0.25">
      <c r="A370" s="11">
        <v>2015</v>
      </c>
      <c r="B370" s="11" t="s">
        <v>240</v>
      </c>
      <c r="C370" s="18">
        <v>10.199999999999999</v>
      </c>
      <c r="D370" s="18">
        <v>11</v>
      </c>
      <c r="E370" s="18">
        <v>55.7</v>
      </c>
      <c r="F370" s="15">
        <v>1.7</v>
      </c>
    </row>
    <row r="371" spans="1:6" x14ac:dyDescent="0.25">
      <c r="A371" s="11">
        <v>2015</v>
      </c>
      <c r="B371" s="11" t="s">
        <v>262</v>
      </c>
      <c r="C371" s="18">
        <v>9.8000000000000007</v>
      </c>
      <c r="D371" s="18">
        <v>10.5</v>
      </c>
      <c r="E371" s="18">
        <v>52.6</v>
      </c>
      <c r="F371" s="15">
        <v>1.63</v>
      </c>
    </row>
    <row r="372" spans="1:6" x14ac:dyDescent="0.25">
      <c r="A372" s="11">
        <v>2015</v>
      </c>
      <c r="B372" s="11" t="s">
        <v>263</v>
      </c>
      <c r="C372" s="18">
        <v>11</v>
      </c>
      <c r="D372" s="18">
        <v>10.5</v>
      </c>
      <c r="E372" s="18">
        <v>55.2</v>
      </c>
      <c r="F372" s="15">
        <v>1.61</v>
      </c>
    </row>
    <row r="373" spans="1:6" x14ac:dyDescent="0.25">
      <c r="A373" s="11">
        <v>2015</v>
      </c>
      <c r="B373" s="11" t="s">
        <v>264</v>
      </c>
      <c r="C373" s="18">
        <v>10.8</v>
      </c>
      <c r="D373" s="18">
        <v>9.8000000000000007</v>
      </c>
      <c r="E373" s="18">
        <v>52.5</v>
      </c>
      <c r="F373" s="15">
        <v>1.51</v>
      </c>
    </row>
    <row r="374" spans="1:6" x14ac:dyDescent="0.25">
      <c r="A374" s="11">
        <v>2015</v>
      </c>
      <c r="B374" s="11" t="s">
        <v>242</v>
      </c>
      <c r="C374" s="18">
        <v>9</v>
      </c>
      <c r="D374" s="18">
        <v>11.1</v>
      </c>
      <c r="E374" s="18">
        <v>55.9</v>
      </c>
      <c r="F374" s="15">
        <v>1.73</v>
      </c>
    </row>
    <row r="375" spans="1:6" x14ac:dyDescent="0.25">
      <c r="A375" s="11">
        <v>2015</v>
      </c>
      <c r="B375" s="11" t="s">
        <v>265</v>
      </c>
      <c r="C375" s="18">
        <v>10.5</v>
      </c>
      <c r="D375" s="18">
        <v>10.9</v>
      </c>
      <c r="E375" s="18">
        <v>55.9</v>
      </c>
      <c r="F375" s="15">
        <v>1.68</v>
      </c>
    </row>
    <row r="376" spans="1:6" x14ac:dyDescent="0.25">
      <c r="A376" s="11">
        <v>2015</v>
      </c>
      <c r="B376" s="11" t="s">
        <v>266</v>
      </c>
      <c r="C376" s="18">
        <v>10.9</v>
      </c>
      <c r="D376" s="18">
        <v>9.4</v>
      </c>
      <c r="E376" s="18">
        <v>50.9</v>
      </c>
      <c r="F376" s="15">
        <v>1.46</v>
      </c>
    </row>
    <row r="377" spans="1:6" x14ac:dyDescent="0.25">
      <c r="A377" s="11">
        <v>2015</v>
      </c>
      <c r="B377" s="11" t="s">
        <v>267</v>
      </c>
      <c r="C377" s="18">
        <v>8.9</v>
      </c>
      <c r="D377" s="18">
        <v>10.8</v>
      </c>
      <c r="E377" s="18">
        <v>54.4</v>
      </c>
      <c r="F377" s="15">
        <v>1.66</v>
      </c>
    </row>
    <row r="378" spans="1:6" x14ac:dyDescent="0.25">
      <c r="A378" s="11">
        <v>2015</v>
      </c>
      <c r="B378" s="11" t="s">
        <v>268</v>
      </c>
      <c r="C378" s="18">
        <v>10</v>
      </c>
      <c r="D378" s="18">
        <v>11.4</v>
      </c>
      <c r="E378" s="18">
        <v>57.2</v>
      </c>
      <c r="F378" s="15">
        <v>1.78</v>
      </c>
    </row>
    <row r="379" spans="1:6" x14ac:dyDescent="0.25">
      <c r="A379" s="11">
        <v>2015</v>
      </c>
      <c r="B379" s="11" t="s">
        <v>269</v>
      </c>
      <c r="C379" s="18">
        <v>9.6</v>
      </c>
      <c r="D379" s="18">
        <v>10.199999999999999</v>
      </c>
      <c r="E379" s="18">
        <v>52.5</v>
      </c>
      <c r="F379" s="15">
        <v>1.56</v>
      </c>
    </row>
    <row r="380" spans="1:6" x14ac:dyDescent="0.25">
      <c r="A380" s="11">
        <v>2015</v>
      </c>
      <c r="B380" s="11" t="s">
        <v>270</v>
      </c>
      <c r="C380" s="18">
        <v>8.1999999999999993</v>
      </c>
      <c r="D380" s="18">
        <v>11.1</v>
      </c>
      <c r="E380" s="18">
        <v>54.6</v>
      </c>
      <c r="F380" s="15">
        <v>1.74</v>
      </c>
    </row>
    <row r="381" spans="1:6" x14ac:dyDescent="0.25">
      <c r="A381" s="11">
        <v>2016</v>
      </c>
      <c r="B381" s="11" t="s">
        <v>11</v>
      </c>
      <c r="C381" s="18">
        <v>10.1</v>
      </c>
      <c r="D381" s="18">
        <v>10.1</v>
      </c>
      <c r="E381" s="18">
        <v>53.4</v>
      </c>
      <c r="F381" s="15">
        <v>1.56</v>
      </c>
    </row>
    <row r="382" spans="1:6" x14ac:dyDescent="0.25">
      <c r="A382" s="11">
        <v>2016</v>
      </c>
      <c r="B382" s="11" t="s">
        <v>260</v>
      </c>
      <c r="C382" s="18">
        <v>9.5</v>
      </c>
      <c r="D382" s="18">
        <v>11</v>
      </c>
      <c r="E382" s="18">
        <v>55.7</v>
      </c>
      <c r="F382" s="15">
        <v>1.69</v>
      </c>
    </row>
    <row r="383" spans="1:6" x14ac:dyDescent="0.25">
      <c r="A383" s="11">
        <v>2016</v>
      </c>
      <c r="B383" s="11" t="s">
        <v>261</v>
      </c>
      <c r="C383" s="18">
        <v>8.6999999999999993</v>
      </c>
      <c r="D383" s="18">
        <v>11.6</v>
      </c>
      <c r="E383" s="18">
        <v>56.7</v>
      </c>
      <c r="F383" s="15">
        <v>1.8</v>
      </c>
    </row>
    <row r="384" spans="1:6" x14ac:dyDescent="0.25">
      <c r="A384" s="11">
        <v>2016</v>
      </c>
      <c r="B384" s="11" t="s">
        <v>233</v>
      </c>
      <c r="C384" s="18">
        <v>8.9</v>
      </c>
      <c r="D384" s="18">
        <v>11.4</v>
      </c>
      <c r="E384" s="18">
        <v>57.7</v>
      </c>
      <c r="F384" s="15">
        <v>1.76</v>
      </c>
    </row>
    <row r="385" spans="1:6" x14ac:dyDescent="0.25">
      <c r="A385" s="11">
        <v>2016</v>
      </c>
      <c r="B385" s="11" t="s">
        <v>240</v>
      </c>
      <c r="C385" s="18">
        <v>10.1</v>
      </c>
      <c r="D385" s="18">
        <v>11</v>
      </c>
      <c r="E385" s="18">
        <v>55.9</v>
      </c>
      <c r="F385" s="15">
        <v>1.69</v>
      </c>
    </row>
    <row r="386" spans="1:6" x14ac:dyDescent="0.25">
      <c r="A386" s="11">
        <v>2016</v>
      </c>
      <c r="B386" s="11" t="s">
        <v>262</v>
      </c>
      <c r="C386" s="18">
        <v>9.5</v>
      </c>
      <c r="D386" s="18">
        <v>10.199999999999999</v>
      </c>
      <c r="E386" s="18">
        <v>51.6</v>
      </c>
      <c r="F386" s="15">
        <v>1.58</v>
      </c>
    </row>
    <row r="387" spans="1:6" x14ac:dyDescent="0.25">
      <c r="A387" s="11">
        <v>2016</v>
      </c>
      <c r="B387" s="11" t="s">
        <v>263</v>
      </c>
      <c r="C387" s="18">
        <v>10.7</v>
      </c>
      <c r="D387" s="18">
        <v>10.4</v>
      </c>
      <c r="E387" s="18">
        <v>55</v>
      </c>
      <c r="F387" s="15">
        <v>1.58</v>
      </c>
    </row>
    <row r="388" spans="1:6" x14ac:dyDescent="0.25">
      <c r="A388" s="11">
        <v>2016</v>
      </c>
      <c r="B388" s="11" t="s">
        <v>264</v>
      </c>
      <c r="C388" s="18">
        <v>10.5</v>
      </c>
      <c r="D388" s="18">
        <v>9.5</v>
      </c>
      <c r="E388" s="18">
        <v>51.5</v>
      </c>
      <c r="F388" s="15">
        <v>1.46</v>
      </c>
    </row>
    <row r="389" spans="1:6" x14ac:dyDescent="0.25">
      <c r="A389" s="11">
        <v>2016</v>
      </c>
      <c r="B389" s="11" t="s">
        <v>242</v>
      </c>
      <c r="C389" s="18">
        <v>8.8000000000000007</v>
      </c>
      <c r="D389" s="18">
        <v>10.9</v>
      </c>
      <c r="E389" s="18">
        <v>55.3</v>
      </c>
      <c r="F389" s="15">
        <v>1.69</v>
      </c>
    </row>
    <row r="390" spans="1:6" x14ac:dyDescent="0.25">
      <c r="A390" s="11">
        <v>2016</v>
      </c>
      <c r="B390" s="11" t="s">
        <v>265</v>
      </c>
      <c r="C390" s="18">
        <v>10.4</v>
      </c>
      <c r="D390" s="18">
        <v>10.8</v>
      </c>
      <c r="E390" s="18">
        <v>55.7</v>
      </c>
      <c r="F390" s="15">
        <v>1.66</v>
      </c>
    </row>
    <row r="391" spans="1:6" x14ac:dyDescent="0.25">
      <c r="A391" s="11">
        <v>2016</v>
      </c>
      <c r="B391" s="11" t="s">
        <v>266</v>
      </c>
      <c r="C391" s="18">
        <v>10.8</v>
      </c>
      <c r="D391" s="18">
        <v>9.3000000000000007</v>
      </c>
      <c r="E391" s="18">
        <v>50.6</v>
      </c>
      <c r="F391" s="15">
        <v>1.44</v>
      </c>
    </row>
    <row r="392" spans="1:6" x14ac:dyDescent="0.25">
      <c r="A392" s="11">
        <v>2016</v>
      </c>
      <c r="B392" s="11" t="s">
        <v>267</v>
      </c>
      <c r="C392" s="18">
        <v>8.1999999999999993</v>
      </c>
      <c r="D392" s="18">
        <v>10</v>
      </c>
      <c r="E392" s="18">
        <v>51.3</v>
      </c>
      <c r="F392" s="15">
        <v>1.54</v>
      </c>
    </row>
    <row r="393" spans="1:6" x14ac:dyDescent="0.25">
      <c r="A393" s="11">
        <v>2016</v>
      </c>
      <c r="B393" s="11" t="s">
        <v>268</v>
      </c>
      <c r="C393" s="18">
        <v>11.4</v>
      </c>
      <c r="D393" s="18">
        <v>13.1</v>
      </c>
      <c r="E393" s="18">
        <v>66.599999999999994</v>
      </c>
      <c r="F393" s="15">
        <v>2.0299999999999998</v>
      </c>
    </row>
    <row r="394" spans="1:6" x14ac:dyDescent="0.25">
      <c r="A394" s="11">
        <v>2016</v>
      </c>
      <c r="B394" s="11" t="s">
        <v>269</v>
      </c>
      <c r="C394" s="18">
        <v>9.5</v>
      </c>
      <c r="D394" s="18">
        <v>10.1</v>
      </c>
      <c r="E394" s="18">
        <v>52.3</v>
      </c>
      <c r="F394" s="15">
        <v>1.54</v>
      </c>
    </row>
    <row r="395" spans="1:6" x14ac:dyDescent="0.25">
      <c r="A395" s="11">
        <v>2016</v>
      </c>
      <c r="B395" s="11" t="s">
        <v>270</v>
      </c>
      <c r="C395" s="18">
        <v>8.9</v>
      </c>
      <c r="D395" s="18">
        <v>12</v>
      </c>
      <c r="E395" s="18">
        <v>59.4</v>
      </c>
      <c r="F395" s="15">
        <v>1.88</v>
      </c>
    </row>
    <row r="396" spans="1:6" x14ac:dyDescent="0.25">
      <c r="A396" s="11">
        <v>2017</v>
      </c>
      <c r="B396" s="11" t="s">
        <v>11</v>
      </c>
      <c r="C396" s="18">
        <v>9.8000000000000007</v>
      </c>
      <c r="D396" s="18">
        <v>9.8000000000000007</v>
      </c>
      <c r="E396" s="18">
        <v>52</v>
      </c>
      <c r="F396" s="15">
        <v>1.51</v>
      </c>
    </row>
    <row r="397" spans="1:6" x14ac:dyDescent="0.25">
      <c r="A397" s="11">
        <v>2017</v>
      </c>
      <c r="B397" s="11" t="s">
        <v>260</v>
      </c>
      <c r="C397" s="18">
        <v>8.9</v>
      </c>
      <c r="D397" s="18">
        <v>10.3</v>
      </c>
      <c r="E397" s="18">
        <v>53.2</v>
      </c>
      <c r="F397" s="15">
        <v>1.6</v>
      </c>
    </row>
    <row r="398" spans="1:6" x14ac:dyDescent="0.25">
      <c r="A398" s="11">
        <v>2017</v>
      </c>
      <c r="B398" s="11" t="s">
        <v>261</v>
      </c>
      <c r="C398" s="18">
        <v>8.5</v>
      </c>
      <c r="D398" s="18">
        <v>11.3</v>
      </c>
      <c r="E398" s="18">
        <v>56.2</v>
      </c>
      <c r="F398" s="15">
        <v>1.75</v>
      </c>
    </row>
    <row r="399" spans="1:6" x14ac:dyDescent="0.25">
      <c r="A399" s="11">
        <v>2017</v>
      </c>
      <c r="B399" s="11" t="s">
        <v>233</v>
      </c>
      <c r="C399" s="18">
        <v>8.4</v>
      </c>
      <c r="D399" s="18">
        <v>10.8</v>
      </c>
      <c r="E399" s="18">
        <v>55.7</v>
      </c>
      <c r="F399" s="15">
        <v>1.66</v>
      </c>
    </row>
    <row r="400" spans="1:6" x14ac:dyDescent="0.25">
      <c r="A400" s="11">
        <v>2017</v>
      </c>
      <c r="B400" s="11" t="s">
        <v>240</v>
      </c>
      <c r="C400" s="18">
        <v>9.4</v>
      </c>
      <c r="D400" s="18">
        <v>10.199999999999999</v>
      </c>
      <c r="E400" s="18">
        <v>52.1</v>
      </c>
      <c r="F400" s="15">
        <v>1.56</v>
      </c>
    </row>
    <row r="401" spans="1:6" x14ac:dyDescent="0.25">
      <c r="A401" s="11">
        <v>2017</v>
      </c>
      <c r="B401" s="11" t="s">
        <v>262</v>
      </c>
      <c r="C401" s="18">
        <v>9.6</v>
      </c>
      <c r="D401" s="18">
        <v>10.3</v>
      </c>
      <c r="E401" s="18">
        <v>52.5</v>
      </c>
      <c r="F401" s="15">
        <v>1.59</v>
      </c>
    </row>
    <row r="402" spans="1:6" x14ac:dyDescent="0.25">
      <c r="A402" s="11">
        <v>2017</v>
      </c>
      <c r="B402" s="11" t="s">
        <v>263</v>
      </c>
      <c r="C402" s="18">
        <v>10.199999999999999</v>
      </c>
      <c r="D402" s="18">
        <v>9.9</v>
      </c>
      <c r="E402" s="18">
        <v>53</v>
      </c>
      <c r="F402" s="15">
        <v>1.52</v>
      </c>
    </row>
    <row r="403" spans="1:6" x14ac:dyDescent="0.25">
      <c r="A403" s="11">
        <v>2017</v>
      </c>
      <c r="B403" s="11" t="s">
        <v>264</v>
      </c>
      <c r="C403" s="18">
        <v>10.5</v>
      </c>
      <c r="D403" s="18">
        <v>9.4</v>
      </c>
      <c r="E403" s="18">
        <v>51.6</v>
      </c>
      <c r="F403" s="15">
        <v>1.46</v>
      </c>
    </row>
    <row r="404" spans="1:6" x14ac:dyDescent="0.25">
      <c r="A404" s="11">
        <v>2017</v>
      </c>
      <c r="B404" s="11" t="s">
        <v>242</v>
      </c>
      <c r="C404" s="18">
        <v>8.5</v>
      </c>
      <c r="D404" s="18">
        <v>10.5</v>
      </c>
      <c r="E404" s="18">
        <v>54.1</v>
      </c>
      <c r="F404" s="15">
        <v>1.63</v>
      </c>
    </row>
    <row r="405" spans="1:6" x14ac:dyDescent="0.25">
      <c r="A405" s="11">
        <v>2017</v>
      </c>
      <c r="B405" s="11" t="s">
        <v>265</v>
      </c>
      <c r="C405" s="18">
        <v>10.199999999999999</v>
      </c>
      <c r="D405" s="18">
        <v>10.6</v>
      </c>
      <c r="E405" s="18">
        <v>55.6</v>
      </c>
      <c r="F405" s="15">
        <v>1.65</v>
      </c>
    </row>
    <row r="406" spans="1:6" x14ac:dyDescent="0.25">
      <c r="A406" s="11">
        <v>2017</v>
      </c>
      <c r="B406" s="11" t="s">
        <v>266</v>
      </c>
      <c r="C406" s="18">
        <v>10.3</v>
      </c>
      <c r="D406" s="18">
        <v>8.9</v>
      </c>
      <c r="E406" s="18">
        <v>48.2</v>
      </c>
      <c r="F406" s="15">
        <v>1.37</v>
      </c>
    </row>
    <row r="407" spans="1:6" x14ac:dyDescent="0.25">
      <c r="A407" s="11">
        <v>2017</v>
      </c>
      <c r="B407" s="11" t="s">
        <v>267</v>
      </c>
      <c r="C407" s="18">
        <v>8.5</v>
      </c>
      <c r="D407" s="18">
        <v>10.199999999999999</v>
      </c>
      <c r="E407" s="18">
        <v>53.3</v>
      </c>
      <c r="F407" s="15">
        <v>1.55</v>
      </c>
    </row>
    <row r="408" spans="1:6" x14ac:dyDescent="0.25">
      <c r="A408" s="11">
        <v>2017</v>
      </c>
      <c r="B408" s="11" t="s">
        <v>268</v>
      </c>
      <c r="C408" s="18">
        <v>9.4</v>
      </c>
      <c r="D408" s="18">
        <v>11</v>
      </c>
      <c r="E408" s="18">
        <v>56.1</v>
      </c>
      <c r="F408" s="15">
        <v>1.69</v>
      </c>
    </row>
    <row r="409" spans="1:6" x14ac:dyDescent="0.25">
      <c r="A409" s="11">
        <v>2017</v>
      </c>
      <c r="B409" s="11" t="s">
        <v>269</v>
      </c>
      <c r="C409" s="18">
        <v>9.1</v>
      </c>
      <c r="D409" s="18">
        <v>9.6</v>
      </c>
      <c r="E409" s="18">
        <v>50.3</v>
      </c>
      <c r="F409" s="15">
        <v>1.47</v>
      </c>
    </row>
    <row r="410" spans="1:6" x14ac:dyDescent="0.25">
      <c r="A410" s="11">
        <v>2017</v>
      </c>
      <c r="B410" s="11" t="s">
        <v>270</v>
      </c>
      <c r="C410" s="18">
        <v>8.1</v>
      </c>
      <c r="D410" s="18">
        <v>11</v>
      </c>
      <c r="E410" s="18">
        <v>54.6</v>
      </c>
      <c r="F410" s="15">
        <v>1.7</v>
      </c>
    </row>
    <row r="411" spans="1:6" x14ac:dyDescent="0.25">
      <c r="A411" s="11">
        <v>2018</v>
      </c>
      <c r="B411" s="11" t="s">
        <v>11</v>
      </c>
      <c r="C411" s="18">
        <v>9.5</v>
      </c>
      <c r="D411" s="18">
        <v>9.5</v>
      </c>
      <c r="E411" s="18">
        <v>50.6</v>
      </c>
      <c r="F411" s="15">
        <v>1.46</v>
      </c>
    </row>
    <row r="412" spans="1:6" x14ac:dyDescent="0.25">
      <c r="A412" s="11">
        <v>2018</v>
      </c>
      <c r="B412" s="11" t="s">
        <v>260</v>
      </c>
      <c r="C412" s="18">
        <v>8.8000000000000007</v>
      </c>
      <c r="D412" s="18">
        <v>10.199999999999999</v>
      </c>
      <c r="E412" s="18">
        <v>53.2</v>
      </c>
      <c r="F412" s="15">
        <v>1.58</v>
      </c>
    </row>
    <row r="413" spans="1:6" x14ac:dyDescent="0.25">
      <c r="A413" s="11">
        <v>2018</v>
      </c>
      <c r="B413" s="11" t="s">
        <v>261</v>
      </c>
      <c r="C413" s="18">
        <v>8.5</v>
      </c>
      <c r="D413" s="18">
        <v>11.2</v>
      </c>
      <c r="E413" s="18">
        <v>56.6</v>
      </c>
      <c r="F413" s="15">
        <v>1.74</v>
      </c>
    </row>
    <row r="414" spans="1:6" x14ac:dyDescent="0.25">
      <c r="A414" s="11">
        <v>2018</v>
      </c>
      <c r="B414" s="11" t="s">
        <v>233</v>
      </c>
      <c r="C414" s="18">
        <v>8.1999999999999993</v>
      </c>
      <c r="D414" s="18">
        <v>10.4</v>
      </c>
      <c r="E414" s="18">
        <v>54.6</v>
      </c>
      <c r="F414" s="15">
        <v>1.62</v>
      </c>
    </row>
    <row r="415" spans="1:6" x14ac:dyDescent="0.25">
      <c r="A415" s="11">
        <v>2018</v>
      </c>
      <c r="B415" s="11" t="s">
        <v>240</v>
      </c>
      <c r="C415" s="18">
        <v>9.4</v>
      </c>
      <c r="D415" s="18">
        <v>10.199999999999999</v>
      </c>
      <c r="E415" s="18">
        <v>52.8</v>
      </c>
      <c r="F415" s="15">
        <v>1.57</v>
      </c>
    </row>
    <row r="416" spans="1:6" x14ac:dyDescent="0.25">
      <c r="A416" s="11">
        <v>2018</v>
      </c>
      <c r="B416" s="11" t="s">
        <v>262</v>
      </c>
      <c r="C416" s="18">
        <v>9</v>
      </c>
      <c r="D416" s="18">
        <v>9.6</v>
      </c>
      <c r="E416" s="18">
        <v>49.4</v>
      </c>
      <c r="F416" s="15">
        <v>1.49</v>
      </c>
    </row>
    <row r="417" spans="1:6" x14ac:dyDescent="0.25">
      <c r="A417" s="11">
        <v>2018</v>
      </c>
      <c r="B417" s="11" t="s">
        <v>263</v>
      </c>
      <c r="C417" s="18">
        <v>10.1</v>
      </c>
      <c r="D417" s="18">
        <v>10</v>
      </c>
      <c r="E417" s="18">
        <v>53.2</v>
      </c>
      <c r="F417" s="15">
        <v>1.53</v>
      </c>
    </row>
    <row r="418" spans="1:6" x14ac:dyDescent="0.25">
      <c r="A418" s="11">
        <v>2018</v>
      </c>
      <c r="B418" s="11" t="s">
        <v>264</v>
      </c>
      <c r="C418" s="18">
        <v>10</v>
      </c>
      <c r="D418" s="18">
        <v>9</v>
      </c>
      <c r="E418" s="18">
        <v>49.1</v>
      </c>
      <c r="F418" s="15">
        <v>1.38</v>
      </c>
    </row>
    <row r="419" spans="1:6" x14ac:dyDescent="0.25">
      <c r="A419" s="11">
        <v>2018</v>
      </c>
      <c r="B419" s="11" t="s">
        <v>242</v>
      </c>
      <c r="C419" s="18">
        <v>8.1999999999999993</v>
      </c>
      <c r="D419" s="18">
        <v>10.199999999999999</v>
      </c>
      <c r="E419" s="18">
        <v>52.8</v>
      </c>
      <c r="F419" s="15">
        <v>1.58</v>
      </c>
    </row>
    <row r="420" spans="1:6" x14ac:dyDescent="0.25">
      <c r="A420" s="11">
        <v>2018</v>
      </c>
      <c r="B420" s="11" t="s">
        <v>265</v>
      </c>
      <c r="C420" s="18">
        <v>9.9</v>
      </c>
      <c r="D420" s="18">
        <v>10.3</v>
      </c>
      <c r="E420" s="18">
        <v>54</v>
      </c>
      <c r="F420" s="15">
        <v>1.59</v>
      </c>
    </row>
    <row r="421" spans="1:6" x14ac:dyDescent="0.25">
      <c r="A421" s="11">
        <v>2018</v>
      </c>
      <c r="B421" s="11" t="s">
        <v>266</v>
      </c>
      <c r="C421" s="18">
        <v>9.9</v>
      </c>
      <c r="D421" s="18">
        <v>8.5</v>
      </c>
      <c r="E421" s="18">
        <v>46.3</v>
      </c>
      <c r="F421" s="15">
        <v>1.31</v>
      </c>
    </row>
    <row r="422" spans="1:6" x14ac:dyDescent="0.25">
      <c r="A422" s="11">
        <v>2018</v>
      </c>
      <c r="B422" s="11" t="s">
        <v>267</v>
      </c>
      <c r="C422" s="18">
        <v>8.5</v>
      </c>
      <c r="D422" s="18">
        <v>10.199999999999999</v>
      </c>
      <c r="E422" s="18">
        <v>54.3</v>
      </c>
      <c r="F422" s="15">
        <v>1.56</v>
      </c>
    </row>
    <row r="423" spans="1:6" x14ac:dyDescent="0.25">
      <c r="A423" s="11">
        <v>2018</v>
      </c>
      <c r="B423" s="11" t="s">
        <v>268</v>
      </c>
      <c r="C423" s="18">
        <v>9.3000000000000007</v>
      </c>
      <c r="D423" s="18">
        <v>11</v>
      </c>
      <c r="E423" s="18">
        <v>56.8</v>
      </c>
      <c r="F423" s="15">
        <v>1.71</v>
      </c>
    </row>
    <row r="424" spans="1:6" x14ac:dyDescent="0.25">
      <c r="A424" s="11">
        <v>2018</v>
      </c>
      <c r="B424" s="11" t="s">
        <v>269</v>
      </c>
      <c r="C424" s="18">
        <v>8.9</v>
      </c>
      <c r="D424" s="18">
        <v>9.4</v>
      </c>
      <c r="E424" s="18">
        <v>49.4</v>
      </c>
      <c r="F424" s="15">
        <v>1.45</v>
      </c>
    </row>
    <row r="425" spans="1:6" x14ac:dyDescent="0.25">
      <c r="A425" s="11">
        <v>2018</v>
      </c>
      <c r="B425" s="11" t="s">
        <v>270</v>
      </c>
      <c r="C425" s="18">
        <v>7.8</v>
      </c>
      <c r="D425" s="18">
        <v>10.7</v>
      </c>
      <c r="E425" s="18">
        <v>53.5</v>
      </c>
      <c r="F425" s="15">
        <v>1.66</v>
      </c>
    </row>
    <row r="426" spans="1:6" x14ac:dyDescent="0.25">
      <c r="A426" s="11">
        <v>2019</v>
      </c>
      <c r="B426" s="11" t="s">
        <v>11</v>
      </c>
      <c r="C426" s="18">
        <v>9.1999999999999993</v>
      </c>
      <c r="D426" s="18">
        <v>9.1999999999999993</v>
      </c>
      <c r="E426" s="18">
        <v>49.2</v>
      </c>
      <c r="F426" s="15">
        <v>1.42</v>
      </c>
    </row>
    <row r="427" spans="1:6" x14ac:dyDescent="0.25">
      <c r="A427" s="11">
        <v>2019</v>
      </c>
      <c r="B427" s="11" t="s">
        <v>260</v>
      </c>
      <c r="C427" s="18">
        <v>8.5</v>
      </c>
      <c r="D427" s="18">
        <v>10</v>
      </c>
      <c r="E427" s="18">
        <v>52.2</v>
      </c>
      <c r="F427" s="15">
        <v>1.55</v>
      </c>
    </row>
    <row r="428" spans="1:6" x14ac:dyDescent="0.25">
      <c r="A428" s="11">
        <v>2019</v>
      </c>
      <c r="B428" s="11" t="s">
        <v>261</v>
      </c>
      <c r="C428" s="18">
        <v>7.9</v>
      </c>
      <c r="D428" s="18">
        <v>10.4</v>
      </c>
      <c r="E428" s="18">
        <v>53.1</v>
      </c>
      <c r="F428" s="15">
        <v>1.61</v>
      </c>
    </row>
    <row r="429" spans="1:6" x14ac:dyDescent="0.25">
      <c r="A429" s="11">
        <v>2019</v>
      </c>
      <c r="B429" s="11" t="s">
        <v>233</v>
      </c>
      <c r="C429" s="18">
        <v>7.9</v>
      </c>
      <c r="D429" s="18">
        <v>10.1</v>
      </c>
      <c r="E429" s="18">
        <v>53.2</v>
      </c>
      <c r="F429" s="15">
        <v>1.57</v>
      </c>
    </row>
    <row r="430" spans="1:6" x14ac:dyDescent="0.25">
      <c r="A430" s="11">
        <v>2019</v>
      </c>
      <c r="B430" s="11" t="s">
        <v>240</v>
      </c>
      <c r="C430" s="18">
        <v>9</v>
      </c>
      <c r="D430" s="18">
        <v>9.6999999999999993</v>
      </c>
      <c r="E430" s="18">
        <v>50.4</v>
      </c>
      <c r="F430" s="15">
        <v>1.5</v>
      </c>
    </row>
    <row r="431" spans="1:6" x14ac:dyDescent="0.25">
      <c r="A431" s="11">
        <v>2019</v>
      </c>
      <c r="B431" s="11" t="s">
        <v>262</v>
      </c>
      <c r="C431" s="18">
        <v>8.6</v>
      </c>
      <c r="D431" s="18">
        <v>9.3000000000000007</v>
      </c>
      <c r="E431" s="18">
        <v>47.7</v>
      </c>
      <c r="F431" s="15">
        <v>1.43</v>
      </c>
    </row>
    <row r="432" spans="1:6" x14ac:dyDescent="0.25">
      <c r="A432" s="11">
        <v>2019</v>
      </c>
      <c r="B432" s="11" t="s">
        <v>263</v>
      </c>
      <c r="C432" s="18">
        <v>9.5</v>
      </c>
      <c r="D432" s="18">
        <v>9.4</v>
      </c>
      <c r="E432" s="18">
        <v>50.1</v>
      </c>
      <c r="F432" s="15">
        <v>1.44</v>
      </c>
    </row>
    <row r="433" spans="1:6" x14ac:dyDescent="0.25">
      <c r="A433" s="11">
        <v>2019</v>
      </c>
      <c r="B433" s="11" t="s">
        <v>264</v>
      </c>
      <c r="C433" s="18">
        <v>9.8000000000000007</v>
      </c>
      <c r="D433" s="18">
        <v>8.6999999999999993</v>
      </c>
      <c r="E433" s="18">
        <v>47.9</v>
      </c>
      <c r="F433" s="15">
        <v>1.35</v>
      </c>
    </row>
    <row r="434" spans="1:6" x14ac:dyDescent="0.25">
      <c r="A434" s="11">
        <v>2019</v>
      </c>
      <c r="B434" s="11" t="s">
        <v>242</v>
      </c>
      <c r="C434" s="18">
        <v>8.1</v>
      </c>
      <c r="D434" s="18">
        <v>10</v>
      </c>
      <c r="E434" s="18">
        <v>52.2</v>
      </c>
      <c r="F434" s="15">
        <v>1.56</v>
      </c>
    </row>
    <row r="435" spans="1:6" x14ac:dyDescent="0.25">
      <c r="A435" s="11">
        <v>2019</v>
      </c>
      <c r="B435" s="11" t="s">
        <v>265</v>
      </c>
      <c r="C435" s="18">
        <v>9.8000000000000007</v>
      </c>
      <c r="D435" s="18">
        <v>10.3</v>
      </c>
      <c r="E435" s="18">
        <v>53.9</v>
      </c>
      <c r="F435" s="15">
        <v>1.59</v>
      </c>
    </row>
    <row r="436" spans="1:6" x14ac:dyDescent="0.25">
      <c r="A436" s="11">
        <v>2019</v>
      </c>
      <c r="B436" s="11" t="s">
        <v>266</v>
      </c>
      <c r="C436" s="18">
        <v>9.6</v>
      </c>
      <c r="D436" s="18">
        <v>8.1999999999999993</v>
      </c>
      <c r="E436" s="18">
        <v>44.7</v>
      </c>
      <c r="F436" s="15">
        <v>1.27</v>
      </c>
    </row>
    <row r="437" spans="1:6" x14ac:dyDescent="0.25">
      <c r="A437" s="11">
        <v>2019</v>
      </c>
      <c r="B437" s="11" t="s">
        <v>267</v>
      </c>
      <c r="C437" s="18">
        <v>8.3000000000000007</v>
      </c>
      <c r="D437" s="18">
        <v>10.1</v>
      </c>
      <c r="E437" s="18">
        <v>53.9</v>
      </c>
      <c r="F437" s="15">
        <v>1.54</v>
      </c>
    </row>
    <row r="438" spans="1:6" x14ac:dyDescent="0.25">
      <c r="A438" s="11">
        <v>2019</v>
      </c>
      <c r="B438" s="11" t="s">
        <v>268</v>
      </c>
      <c r="C438" s="18">
        <v>8.9</v>
      </c>
      <c r="D438" s="18">
        <v>10.6</v>
      </c>
      <c r="E438" s="18">
        <v>55.6</v>
      </c>
      <c r="F438" s="15">
        <v>1.66</v>
      </c>
    </row>
    <row r="439" spans="1:6" x14ac:dyDescent="0.25">
      <c r="A439" s="11">
        <v>2019</v>
      </c>
      <c r="B439" s="11" t="s">
        <v>269</v>
      </c>
      <c r="C439" s="18">
        <v>8.6999999999999993</v>
      </c>
      <c r="D439" s="18">
        <v>9.1999999999999993</v>
      </c>
      <c r="E439" s="18">
        <v>48.3</v>
      </c>
      <c r="F439" s="15">
        <v>1.41</v>
      </c>
    </row>
    <row r="440" spans="1:6" x14ac:dyDescent="0.25">
      <c r="A440" s="11">
        <v>2019</v>
      </c>
      <c r="B440" s="11" t="s">
        <v>270</v>
      </c>
      <c r="C440" s="18">
        <v>7.6</v>
      </c>
      <c r="D440" s="18">
        <v>10.6</v>
      </c>
      <c r="E440" s="18">
        <v>52.5</v>
      </c>
      <c r="F440" s="15">
        <v>1.68</v>
      </c>
    </row>
    <row r="441" spans="1:6" x14ac:dyDescent="0.25">
      <c r="A441" s="11">
        <v>2020</v>
      </c>
      <c r="B441" s="11" t="s">
        <v>11</v>
      </c>
      <c r="C441" s="18">
        <v>8.6999999999999993</v>
      </c>
      <c r="D441" s="18">
        <v>8.6999999999999993</v>
      </c>
      <c r="E441" s="18">
        <v>46.3</v>
      </c>
      <c r="F441" s="15">
        <v>1.33</v>
      </c>
    </row>
    <row r="442" spans="1:6" x14ac:dyDescent="0.25">
      <c r="A442" s="11">
        <v>2020</v>
      </c>
      <c r="B442" s="11" t="s">
        <v>260</v>
      </c>
      <c r="C442" s="18">
        <v>8.3000000000000007</v>
      </c>
      <c r="D442" s="18">
        <v>9.6999999999999993</v>
      </c>
      <c r="E442" s="18">
        <v>51.1</v>
      </c>
      <c r="F442" s="15">
        <v>1.52</v>
      </c>
    </row>
    <row r="443" spans="1:6" x14ac:dyDescent="0.25">
      <c r="A443" s="11">
        <v>2020</v>
      </c>
      <c r="B443" s="11" t="s">
        <v>261</v>
      </c>
      <c r="C443" s="18">
        <v>7.3</v>
      </c>
      <c r="D443" s="18">
        <v>9.6</v>
      </c>
      <c r="E443" s="18">
        <v>49.2</v>
      </c>
      <c r="F443" s="15">
        <v>1.5</v>
      </c>
    </row>
    <row r="444" spans="1:6" x14ac:dyDescent="0.25">
      <c r="A444" s="11">
        <v>2020</v>
      </c>
      <c r="B444" s="11" t="s">
        <v>233</v>
      </c>
      <c r="C444" s="18">
        <v>7.8</v>
      </c>
      <c r="D444" s="18">
        <v>10</v>
      </c>
      <c r="E444" s="18">
        <v>52.8</v>
      </c>
      <c r="F444" s="15">
        <v>1.56</v>
      </c>
    </row>
    <row r="445" spans="1:6" x14ac:dyDescent="0.25">
      <c r="A445" s="11">
        <v>2020</v>
      </c>
      <c r="B445" s="11" t="s">
        <v>240</v>
      </c>
      <c r="C445" s="18">
        <v>8.5</v>
      </c>
      <c r="D445" s="18">
        <v>9.1999999999999993</v>
      </c>
      <c r="E445" s="18">
        <v>47.8</v>
      </c>
      <c r="F445" s="15">
        <v>1.43</v>
      </c>
    </row>
    <row r="446" spans="1:6" x14ac:dyDescent="0.25">
      <c r="A446" s="11">
        <v>2020</v>
      </c>
      <c r="B446" s="11" t="s">
        <v>262</v>
      </c>
      <c r="C446" s="18">
        <v>8.5</v>
      </c>
      <c r="D446" s="18">
        <v>9.1</v>
      </c>
      <c r="E446" s="18">
        <v>47.2</v>
      </c>
      <c r="F446" s="15">
        <v>1.41</v>
      </c>
    </row>
    <row r="447" spans="1:6" x14ac:dyDescent="0.25">
      <c r="A447" s="11">
        <v>2020</v>
      </c>
      <c r="B447" s="11" t="s">
        <v>263</v>
      </c>
      <c r="C447" s="18">
        <v>8.9</v>
      </c>
      <c r="D447" s="18">
        <v>8.9</v>
      </c>
      <c r="E447" s="18">
        <v>47.5</v>
      </c>
      <c r="F447" s="15">
        <v>1.37</v>
      </c>
    </row>
    <row r="448" spans="1:6" x14ac:dyDescent="0.25">
      <c r="A448" s="11">
        <v>2020</v>
      </c>
      <c r="B448" s="11" t="s">
        <v>264</v>
      </c>
      <c r="C448" s="18">
        <v>9</v>
      </c>
      <c r="D448" s="18">
        <v>8</v>
      </c>
      <c r="E448" s="18">
        <v>43.8</v>
      </c>
      <c r="F448" s="15">
        <v>1.23</v>
      </c>
    </row>
    <row r="449" spans="1:6" x14ac:dyDescent="0.25">
      <c r="A449" s="11">
        <v>2020</v>
      </c>
      <c r="B449" s="11" t="s">
        <v>242</v>
      </c>
      <c r="C449" s="18">
        <v>7.7</v>
      </c>
      <c r="D449" s="18">
        <v>9.6</v>
      </c>
      <c r="E449" s="18">
        <v>50</v>
      </c>
      <c r="F449" s="15">
        <v>1.49</v>
      </c>
    </row>
    <row r="450" spans="1:6" x14ac:dyDescent="0.25">
      <c r="A450" s="11">
        <v>2020</v>
      </c>
      <c r="B450" s="11" t="s">
        <v>265</v>
      </c>
      <c r="C450" s="18">
        <v>9</v>
      </c>
      <c r="D450" s="18">
        <v>9.3000000000000007</v>
      </c>
      <c r="E450" s="18">
        <v>49.3</v>
      </c>
      <c r="F450" s="15">
        <v>1.45</v>
      </c>
    </row>
    <row r="451" spans="1:6" x14ac:dyDescent="0.25">
      <c r="A451" s="11">
        <v>2020</v>
      </c>
      <c r="B451" s="11" t="s">
        <v>266</v>
      </c>
      <c r="C451" s="18">
        <v>9.1</v>
      </c>
      <c r="D451" s="18">
        <v>7.8</v>
      </c>
      <c r="E451" s="18">
        <v>42.7</v>
      </c>
      <c r="F451" s="15">
        <v>1.21</v>
      </c>
    </row>
    <row r="452" spans="1:6" x14ac:dyDescent="0.25">
      <c r="A452" s="11">
        <v>2020</v>
      </c>
      <c r="B452" s="11" t="s">
        <v>267</v>
      </c>
      <c r="C452" s="18">
        <v>8.3000000000000007</v>
      </c>
      <c r="D452" s="18">
        <v>10.1</v>
      </c>
      <c r="E452" s="18">
        <v>54.7</v>
      </c>
      <c r="F452" s="15">
        <v>1.55</v>
      </c>
    </row>
    <row r="453" spans="1:6" x14ac:dyDescent="0.25">
      <c r="A453" s="11">
        <v>2020</v>
      </c>
      <c r="B453" s="11" t="s">
        <v>268</v>
      </c>
      <c r="C453" s="18">
        <v>7.7</v>
      </c>
      <c r="D453" s="18">
        <v>9.1</v>
      </c>
      <c r="E453" s="18">
        <v>47.9</v>
      </c>
      <c r="F453" s="15">
        <v>1.41</v>
      </c>
    </row>
    <row r="454" spans="1:6" x14ac:dyDescent="0.25">
      <c r="A454" s="11">
        <v>2020</v>
      </c>
      <c r="B454" s="11" t="s">
        <v>269</v>
      </c>
      <c r="C454" s="18">
        <v>8.1</v>
      </c>
      <c r="D454" s="18">
        <v>8.6</v>
      </c>
      <c r="E454" s="18">
        <v>45.1</v>
      </c>
      <c r="F454" s="15">
        <v>1.33</v>
      </c>
    </row>
    <row r="455" spans="1:6" x14ac:dyDescent="0.25">
      <c r="A455" s="11">
        <v>2020</v>
      </c>
      <c r="B455" s="11" t="s">
        <v>270</v>
      </c>
      <c r="C455" s="18">
        <v>7</v>
      </c>
      <c r="D455" s="18">
        <v>9.9</v>
      </c>
      <c r="E455" s="18">
        <v>49.2</v>
      </c>
      <c r="F455" s="15">
        <v>1.57</v>
      </c>
    </row>
    <row r="456" spans="1:6" x14ac:dyDescent="0.25">
      <c r="A456" s="11">
        <v>2021</v>
      </c>
      <c r="B456" s="11" t="s">
        <v>11</v>
      </c>
      <c r="C456" s="18">
        <v>8.8000000000000007</v>
      </c>
      <c r="D456" s="18">
        <v>8.8000000000000007</v>
      </c>
      <c r="E456" s="18">
        <v>47.2</v>
      </c>
      <c r="F456" s="15">
        <v>1.36</v>
      </c>
    </row>
    <row r="457" spans="1:6" x14ac:dyDescent="0.25">
      <c r="A457" s="11">
        <v>2021</v>
      </c>
      <c r="B457" s="11" t="s">
        <v>260</v>
      </c>
      <c r="C457" s="18">
        <v>8.1</v>
      </c>
      <c r="D457" s="18">
        <v>9.5</v>
      </c>
      <c r="E457" s="18">
        <v>49.8</v>
      </c>
      <c r="F457" s="15">
        <v>1.48</v>
      </c>
    </row>
    <row r="458" spans="1:6" x14ac:dyDescent="0.25">
      <c r="A458" s="11">
        <v>2021</v>
      </c>
      <c r="B458" s="11" t="s">
        <v>261</v>
      </c>
      <c r="C458" s="18">
        <v>7.3</v>
      </c>
      <c r="D458" s="18">
        <v>9.5</v>
      </c>
      <c r="E458" s="18">
        <v>49.5</v>
      </c>
      <c r="F458" s="15">
        <v>1.49</v>
      </c>
    </row>
    <row r="459" spans="1:6" x14ac:dyDescent="0.25">
      <c r="A459" s="11">
        <v>2021</v>
      </c>
      <c r="B459" s="11" t="s">
        <v>233</v>
      </c>
      <c r="C459" s="18">
        <v>7.4</v>
      </c>
      <c r="D459" s="18">
        <v>9.4</v>
      </c>
      <c r="E459" s="18">
        <v>50.1</v>
      </c>
      <c r="F459" s="15">
        <v>1.48</v>
      </c>
    </row>
    <row r="460" spans="1:6" x14ac:dyDescent="0.25">
      <c r="A460" s="11">
        <v>2021</v>
      </c>
      <c r="B460" s="11" t="s">
        <v>240</v>
      </c>
      <c r="C460" s="18">
        <v>8.5</v>
      </c>
      <c r="D460" s="18">
        <v>9.3000000000000007</v>
      </c>
      <c r="E460" s="18">
        <v>48</v>
      </c>
      <c r="F460" s="15">
        <v>1.44</v>
      </c>
    </row>
    <row r="461" spans="1:6" x14ac:dyDescent="0.25">
      <c r="A461" s="11">
        <v>2021</v>
      </c>
      <c r="B461" s="11" t="s">
        <v>262</v>
      </c>
      <c r="C461" s="18">
        <v>8.6999999999999993</v>
      </c>
      <c r="D461" s="18">
        <v>9.3000000000000007</v>
      </c>
      <c r="E461" s="18">
        <v>48.5</v>
      </c>
      <c r="F461" s="15">
        <v>1.45</v>
      </c>
    </row>
    <row r="462" spans="1:6" x14ac:dyDescent="0.25">
      <c r="A462" s="11">
        <v>2021</v>
      </c>
      <c r="B462" s="11" t="s">
        <v>263</v>
      </c>
      <c r="C462" s="18">
        <v>9</v>
      </c>
      <c r="D462" s="18">
        <v>9.1999999999999993</v>
      </c>
      <c r="E462" s="18">
        <v>48.6</v>
      </c>
      <c r="F462" s="15">
        <v>1.41</v>
      </c>
    </row>
    <row r="463" spans="1:6" x14ac:dyDescent="0.25">
      <c r="A463" s="11">
        <v>2021</v>
      </c>
      <c r="B463" s="11" t="s">
        <v>264</v>
      </c>
      <c r="C463" s="18">
        <v>9.1</v>
      </c>
      <c r="D463" s="18">
        <v>8.1</v>
      </c>
      <c r="E463" s="18">
        <v>44.4</v>
      </c>
      <c r="F463" s="15">
        <v>1.25</v>
      </c>
    </row>
    <row r="464" spans="1:6" x14ac:dyDescent="0.25">
      <c r="A464" s="11">
        <v>2021</v>
      </c>
      <c r="B464" s="11" t="s">
        <v>242</v>
      </c>
      <c r="C464" s="18">
        <v>7.7</v>
      </c>
      <c r="D464" s="18">
        <v>9.5</v>
      </c>
      <c r="E464" s="18">
        <v>49.8</v>
      </c>
      <c r="F464" s="15">
        <v>1.49</v>
      </c>
    </row>
    <row r="465" spans="1:6" x14ac:dyDescent="0.25">
      <c r="A465" s="11">
        <v>2021</v>
      </c>
      <c r="B465" s="11" t="s">
        <v>265</v>
      </c>
      <c r="C465" s="18">
        <v>9.6</v>
      </c>
      <c r="D465" s="18">
        <v>10</v>
      </c>
      <c r="E465" s="18">
        <v>52.7</v>
      </c>
      <c r="F465" s="15">
        <v>1.55</v>
      </c>
    </row>
    <row r="466" spans="1:6" x14ac:dyDescent="0.25">
      <c r="A466" s="11">
        <v>2021</v>
      </c>
      <c r="B466" s="11" t="s">
        <v>266</v>
      </c>
      <c r="C466" s="18">
        <v>9.4</v>
      </c>
      <c r="D466" s="18">
        <v>8.1</v>
      </c>
      <c r="E466" s="18">
        <v>44.2</v>
      </c>
      <c r="F466" s="15">
        <v>1.25</v>
      </c>
    </row>
    <row r="467" spans="1:6" x14ac:dyDescent="0.25">
      <c r="A467" s="11">
        <v>2021</v>
      </c>
      <c r="B467" s="11" t="s">
        <v>267</v>
      </c>
      <c r="C467" s="18">
        <v>7.8</v>
      </c>
      <c r="D467" s="18">
        <v>9.3000000000000007</v>
      </c>
      <c r="E467" s="18">
        <v>50.3</v>
      </c>
      <c r="F467" s="15">
        <v>1.4</v>
      </c>
    </row>
    <row r="468" spans="1:6" x14ac:dyDescent="0.25">
      <c r="A468" s="11">
        <v>2021</v>
      </c>
      <c r="B468" s="11" t="s">
        <v>268</v>
      </c>
      <c r="C468" s="18">
        <v>8.6999999999999993</v>
      </c>
      <c r="D468" s="18">
        <v>10.3</v>
      </c>
      <c r="E468" s="18">
        <v>53.4</v>
      </c>
      <c r="F468" s="15">
        <v>1.6</v>
      </c>
    </row>
    <row r="469" spans="1:6" x14ac:dyDescent="0.25">
      <c r="A469" s="11">
        <v>2021</v>
      </c>
      <c r="B469" s="11" t="s">
        <v>269</v>
      </c>
      <c r="C469" s="18">
        <v>8.1999999999999993</v>
      </c>
      <c r="D469" s="18">
        <v>8.6999999999999993</v>
      </c>
      <c r="E469" s="18">
        <v>45.6</v>
      </c>
      <c r="F469" s="15">
        <v>1.34</v>
      </c>
    </row>
    <row r="470" spans="1:6" x14ac:dyDescent="0.25">
      <c r="A470" s="11">
        <v>2021</v>
      </c>
      <c r="B470" s="11" t="s">
        <v>270</v>
      </c>
      <c r="C470" s="18">
        <v>6.9</v>
      </c>
      <c r="D470" s="18">
        <v>9.6</v>
      </c>
      <c r="E470" s="18">
        <v>48.6</v>
      </c>
      <c r="F470" s="15">
        <v>1.52</v>
      </c>
    </row>
    <row r="471" spans="1:6" x14ac:dyDescent="0.25">
      <c r="A471" s="11">
        <v>2022</v>
      </c>
      <c r="B471" s="11" t="s">
        <v>11</v>
      </c>
      <c r="C471" s="18">
        <v>8.6</v>
      </c>
      <c r="D471" s="18">
        <v>8.6</v>
      </c>
      <c r="E471" s="18">
        <v>45.8</v>
      </c>
      <c r="F471" s="15">
        <v>1.33</v>
      </c>
    </row>
    <row r="472" spans="1:6" x14ac:dyDescent="0.25">
      <c r="A472" s="11">
        <v>2022</v>
      </c>
      <c r="B472" s="11" t="s">
        <v>260</v>
      </c>
      <c r="C472" s="18">
        <v>7.7</v>
      </c>
      <c r="D472" s="18">
        <v>9</v>
      </c>
      <c r="E472" s="18">
        <v>47.2</v>
      </c>
      <c r="F472" s="15">
        <v>1.42</v>
      </c>
    </row>
    <row r="473" spans="1:6" x14ac:dyDescent="0.25">
      <c r="A473" s="11">
        <v>2022</v>
      </c>
      <c r="B473" s="11" t="s">
        <v>261</v>
      </c>
      <c r="C473" s="18">
        <v>7.3</v>
      </c>
      <c r="D473" s="18">
        <v>9.6</v>
      </c>
      <c r="E473" s="18">
        <v>49.3</v>
      </c>
      <c r="F473" s="15">
        <v>1.5</v>
      </c>
    </row>
    <row r="474" spans="1:6" x14ac:dyDescent="0.25">
      <c r="A474" s="11">
        <v>2022</v>
      </c>
      <c r="B474" s="11" t="s">
        <v>233</v>
      </c>
      <c r="C474" s="18">
        <v>7.5</v>
      </c>
      <c r="D474" s="18">
        <v>9.6999999999999993</v>
      </c>
      <c r="E474" s="18">
        <v>50.6</v>
      </c>
      <c r="F474" s="15">
        <v>1.51</v>
      </c>
    </row>
    <row r="475" spans="1:6" x14ac:dyDescent="0.25">
      <c r="A475" s="11">
        <v>2022</v>
      </c>
      <c r="B475" s="11" t="s">
        <v>240</v>
      </c>
      <c r="C475" s="18">
        <v>8.1</v>
      </c>
      <c r="D475" s="18">
        <v>8.8000000000000007</v>
      </c>
      <c r="E475" s="18">
        <v>45</v>
      </c>
      <c r="F475" s="15">
        <v>1.37</v>
      </c>
    </row>
    <row r="476" spans="1:6" x14ac:dyDescent="0.25">
      <c r="A476" s="11">
        <v>2022</v>
      </c>
      <c r="B476" s="11" t="s">
        <v>262</v>
      </c>
      <c r="C476" s="18">
        <v>8.4</v>
      </c>
      <c r="D476" s="18">
        <v>8.9</v>
      </c>
      <c r="E476" s="18">
        <v>46.1</v>
      </c>
      <c r="F476" s="15">
        <v>1.38</v>
      </c>
    </row>
    <row r="477" spans="1:6" x14ac:dyDescent="0.25">
      <c r="A477" s="11">
        <v>2022</v>
      </c>
      <c r="B477" s="11" t="s">
        <v>263</v>
      </c>
      <c r="C477" s="18">
        <v>8.3000000000000007</v>
      </c>
      <c r="D477" s="18">
        <v>8.5</v>
      </c>
      <c r="E477" s="18">
        <v>44.7</v>
      </c>
      <c r="F477" s="15">
        <v>1.3</v>
      </c>
    </row>
    <row r="478" spans="1:6" x14ac:dyDescent="0.25">
      <c r="A478" s="11">
        <v>2022</v>
      </c>
      <c r="B478" s="11" t="s">
        <v>264</v>
      </c>
      <c r="C478" s="18">
        <v>9.3000000000000007</v>
      </c>
      <c r="D478" s="18">
        <v>8.1999999999999993</v>
      </c>
      <c r="E478" s="18">
        <v>44.9</v>
      </c>
      <c r="F478" s="15">
        <v>1.27</v>
      </c>
    </row>
    <row r="479" spans="1:6" x14ac:dyDescent="0.25">
      <c r="A479" s="11">
        <v>2022</v>
      </c>
      <c r="B479" s="11" t="s">
        <v>242</v>
      </c>
      <c r="C479" s="18">
        <v>7.7</v>
      </c>
      <c r="D479" s="18">
        <v>9.6999999999999993</v>
      </c>
      <c r="E479" s="18">
        <v>50.2</v>
      </c>
      <c r="F479" s="15">
        <v>1.51</v>
      </c>
    </row>
    <row r="480" spans="1:6" x14ac:dyDescent="0.25">
      <c r="A480" s="11">
        <v>2022</v>
      </c>
      <c r="B480" s="11" t="s">
        <v>265</v>
      </c>
      <c r="C480" s="18">
        <v>9.4</v>
      </c>
      <c r="D480" s="18">
        <v>9.8000000000000007</v>
      </c>
      <c r="E480" s="18">
        <v>51.6</v>
      </c>
      <c r="F480" s="15">
        <v>1.52</v>
      </c>
    </row>
    <row r="481" spans="1:6" x14ac:dyDescent="0.25">
      <c r="A481" s="11">
        <v>2022</v>
      </c>
      <c r="B481" s="11" t="s">
        <v>266</v>
      </c>
      <c r="C481" s="18">
        <v>9</v>
      </c>
      <c r="D481" s="18">
        <v>7.7</v>
      </c>
      <c r="E481" s="18">
        <v>41.5</v>
      </c>
      <c r="F481" s="15">
        <v>1.18</v>
      </c>
    </row>
    <row r="482" spans="1:6" x14ac:dyDescent="0.25">
      <c r="A482" s="11">
        <v>2022</v>
      </c>
      <c r="B482" s="11" t="s">
        <v>267</v>
      </c>
      <c r="C482" s="18">
        <v>7.4</v>
      </c>
      <c r="D482" s="18">
        <v>9.1</v>
      </c>
      <c r="E482" s="18">
        <v>48.4</v>
      </c>
      <c r="F482" s="15">
        <v>1.41</v>
      </c>
    </row>
    <row r="483" spans="1:6" x14ac:dyDescent="0.25">
      <c r="A483" s="11">
        <v>2022</v>
      </c>
      <c r="B483" s="11" t="s">
        <v>268</v>
      </c>
      <c r="C483" s="18">
        <v>9</v>
      </c>
      <c r="D483" s="18">
        <v>10.7</v>
      </c>
      <c r="E483" s="18">
        <v>55.8</v>
      </c>
      <c r="F483" s="15">
        <v>1.69</v>
      </c>
    </row>
    <row r="484" spans="1:6" x14ac:dyDescent="0.25">
      <c r="A484" s="11">
        <v>2022</v>
      </c>
      <c r="B484" s="11" t="s">
        <v>269</v>
      </c>
      <c r="C484" s="18">
        <v>8.1999999999999993</v>
      </c>
      <c r="D484" s="18">
        <v>8.8000000000000007</v>
      </c>
      <c r="E484" s="18">
        <v>45.8</v>
      </c>
      <c r="F484" s="15">
        <v>1.36</v>
      </c>
    </row>
    <row r="485" spans="1:6" x14ac:dyDescent="0.25">
      <c r="A485" s="11">
        <v>2022</v>
      </c>
      <c r="B485" s="11" t="s">
        <v>270</v>
      </c>
      <c r="C485" s="18">
        <v>7</v>
      </c>
      <c r="D485" s="18">
        <v>9.8000000000000007</v>
      </c>
      <c r="E485" s="18">
        <v>49.2</v>
      </c>
      <c r="F485" s="15">
        <v>1.53</v>
      </c>
    </row>
    <row r="486" spans="1:6" x14ac:dyDescent="0.25">
      <c r="A486" s="11">
        <v>2023</v>
      </c>
      <c r="B486" s="11" t="s">
        <v>11</v>
      </c>
      <c r="C486" s="18">
        <v>8.3000000000000007</v>
      </c>
      <c r="D486" s="18">
        <v>8.3000000000000007</v>
      </c>
      <c r="E486" s="18">
        <v>43.7</v>
      </c>
      <c r="F486" s="15">
        <v>1.27</v>
      </c>
    </row>
    <row r="487" spans="1:6" x14ac:dyDescent="0.25">
      <c r="A487" s="11">
        <v>2023</v>
      </c>
      <c r="B487" s="11" t="s">
        <v>260</v>
      </c>
      <c r="C487" s="18">
        <v>7.8</v>
      </c>
      <c r="D487" s="18">
        <v>9.1999999999999993</v>
      </c>
      <c r="E487" s="18">
        <v>47.4</v>
      </c>
      <c r="F487" s="15">
        <v>1.43</v>
      </c>
    </row>
    <row r="488" spans="1:6" x14ac:dyDescent="0.25">
      <c r="A488" s="11">
        <v>2023</v>
      </c>
      <c r="B488" s="11" t="s">
        <v>261</v>
      </c>
      <c r="C488" s="18">
        <v>7.1</v>
      </c>
      <c r="D488" s="18">
        <v>9.5</v>
      </c>
      <c r="E488" s="18">
        <v>47.5</v>
      </c>
      <c r="F488" s="15">
        <v>1.47</v>
      </c>
    </row>
    <row r="489" spans="1:6" x14ac:dyDescent="0.25">
      <c r="A489" s="11">
        <v>2023</v>
      </c>
      <c r="B489" s="11" t="s">
        <v>233</v>
      </c>
      <c r="C489" s="18">
        <v>7.7</v>
      </c>
      <c r="D489" s="18">
        <v>10.1</v>
      </c>
      <c r="E489" s="18">
        <v>51.6</v>
      </c>
      <c r="F489" s="15">
        <v>1.57</v>
      </c>
    </row>
    <row r="490" spans="1:6" x14ac:dyDescent="0.25">
      <c r="A490" s="11">
        <v>2023</v>
      </c>
      <c r="B490" s="11" t="s">
        <v>240</v>
      </c>
      <c r="C490" s="18">
        <v>7.9</v>
      </c>
      <c r="D490" s="18">
        <v>8.6999999999999993</v>
      </c>
      <c r="E490" s="18">
        <v>43.4</v>
      </c>
      <c r="F490" s="15">
        <v>1.33</v>
      </c>
    </row>
    <row r="491" spans="1:6" x14ac:dyDescent="0.25">
      <c r="A491" s="11">
        <v>2023</v>
      </c>
      <c r="B491" s="11" t="s">
        <v>262</v>
      </c>
      <c r="C491" s="18">
        <v>7.9</v>
      </c>
      <c r="D491" s="18">
        <v>8.5</v>
      </c>
      <c r="E491" s="18">
        <v>43.3</v>
      </c>
      <c r="F491" s="15">
        <v>1.3</v>
      </c>
    </row>
    <row r="492" spans="1:6" x14ac:dyDescent="0.25">
      <c r="A492" s="11">
        <v>2023</v>
      </c>
      <c r="B492" s="11" t="s">
        <v>263</v>
      </c>
      <c r="C492" s="18">
        <v>8.4</v>
      </c>
      <c r="D492" s="18">
        <v>8.6</v>
      </c>
      <c r="E492" s="18">
        <v>44.8</v>
      </c>
      <c r="F492" s="15">
        <v>1.32</v>
      </c>
    </row>
    <row r="493" spans="1:6" x14ac:dyDescent="0.25">
      <c r="A493" s="11">
        <v>2023</v>
      </c>
      <c r="B493" s="11" t="s">
        <v>264</v>
      </c>
      <c r="C493" s="18">
        <v>8.9</v>
      </c>
      <c r="D493" s="18">
        <v>7.7</v>
      </c>
      <c r="E493" s="18">
        <v>41.8</v>
      </c>
      <c r="F493" s="15">
        <v>1.18</v>
      </c>
    </row>
    <row r="494" spans="1:6" x14ac:dyDescent="0.25">
      <c r="A494" s="11">
        <v>2023</v>
      </c>
      <c r="B494" s="11" t="s">
        <v>242</v>
      </c>
      <c r="C494" s="18">
        <v>7.3</v>
      </c>
      <c r="D494" s="18">
        <v>9.3000000000000007</v>
      </c>
      <c r="E494" s="18">
        <v>47.4</v>
      </c>
      <c r="F494" s="15">
        <v>1.45</v>
      </c>
    </row>
    <row r="495" spans="1:6" x14ac:dyDescent="0.25">
      <c r="A495" s="11">
        <v>2023</v>
      </c>
      <c r="B495" s="11" t="s">
        <v>265</v>
      </c>
      <c r="C495" s="18">
        <v>9.1</v>
      </c>
      <c r="D495" s="18">
        <v>9.5</v>
      </c>
      <c r="E495" s="18">
        <v>49.3</v>
      </c>
      <c r="F495" s="15">
        <v>1.46</v>
      </c>
    </row>
    <row r="496" spans="1:6" x14ac:dyDescent="0.25">
      <c r="A496" s="11">
        <v>2023</v>
      </c>
      <c r="B496" s="11" t="s">
        <v>266</v>
      </c>
      <c r="C496" s="18">
        <v>8.6</v>
      </c>
      <c r="D496" s="18">
        <v>7.3</v>
      </c>
      <c r="E496" s="18">
        <v>39.200000000000003</v>
      </c>
      <c r="F496" s="15">
        <v>1.1200000000000001</v>
      </c>
    </row>
    <row r="497" spans="1:6" x14ac:dyDescent="0.25">
      <c r="A497" s="11">
        <v>2023</v>
      </c>
      <c r="B497" s="11" t="s">
        <v>267</v>
      </c>
      <c r="C497" s="18">
        <v>7.4</v>
      </c>
      <c r="D497" s="18">
        <v>9.1999999999999993</v>
      </c>
      <c r="E497" s="18">
        <v>47.5</v>
      </c>
      <c r="F497" s="15">
        <v>1.42</v>
      </c>
    </row>
    <row r="498" spans="1:6" x14ac:dyDescent="0.25">
      <c r="A498" s="11">
        <v>2023</v>
      </c>
      <c r="B498" s="11" t="s">
        <v>268</v>
      </c>
      <c r="C498" s="18">
        <v>7.7</v>
      </c>
      <c r="D498" s="18">
        <v>9</v>
      </c>
      <c r="E498" s="18">
        <v>46.9</v>
      </c>
      <c r="F498" s="15">
        <v>1.43</v>
      </c>
    </row>
    <row r="499" spans="1:6" x14ac:dyDescent="0.25">
      <c r="A499" s="11">
        <v>2023</v>
      </c>
      <c r="B499" s="11" t="s">
        <v>269</v>
      </c>
      <c r="C499" s="18">
        <v>7.8</v>
      </c>
      <c r="D499" s="18">
        <v>8.4</v>
      </c>
      <c r="E499" s="18">
        <v>43.1</v>
      </c>
      <c r="F499" s="15">
        <v>1.28</v>
      </c>
    </row>
    <row r="500" spans="1:6" x14ac:dyDescent="0.25">
      <c r="A500" s="11">
        <v>2023</v>
      </c>
      <c r="B500" s="11" t="s">
        <v>270</v>
      </c>
      <c r="C500" s="18">
        <v>6.7</v>
      </c>
      <c r="D500" s="18">
        <v>9.6</v>
      </c>
      <c r="E500" s="18">
        <v>47.6</v>
      </c>
      <c r="F500" s="15">
        <v>1.47</v>
      </c>
    </row>
    <row r="501" spans="1:6" x14ac:dyDescent="0.25">
      <c r="A501" s="11">
        <v>2024</v>
      </c>
      <c r="B501" s="11" t="s">
        <v>11</v>
      </c>
      <c r="C501" s="18">
        <v>8.3000000000000007</v>
      </c>
      <c r="D501" s="18">
        <v>8.3000000000000007</v>
      </c>
      <c r="E501" s="18">
        <v>43</v>
      </c>
      <c r="F501" s="15">
        <v>1.25</v>
      </c>
    </row>
    <row r="502" spans="1:6" x14ac:dyDescent="0.25">
      <c r="A502" s="11">
        <v>2024</v>
      </c>
      <c r="B502" s="11" t="s">
        <v>260</v>
      </c>
      <c r="C502" s="18">
        <v>7.6</v>
      </c>
      <c r="D502" s="18">
        <v>9.1999999999999993</v>
      </c>
      <c r="E502" s="18">
        <v>46.4</v>
      </c>
      <c r="F502" s="15">
        <v>1.42</v>
      </c>
    </row>
    <row r="503" spans="1:6" x14ac:dyDescent="0.25">
      <c r="A503" s="11">
        <v>2024</v>
      </c>
      <c r="B503" s="11" t="s">
        <v>261</v>
      </c>
      <c r="C503" s="18">
        <v>7.1</v>
      </c>
      <c r="D503" s="18">
        <v>9.6999999999999993</v>
      </c>
      <c r="E503" s="18">
        <v>47.7</v>
      </c>
      <c r="F503" s="15">
        <v>1.5</v>
      </c>
    </row>
    <row r="504" spans="1:6" x14ac:dyDescent="0.25">
      <c r="A504" s="11">
        <v>2024</v>
      </c>
      <c r="B504" s="11" t="s">
        <v>233</v>
      </c>
      <c r="C504" s="18">
        <v>7.2</v>
      </c>
      <c r="D504" s="18">
        <v>9.6</v>
      </c>
      <c r="E504" s="18">
        <v>48.3</v>
      </c>
      <c r="F504" s="15">
        <v>1.49</v>
      </c>
    </row>
    <row r="505" spans="1:6" x14ac:dyDescent="0.25">
      <c r="A505" s="11">
        <v>2024</v>
      </c>
      <c r="B505" s="11" t="s">
        <v>240</v>
      </c>
      <c r="C505" s="18">
        <v>7.5</v>
      </c>
      <c r="D505" s="18">
        <v>8.3000000000000007</v>
      </c>
      <c r="E505" s="18">
        <v>41.3</v>
      </c>
      <c r="F505" s="15">
        <v>1.26</v>
      </c>
    </row>
    <row r="506" spans="1:6" x14ac:dyDescent="0.25">
      <c r="A506" s="11">
        <v>2024</v>
      </c>
      <c r="B506" s="11" t="s">
        <v>262</v>
      </c>
      <c r="C506" s="18">
        <v>7.8</v>
      </c>
      <c r="D506" s="18">
        <v>8.4</v>
      </c>
      <c r="E506" s="18">
        <v>42.5</v>
      </c>
      <c r="F506" s="15">
        <v>1.27</v>
      </c>
    </row>
    <row r="507" spans="1:6" x14ac:dyDescent="0.25">
      <c r="A507" s="11">
        <v>2024</v>
      </c>
      <c r="B507" s="11" t="s">
        <v>263</v>
      </c>
      <c r="C507" s="18">
        <v>7.6</v>
      </c>
      <c r="D507" s="18">
        <v>7.9</v>
      </c>
      <c r="E507" s="18">
        <v>40.700000000000003</v>
      </c>
      <c r="F507" s="15">
        <v>1.2</v>
      </c>
    </row>
    <row r="508" spans="1:6" x14ac:dyDescent="0.25">
      <c r="A508" s="11">
        <v>2024</v>
      </c>
      <c r="B508" s="11" t="s">
        <v>264</v>
      </c>
      <c r="C508" s="18">
        <v>8.9</v>
      </c>
      <c r="D508" s="18">
        <v>7.7</v>
      </c>
      <c r="E508" s="18">
        <v>41.6</v>
      </c>
      <c r="F508" s="15">
        <v>1.17</v>
      </c>
    </row>
    <row r="509" spans="1:6" x14ac:dyDescent="0.25">
      <c r="A509" s="11">
        <v>2024</v>
      </c>
      <c r="B509" s="11" t="s">
        <v>242</v>
      </c>
      <c r="C509" s="18">
        <v>7.1</v>
      </c>
      <c r="D509" s="18">
        <v>9.1</v>
      </c>
      <c r="E509" s="18">
        <v>45.8</v>
      </c>
      <c r="F509" s="15">
        <v>1.41</v>
      </c>
    </row>
    <row r="510" spans="1:6" x14ac:dyDescent="0.25">
      <c r="A510" s="11">
        <v>2024</v>
      </c>
      <c r="B510" s="11" t="s">
        <v>265</v>
      </c>
      <c r="C510" s="18">
        <v>9.1</v>
      </c>
      <c r="D510" s="18">
        <v>9.6</v>
      </c>
      <c r="E510" s="18">
        <v>49.4</v>
      </c>
      <c r="F510" s="15">
        <v>1.47</v>
      </c>
    </row>
    <row r="511" spans="1:6" x14ac:dyDescent="0.25">
      <c r="A511" s="11">
        <v>2024</v>
      </c>
      <c r="B511" s="11" t="s">
        <v>266</v>
      </c>
      <c r="C511" s="18">
        <v>8.8000000000000007</v>
      </c>
      <c r="D511" s="18">
        <v>7.4</v>
      </c>
      <c r="E511" s="18">
        <v>39.700000000000003</v>
      </c>
      <c r="F511" s="15">
        <v>1.1299999999999999</v>
      </c>
    </row>
    <row r="512" spans="1:6" x14ac:dyDescent="0.25">
      <c r="A512" s="11">
        <v>2024</v>
      </c>
      <c r="B512" s="11" t="s">
        <v>267</v>
      </c>
      <c r="C512" s="18">
        <v>6.6</v>
      </c>
      <c r="D512" s="18">
        <v>8.4</v>
      </c>
      <c r="E512" s="18">
        <v>43.6</v>
      </c>
      <c r="F512" s="15">
        <v>1.33</v>
      </c>
    </row>
    <row r="513" spans="1:6" x14ac:dyDescent="0.25">
      <c r="A513" s="11">
        <v>2024</v>
      </c>
      <c r="B513" s="11" t="s">
        <v>268</v>
      </c>
      <c r="C513" s="18">
        <v>7.2</v>
      </c>
      <c r="D513" s="18">
        <v>8.4</v>
      </c>
      <c r="E513" s="18">
        <v>43.1</v>
      </c>
      <c r="F513" s="15">
        <v>1.29</v>
      </c>
    </row>
    <row r="514" spans="1:6" x14ac:dyDescent="0.25">
      <c r="A514" s="11">
        <v>2024</v>
      </c>
      <c r="B514" s="11" t="s">
        <v>269</v>
      </c>
      <c r="C514" s="18">
        <v>8</v>
      </c>
      <c r="D514" s="18">
        <v>8.6999999999999993</v>
      </c>
      <c r="E514" s="18">
        <v>44.1</v>
      </c>
      <c r="F514" s="15">
        <v>1.32</v>
      </c>
    </row>
    <row r="515" spans="1:6" x14ac:dyDescent="0.25">
      <c r="A515" s="11">
        <v>2024</v>
      </c>
      <c r="B515" s="11" t="s">
        <v>270</v>
      </c>
      <c r="C515" s="18">
        <v>6.8</v>
      </c>
      <c r="D515" s="18">
        <v>9.8000000000000007</v>
      </c>
      <c r="E515" s="18">
        <v>48.5</v>
      </c>
      <c r="F515" s="15">
        <v>1.51</v>
      </c>
    </row>
  </sheetData>
  <pageMargins left="0.7" right="0.7" top="0.75" bottom="0.75" header="0.3" footer="0.3"/>
  <pageSetup paperSize="9" orientation="portrait" horizontalDpi="300" verticalDpi="300"/>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127"/>
  <sheetViews>
    <sheetView workbookViewId="0"/>
  </sheetViews>
  <sheetFormatPr defaultColWidth="11.6328125" defaultRowHeight="15" x14ac:dyDescent="0.25"/>
  <cols>
    <col min="1" max="1" width="10.6328125" bestFit="1" customWidth="1"/>
    <col min="2" max="2" width="21.6328125" bestFit="1" customWidth="1"/>
    <col min="3" max="8" width="12.7265625" customWidth="1"/>
  </cols>
  <sheetData>
    <row r="1" spans="1:8" ht="21" x14ac:dyDescent="0.4">
      <c r="A1" s="5" t="s">
        <v>286</v>
      </c>
    </row>
    <row r="2" spans="1:8" x14ac:dyDescent="0.25">
      <c r="A2" t="s">
        <v>29</v>
      </c>
    </row>
    <row r="3" spans="1:8" x14ac:dyDescent="0.25">
      <c r="A3" t="s">
        <v>278</v>
      </c>
    </row>
    <row r="4" spans="1:8" x14ac:dyDescent="0.25">
      <c r="A4" s="16" t="str">
        <f>HYPERLINK("#'Contents'!A1", "back to contents")</f>
        <v>back to contents</v>
      </c>
    </row>
    <row r="5" spans="1:8" ht="31.2" x14ac:dyDescent="0.3">
      <c r="A5" s="10" t="s">
        <v>69</v>
      </c>
      <c r="B5" s="10" t="s">
        <v>279</v>
      </c>
      <c r="C5" s="12" t="s">
        <v>287</v>
      </c>
      <c r="D5" s="12" t="s">
        <v>288</v>
      </c>
      <c r="E5" s="14" t="s">
        <v>289</v>
      </c>
      <c r="F5" s="14" t="s">
        <v>290</v>
      </c>
      <c r="G5" s="14" t="s">
        <v>291</v>
      </c>
      <c r="H5" s="14" t="s">
        <v>292</v>
      </c>
    </row>
    <row r="6" spans="1:8" x14ac:dyDescent="0.25">
      <c r="A6" s="11">
        <v>1991</v>
      </c>
      <c r="B6" s="11" t="s">
        <v>11</v>
      </c>
      <c r="C6" s="18">
        <v>33.299999999999997</v>
      </c>
      <c r="D6" s="18">
        <v>82.3</v>
      </c>
      <c r="E6" s="18">
        <v>116.5</v>
      </c>
      <c r="F6" s="18">
        <v>78.3</v>
      </c>
      <c r="G6" s="18">
        <v>26.8</v>
      </c>
      <c r="H6" s="18">
        <v>4</v>
      </c>
    </row>
    <row r="7" spans="1:8" x14ac:dyDescent="0.25">
      <c r="A7" s="11">
        <v>1991</v>
      </c>
      <c r="B7" s="11" t="s">
        <v>227</v>
      </c>
      <c r="C7" s="18">
        <v>27.9</v>
      </c>
      <c r="D7" s="18">
        <v>55.7</v>
      </c>
      <c r="E7" s="18">
        <v>101.9</v>
      </c>
      <c r="F7" s="18">
        <v>78.7</v>
      </c>
      <c r="G7" s="18">
        <v>29</v>
      </c>
      <c r="H7" s="18">
        <v>3.7</v>
      </c>
    </row>
    <row r="8" spans="1:8" x14ac:dyDescent="0.25">
      <c r="A8" s="11">
        <v>1991</v>
      </c>
      <c r="B8" s="11" t="s">
        <v>228</v>
      </c>
      <c r="C8" s="18">
        <v>21.9</v>
      </c>
      <c r="D8" s="18">
        <v>103.8</v>
      </c>
      <c r="E8" s="18">
        <v>142.80000000000001</v>
      </c>
      <c r="F8" s="18">
        <v>83.9</v>
      </c>
      <c r="G8" s="18">
        <v>21.9</v>
      </c>
      <c r="H8" s="18">
        <v>4.8</v>
      </c>
    </row>
    <row r="9" spans="1:8" x14ac:dyDescent="0.25">
      <c r="A9" s="11">
        <v>1991</v>
      </c>
      <c r="B9" s="11" t="s">
        <v>229</v>
      </c>
      <c r="C9" s="18">
        <v>34</v>
      </c>
      <c r="D9" s="18">
        <v>98.9</v>
      </c>
      <c r="E9" s="18">
        <v>134.9</v>
      </c>
      <c r="F9" s="18">
        <v>73.900000000000006</v>
      </c>
      <c r="G9" s="18">
        <v>21.5</v>
      </c>
      <c r="H9" s="18">
        <v>1.4</v>
      </c>
    </row>
    <row r="10" spans="1:8" x14ac:dyDescent="0.25">
      <c r="A10" s="11">
        <v>1991</v>
      </c>
      <c r="B10" s="11" t="s">
        <v>230</v>
      </c>
      <c r="C10" s="18">
        <v>33</v>
      </c>
      <c r="D10" s="18">
        <v>106.9</v>
      </c>
      <c r="E10" s="18">
        <v>132.30000000000001</v>
      </c>
      <c r="F10" s="18">
        <v>88.4</v>
      </c>
      <c r="G10" s="18">
        <v>33.299999999999997</v>
      </c>
      <c r="H10" s="18">
        <v>3.9</v>
      </c>
    </row>
    <row r="11" spans="1:8" x14ac:dyDescent="0.25">
      <c r="A11" s="11">
        <v>1991</v>
      </c>
      <c r="B11" s="11" t="s">
        <v>231</v>
      </c>
      <c r="C11" s="18">
        <v>27.6</v>
      </c>
      <c r="D11" s="18">
        <v>51.3</v>
      </c>
      <c r="E11" s="18">
        <v>93.9</v>
      </c>
      <c r="F11" s="18">
        <v>91</v>
      </c>
      <c r="G11" s="18">
        <v>36.1</v>
      </c>
      <c r="H11" s="18">
        <v>5.6</v>
      </c>
    </row>
    <row r="12" spans="1:8" x14ac:dyDescent="0.25">
      <c r="A12" s="11">
        <v>1991</v>
      </c>
      <c r="B12" s="11" t="s">
        <v>232</v>
      </c>
      <c r="C12" s="18">
        <v>40</v>
      </c>
      <c r="D12" s="18">
        <v>105.1</v>
      </c>
      <c r="E12" s="18">
        <v>134</v>
      </c>
      <c r="F12" s="18">
        <v>63.3</v>
      </c>
      <c r="G12" s="18">
        <v>25.2</v>
      </c>
      <c r="H12" s="18">
        <v>3.2</v>
      </c>
    </row>
    <row r="13" spans="1:8" x14ac:dyDescent="0.25">
      <c r="A13" s="11">
        <v>1991</v>
      </c>
      <c r="B13" s="11" t="s">
        <v>233</v>
      </c>
      <c r="C13" s="18">
        <v>30.8</v>
      </c>
      <c r="D13" s="18">
        <v>105.9</v>
      </c>
      <c r="E13" s="18">
        <v>123.7</v>
      </c>
      <c r="F13" s="18">
        <v>70.400000000000006</v>
      </c>
      <c r="G13" s="18">
        <v>22.3</v>
      </c>
      <c r="H13" s="18">
        <v>4.0999999999999996</v>
      </c>
    </row>
    <row r="14" spans="1:8" x14ac:dyDescent="0.25">
      <c r="A14" s="11">
        <v>1991</v>
      </c>
      <c r="B14" s="11" t="s">
        <v>234</v>
      </c>
      <c r="C14" s="18">
        <v>39.200000000000003</v>
      </c>
      <c r="D14" s="18">
        <v>85.9</v>
      </c>
      <c r="E14" s="18">
        <v>100.9</v>
      </c>
      <c r="F14" s="18">
        <v>67.900000000000006</v>
      </c>
      <c r="G14" s="18">
        <v>23.1</v>
      </c>
      <c r="H14" s="18">
        <v>5.0999999999999996</v>
      </c>
    </row>
    <row r="15" spans="1:8" x14ac:dyDescent="0.25">
      <c r="A15" s="11">
        <v>1991</v>
      </c>
      <c r="B15" s="11" t="s">
        <v>235</v>
      </c>
      <c r="C15" s="18">
        <v>48.9</v>
      </c>
      <c r="D15" s="18">
        <v>105.8</v>
      </c>
      <c r="E15" s="18">
        <v>118.6</v>
      </c>
      <c r="F15" s="18">
        <v>70.599999999999994</v>
      </c>
      <c r="G15" s="18">
        <v>21.7</v>
      </c>
      <c r="H15" s="18">
        <v>3.1</v>
      </c>
    </row>
    <row r="16" spans="1:8" x14ac:dyDescent="0.25">
      <c r="A16" s="11">
        <v>1991</v>
      </c>
      <c r="B16" s="11" t="s">
        <v>236</v>
      </c>
      <c r="C16" s="18">
        <v>13.7</v>
      </c>
      <c r="D16" s="18">
        <v>49.2</v>
      </c>
      <c r="E16" s="18">
        <v>141.19999999999999</v>
      </c>
      <c r="F16" s="18">
        <v>104.1</v>
      </c>
      <c r="G16" s="18">
        <v>39.6</v>
      </c>
      <c r="H16" s="18">
        <v>4.4000000000000004</v>
      </c>
    </row>
    <row r="17" spans="1:8" x14ac:dyDescent="0.25">
      <c r="A17" s="11">
        <v>1991</v>
      </c>
      <c r="B17" s="11" t="s">
        <v>237</v>
      </c>
      <c r="C17" s="18">
        <v>30</v>
      </c>
      <c r="D17" s="18">
        <v>91.1</v>
      </c>
      <c r="E17" s="18">
        <v>126.7</v>
      </c>
      <c r="F17" s="18">
        <v>90.7</v>
      </c>
      <c r="G17" s="18">
        <v>27.2</v>
      </c>
      <c r="H17" s="18">
        <v>3.6</v>
      </c>
    </row>
    <row r="18" spans="1:8" x14ac:dyDescent="0.25">
      <c r="A18" s="11">
        <v>1991</v>
      </c>
      <c r="B18" s="11" t="s">
        <v>238</v>
      </c>
      <c r="C18" s="18">
        <v>9.6999999999999993</v>
      </c>
      <c r="D18" s="18">
        <v>46.8</v>
      </c>
      <c r="E18" s="18">
        <v>140.30000000000001</v>
      </c>
      <c r="F18" s="18">
        <v>115.5</v>
      </c>
      <c r="G18" s="18">
        <v>35.4</v>
      </c>
      <c r="H18" s="18">
        <v>5.5</v>
      </c>
    </row>
    <row r="19" spans="1:8" x14ac:dyDescent="0.25">
      <c r="A19" s="11">
        <v>1991</v>
      </c>
      <c r="B19" s="11" t="s">
        <v>239</v>
      </c>
      <c r="C19" s="18">
        <v>34.799999999999997</v>
      </c>
      <c r="D19" s="18">
        <v>91.5</v>
      </c>
      <c r="E19" s="18">
        <v>127</v>
      </c>
      <c r="F19" s="18">
        <v>73.099999999999994</v>
      </c>
      <c r="G19" s="18">
        <v>21.3</v>
      </c>
      <c r="H19" s="18">
        <v>2.1</v>
      </c>
    </row>
    <row r="20" spans="1:8" x14ac:dyDescent="0.25">
      <c r="A20" s="11">
        <v>1991</v>
      </c>
      <c r="B20" s="11" t="s">
        <v>240</v>
      </c>
      <c r="C20" s="18">
        <v>37.1</v>
      </c>
      <c r="D20" s="18">
        <v>87.7</v>
      </c>
      <c r="E20" s="18">
        <v>120</v>
      </c>
      <c r="F20" s="18">
        <v>67.8</v>
      </c>
      <c r="G20" s="18">
        <v>20.5</v>
      </c>
      <c r="H20" s="18">
        <v>3.1</v>
      </c>
    </row>
    <row r="21" spans="1:8" x14ac:dyDescent="0.25">
      <c r="A21" s="11">
        <v>1991</v>
      </c>
      <c r="B21" s="11" t="s">
        <v>241</v>
      </c>
      <c r="C21" s="18">
        <v>46.1</v>
      </c>
      <c r="D21" s="18">
        <v>79.7</v>
      </c>
      <c r="E21" s="18">
        <v>101.1</v>
      </c>
      <c r="F21" s="18">
        <v>73</v>
      </c>
      <c r="G21" s="18">
        <v>31.8</v>
      </c>
      <c r="H21" s="18">
        <v>5.8</v>
      </c>
    </row>
    <row r="22" spans="1:8" x14ac:dyDescent="0.25">
      <c r="A22" s="11">
        <v>1991</v>
      </c>
      <c r="B22" s="11" t="s">
        <v>242</v>
      </c>
      <c r="C22" s="18">
        <v>30.3</v>
      </c>
      <c r="D22" s="18">
        <v>103.2</v>
      </c>
      <c r="E22" s="18">
        <v>122.3</v>
      </c>
      <c r="F22" s="18">
        <v>82.8</v>
      </c>
      <c r="G22" s="18">
        <v>27.8</v>
      </c>
      <c r="H22" s="18">
        <v>5</v>
      </c>
    </row>
    <row r="23" spans="1:8" x14ac:dyDescent="0.25">
      <c r="A23" s="11">
        <v>1991</v>
      </c>
      <c r="B23" s="11" t="s">
        <v>243</v>
      </c>
      <c r="C23" s="18">
        <v>40.5</v>
      </c>
      <c r="D23" s="18">
        <v>84.6</v>
      </c>
      <c r="E23" s="18">
        <v>113.2</v>
      </c>
      <c r="F23" s="18">
        <v>73.8</v>
      </c>
      <c r="G23" s="18">
        <v>25.8</v>
      </c>
      <c r="H23" s="18">
        <v>4.5999999999999996</v>
      </c>
    </row>
    <row r="24" spans="1:8" x14ac:dyDescent="0.25">
      <c r="A24" s="11">
        <v>1991</v>
      </c>
      <c r="B24" s="11" t="s">
        <v>244</v>
      </c>
      <c r="C24" s="18">
        <v>23.4</v>
      </c>
      <c r="D24" s="18">
        <v>87.9</v>
      </c>
      <c r="E24" s="18">
        <v>150.5</v>
      </c>
      <c r="F24" s="18">
        <v>73.599999999999994</v>
      </c>
      <c r="G24" s="18">
        <v>26.3</v>
      </c>
      <c r="H24" s="18">
        <v>2.4</v>
      </c>
    </row>
    <row r="25" spans="1:8" x14ac:dyDescent="0.25">
      <c r="A25" s="11">
        <v>1991</v>
      </c>
      <c r="B25" s="11" t="s">
        <v>245</v>
      </c>
      <c r="C25" s="18">
        <v>35.9</v>
      </c>
      <c r="D25" s="18">
        <v>124.5</v>
      </c>
      <c r="E25" s="18">
        <v>136.6</v>
      </c>
      <c r="F25" s="18">
        <v>69.2</v>
      </c>
      <c r="G25" s="18">
        <v>27.1</v>
      </c>
      <c r="H25" s="18">
        <v>6.6</v>
      </c>
    </row>
    <row r="26" spans="1:8" x14ac:dyDescent="0.25">
      <c r="A26" s="11">
        <v>1991</v>
      </c>
      <c r="B26" s="11" t="s">
        <v>246</v>
      </c>
      <c r="C26" s="18">
        <v>23.9</v>
      </c>
      <c r="D26" s="18">
        <v>95</v>
      </c>
      <c r="E26" s="18">
        <v>114.5</v>
      </c>
      <c r="F26" s="18">
        <v>104</v>
      </c>
      <c r="G26" s="18">
        <v>35.299999999999997</v>
      </c>
      <c r="H26" s="18">
        <v>5.2</v>
      </c>
    </row>
    <row r="27" spans="1:8" x14ac:dyDescent="0.25">
      <c r="A27" s="11">
        <v>1991</v>
      </c>
      <c r="B27" s="11" t="s">
        <v>247</v>
      </c>
      <c r="C27" s="18">
        <v>36.9</v>
      </c>
      <c r="D27" s="18">
        <v>105.8</v>
      </c>
      <c r="E27" s="18">
        <v>124.2</v>
      </c>
      <c r="F27" s="18">
        <v>68.099999999999994</v>
      </c>
      <c r="G27" s="18">
        <v>25.1</v>
      </c>
      <c r="H27" s="18">
        <v>2.8</v>
      </c>
    </row>
    <row r="28" spans="1:8" x14ac:dyDescent="0.25">
      <c r="A28" s="11">
        <v>1991</v>
      </c>
      <c r="B28" s="11" t="s">
        <v>248</v>
      </c>
      <c r="C28" s="18">
        <v>35.799999999999997</v>
      </c>
      <c r="D28" s="18">
        <v>88.6</v>
      </c>
      <c r="E28" s="18">
        <v>121.6</v>
      </c>
      <c r="F28" s="18">
        <v>70.7</v>
      </c>
      <c r="G28" s="18">
        <v>22.4</v>
      </c>
      <c r="H28" s="18">
        <v>2.9</v>
      </c>
    </row>
    <row r="29" spans="1:8" x14ac:dyDescent="0.25">
      <c r="A29" s="11">
        <v>1991</v>
      </c>
      <c r="B29" s="11" t="s">
        <v>249</v>
      </c>
      <c r="C29" s="18">
        <v>26.2</v>
      </c>
      <c r="D29" s="18">
        <v>100.4</v>
      </c>
      <c r="E29" s="18">
        <v>133.30000000000001</v>
      </c>
      <c r="F29" s="18">
        <v>79.2</v>
      </c>
      <c r="G29" s="18">
        <v>23.1</v>
      </c>
      <c r="H29" s="18">
        <v>11.3</v>
      </c>
    </row>
    <row r="30" spans="1:8" x14ac:dyDescent="0.25">
      <c r="A30" s="11">
        <v>1991</v>
      </c>
      <c r="B30" s="11" t="s">
        <v>250</v>
      </c>
      <c r="C30" s="18">
        <v>25.9</v>
      </c>
      <c r="D30" s="18">
        <v>97.9</v>
      </c>
      <c r="E30" s="18">
        <v>133.69999999999999</v>
      </c>
      <c r="F30" s="18">
        <v>81.099999999999994</v>
      </c>
      <c r="G30" s="18">
        <v>26.8</v>
      </c>
      <c r="H30" s="18">
        <v>3.4</v>
      </c>
    </row>
    <row r="31" spans="1:8" x14ac:dyDescent="0.25">
      <c r="A31" s="11">
        <v>1991</v>
      </c>
      <c r="B31" s="11" t="s">
        <v>251</v>
      </c>
      <c r="C31" s="18">
        <v>27.8</v>
      </c>
      <c r="D31" s="18">
        <v>75.400000000000006</v>
      </c>
      <c r="E31" s="18">
        <v>107.1</v>
      </c>
      <c r="F31" s="18">
        <v>82.8</v>
      </c>
      <c r="G31" s="18">
        <v>27.7</v>
      </c>
      <c r="H31" s="18">
        <v>3</v>
      </c>
    </row>
    <row r="32" spans="1:8" x14ac:dyDescent="0.25">
      <c r="A32" s="11">
        <v>1991</v>
      </c>
      <c r="B32" s="11" t="s">
        <v>252</v>
      </c>
      <c r="C32" s="18">
        <v>28.4</v>
      </c>
      <c r="D32" s="18">
        <v>82.5</v>
      </c>
      <c r="E32" s="18">
        <v>136.6</v>
      </c>
      <c r="F32" s="18">
        <v>86.5</v>
      </c>
      <c r="G32" s="18">
        <v>25.2</v>
      </c>
      <c r="H32" s="18">
        <v>2.6</v>
      </c>
    </row>
    <row r="33" spans="1:8" x14ac:dyDescent="0.25">
      <c r="A33" s="11">
        <v>1991</v>
      </c>
      <c r="B33" s="11" t="s">
        <v>253</v>
      </c>
      <c r="C33" s="18">
        <v>30.6</v>
      </c>
      <c r="D33" s="18">
        <v>129.69999999999999</v>
      </c>
      <c r="E33" s="18">
        <v>137.30000000000001</v>
      </c>
      <c r="F33" s="18">
        <v>91.5</v>
      </c>
      <c r="G33" s="18">
        <v>31.4</v>
      </c>
      <c r="H33" s="18">
        <v>1.3</v>
      </c>
    </row>
    <row r="34" spans="1:8" x14ac:dyDescent="0.25">
      <c r="A34" s="11">
        <v>1991</v>
      </c>
      <c r="B34" s="11" t="s">
        <v>254</v>
      </c>
      <c r="C34" s="18">
        <v>37</v>
      </c>
      <c r="D34" s="18">
        <v>73.7</v>
      </c>
      <c r="E34" s="18">
        <v>104.3</v>
      </c>
      <c r="F34" s="18">
        <v>78.5</v>
      </c>
      <c r="G34" s="18">
        <v>25.4</v>
      </c>
      <c r="H34" s="18">
        <v>3.8</v>
      </c>
    </row>
    <row r="35" spans="1:8" x14ac:dyDescent="0.25">
      <c r="A35" s="11">
        <v>1991</v>
      </c>
      <c r="B35" s="11" t="s">
        <v>255</v>
      </c>
      <c r="C35" s="18">
        <v>32.4</v>
      </c>
      <c r="D35" s="18">
        <v>86.5</v>
      </c>
      <c r="E35" s="18">
        <v>122.8</v>
      </c>
      <c r="F35" s="18">
        <v>76.900000000000006</v>
      </c>
      <c r="G35" s="18">
        <v>24.7</v>
      </c>
      <c r="H35" s="18">
        <v>3</v>
      </c>
    </row>
    <row r="36" spans="1:8" x14ac:dyDescent="0.25">
      <c r="A36" s="11">
        <v>1991</v>
      </c>
      <c r="B36" s="11" t="s">
        <v>256</v>
      </c>
      <c r="C36" s="18">
        <v>27.4</v>
      </c>
      <c r="D36" s="18">
        <v>71.7</v>
      </c>
      <c r="E36" s="18">
        <v>109.8</v>
      </c>
      <c r="F36" s="18">
        <v>83.4</v>
      </c>
      <c r="G36" s="18">
        <v>23.7</v>
      </c>
      <c r="H36" s="18">
        <v>4.9000000000000004</v>
      </c>
    </row>
    <row r="37" spans="1:8" x14ac:dyDescent="0.25">
      <c r="A37" s="11">
        <v>1991</v>
      </c>
      <c r="B37" s="11" t="s">
        <v>257</v>
      </c>
      <c r="C37" s="18">
        <v>38</v>
      </c>
      <c r="D37" s="18">
        <v>85.5</v>
      </c>
      <c r="E37" s="18">
        <v>114.8</v>
      </c>
      <c r="F37" s="18">
        <v>70.099999999999994</v>
      </c>
      <c r="G37" s="18">
        <v>22</v>
      </c>
      <c r="H37" s="18">
        <v>4</v>
      </c>
    </row>
    <row r="38" spans="1:8" x14ac:dyDescent="0.25">
      <c r="A38" s="11">
        <v>1991</v>
      </c>
      <c r="B38" s="11" t="s">
        <v>258</v>
      </c>
      <c r="C38" s="18">
        <v>34.200000000000003</v>
      </c>
      <c r="D38" s="18">
        <v>86.1</v>
      </c>
      <c r="E38" s="18">
        <v>123.7</v>
      </c>
      <c r="F38" s="18">
        <v>74.599999999999994</v>
      </c>
      <c r="G38" s="18">
        <v>21.7</v>
      </c>
      <c r="H38" s="18">
        <v>2.7</v>
      </c>
    </row>
    <row r="39" spans="1:8" x14ac:dyDescent="0.25">
      <c r="A39" s="11">
        <v>1992</v>
      </c>
      <c r="B39" s="11" t="s">
        <v>11</v>
      </c>
      <c r="C39" s="18">
        <v>33.1</v>
      </c>
      <c r="D39" s="18">
        <v>77.7</v>
      </c>
      <c r="E39" s="18">
        <v>113.6</v>
      </c>
      <c r="F39" s="18">
        <v>80.7</v>
      </c>
      <c r="G39" s="18">
        <v>27.8</v>
      </c>
      <c r="H39" s="18">
        <v>4</v>
      </c>
    </row>
    <row r="40" spans="1:8" x14ac:dyDescent="0.25">
      <c r="A40" s="11">
        <v>1992</v>
      </c>
      <c r="B40" s="11" t="s">
        <v>227</v>
      </c>
      <c r="C40" s="18">
        <v>29.3</v>
      </c>
      <c r="D40" s="18">
        <v>56.1</v>
      </c>
      <c r="E40" s="18">
        <v>93.8</v>
      </c>
      <c r="F40" s="18">
        <v>80.8</v>
      </c>
      <c r="G40" s="18">
        <v>28.4</v>
      </c>
      <c r="H40" s="18">
        <v>3.8</v>
      </c>
    </row>
    <row r="41" spans="1:8" x14ac:dyDescent="0.25">
      <c r="A41" s="11">
        <v>1992</v>
      </c>
      <c r="B41" s="11" t="s">
        <v>228</v>
      </c>
      <c r="C41" s="18">
        <v>21.6</v>
      </c>
      <c r="D41" s="18">
        <v>91.8</v>
      </c>
      <c r="E41" s="18">
        <v>142.6</v>
      </c>
      <c r="F41" s="18">
        <v>92.8</v>
      </c>
      <c r="G41" s="18">
        <v>27.7</v>
      </c>
      <c r="H41" s="18">
        <v>4.5999999999999996</v>
      </c>
    </row>
    <row r="42" spans="1:8" x14ac:dyDescent="0.25">
      <c r="A42" s="11">
        <v>1992</v>
      </c>
      <c r="B42" s="11" t="s">
        <v>229</v>
      </c>
      <c r="C42" s="18">
        <v>29.6</v>
      </c>
      <c r="D42" s="18">
        <v>98.9</v>
      </c>
      <c r="E42" s="18">
        <v>133.30000000000001</v>
      </c>
      <c r="F42" s="18">
        <v>74.400000000000006</v>
      </c>
      <c r="G42" s="18">
        <v>26.7</v>
      </c>
      <c r="H42" s="18">
        <v>5</v>
      </c>
    </row>
    <row r="43" spans="1:8" x14ac:dyDescent="0.25">
      <c r="A43" s="11">
        <v>1992</v>
      </c>
      <c r="B43" s="11" t="s">
        <v>230</v>
      </c>
      <c r="C43" s="18">
        <v>24.8</v>
      </c>
      <c r="D43" s="18">
        <v>87.8</v>
      </c>
      <c r="E43" s="18">
        <v>135.9</v>
      </c>
      <c r="F43" s="18">
        <v>88.8</v>
      </c>
      <c r="G43" s="18">
        <v>33.5</v>
      </c>
      <c r="H43" s="18">
        <v>4.5</v>
      </c>
    </row>
    <row r="44" spans="1:8" x14ac:dyDescent="0.25">
      <c r="A44" s="11">
        <v>1992</v>
      </c>
      <c r="B44" s="11" t="s">
        <v>231</v>
      </c>
      <c r="C44" s="18">
        <v>24.6</v>
      </c>
      <c r="D44" s="18">
        <v>46</v>
      </c>
      <c r="E44" s="18">
        <v>91.4</v>
      </c>
      <c r="F44" s="18">
        <v>89.5</v>
      </c>
      <c r="G44" s="18">
        <v>38.4</v>
      </c>
      <c r="H44" s="18">
        <v>5.2</v>
      </c>
    </row>
    <row r="45" spans="1:8" x14ac:dyDescent="0.25">
      <c r="A45" s="11">
        <v>1992</v>
      </c>
      <c r="B45" s="11" t="s">
        <v>232</v>
      </c>
      <c r="C45" s="18">
        <v>36.4</v>
      </c>
      <c r="D45" s="18">
        <v>102.9</v>
      </c>
      <c r="E45" s="18">
        <v>141</v>
      </c>
      <c r="F45" s="18">
        <v>74.8</v>
      </c>
      <c r="G45" s="18">
        <v>22</v>
      </c>
      <c r="H45" s="18">
        <v>2.2999999999999998</v>
      </c>
    </row>
    <row r="46" spans="1:8" x14ac:dyDescent="0.25">
      <c r="A46" s="11">
        <v>1992</v>
      </c>
      <c r="B46" s="11" t="s">
        <v>233</v>
      </c>
      <c r="C46" s="18">
        <v>35.5</v>
      </c>
      <c r="D46" s="18">
        <v>100.4</v>
      </c>
      <c r="E46" s="18">
        <v>123.1</v>
      </c>
      <c r="F46" s="18">
        <v>67.8</v>
      </c>
      <c r="G46" s="18">
        <v>24</v>
      </c>
      <c r="H46" s="18">
        <v>3.8</v>
      </c>
    </row>
    <row r="47" spans="1:8" x14ac:dyDescent="0.25">
      <c r="A47" s="11">
        <v>1992</v>
      </c>
      <c r="B47" s="11" t="s">
        <v>234</v>
      </c>
      <c r="C47" s="18">
        <v>41</v>
      </c>
      <c r="D47" s="18">
        <v>81.900000000000006</v>
      </c>
      <c r="E47" s="18">
        <v>101.4</v>
      </c>
      <c r="F47" s="18">
        <v>69.8</v>
      </c>
      <c r="G47" s="18">
        <v>24</v>
      </c>
      <c r="H47" s="18">
        <v>3.1</v>
      </c>
    </row>
    <row r="48" spans="1:8" x14ac:dyDescent="0.25">
      <c r="A48" s="11">
        <v>1992</v>
      </c>
      <c r="B48" s="11" t="s">
        <v>235</v>
      </c>
      <c r="C48" s="18">
        <v>49</v>
      </c>
      <c r="D48" s="18">
        <v>89.4</v>
      </c>
      <c r="E48" s="18">
        <v>122.4</v>
      </c>
      <c r="F48" s="18">
        <v>71.900000000000006</v>
      </c>
      <c r="G48" s="18">
        <v>24.1</v>
      </c>
      <c r="H48" s="18">
        <v>2.6</v>
      </c>
    </row>
    <row r="49" spans="1:8" x14ac:dyDescent="0.25">
      <c r="A49" s="11">
        <v>1992</v>
      </c>
      <c r="B49" s="11" t="s">
        <v>236</v>
      </c>
      <c r="C49" s="18">
        <v>14.7</v>
      </c>
      <c r="D49" s="18">
        <v>46.1</v>
      </c>
      <c r="E49" s="18">
        <v>123.1</v>
      </c>
      <c r="F49" s="18">
        <v>107.4</v>
      </c>
      <c r="G49" s="18">
        <v>34</v>
      </c>
      <c r="H49" s="18">
        <v>3.3</v>
      </c>
    </row>
    <row r="50" spans="1:8" x14ac:dyDescent="0.25">
      <c r="A50" s="11">
        <v>1992</v>
      </c>
      <c r="B50" s="11" t="s">
        <v>237</v>
      </c>
      <c r="C50" s="18">
        <v>24.1</v>
      </c>
      <c r="D50" s="18">
        <v>92.3</v>
      </c>
      <c r="E50" s="18">
        <v>136.30000000000001</v>
      </c>
      <c r="F50" s="18">
        <v>89.9</v>
      </c>
      <c r="G50" s="18">
        <v>33.299999999999997</v>
      </c>
      <c r="H50" s="18">
        <v>4.5999999999999996</v>
      </c>
    </row>
    <row r="51" spans="1:8" x14ac:dyDescent="0.25">
      <c r="A51" s="11">
        <v>1992</v>
      </c>
      <c r="B51" s="11" t="s">
        <v>238</v>
      </c>
      <c r="C51" s="18">
        <v>10.7</v>
      </c>
      <c r="D51" s="18">
        <v>48</v>
      </c>
      <c r="E51" s="18">
        <v>137.30000000000001</v>
      </c>
      <c r="F51" s="18">
        <v>120.9</v>
      </c>
      <c r="G51" s="18">
        <v>35.700000000000003</v>
      </c>
      <c r="H51" s="18">
        <v>5.5</v>
      </c>
    </row>
    <row r="52" spans="1:8" x14ac:dyDescent="0.25">
      <c r="A52" s="11">
        <v>1992</v>
      </c>
      <c r="B52" s="11" t="s">
        <v>239</v>
      </c>
      <c r="C52" s="18">
        <v>31.6</v>
      </c>
      <c r="D52" s="18">
        <v>85</v>
      </c>
      <c r="E52" s="18">
        <v>120.8</v>
      </c>
      <c r="F52" s="18">
        <v>73.2</v>
      </c>
      <c r="G52" s="18">
        <v>23.4</v>
      </c>
      <c r="H52" s="18">
        <v>3.1</v>
      </c>
    </row>
    <row r="53" spans="1:8" x14ac:dyDescent="0.25">
      <c r="A53" s="11">
        <v>1992</v>
      </c>
      <c r="B53" s="11" t="s">
        <v>240</v>
      </c>
      <c r="C53" s="18">
        <v>35.799999999999997</v>
      </c>
      <c r="D53" s="18">
        <v>85.4</v>
      </c>
      <c r="E53" s="18">
        <v>116.3</v>
      </c>
      <c r="F53" s="18">
        <v>69.2</v>
      </c>
      <c r="G53" s="18">
        <v>22.4</v>
      </c>
      <c r="H53" s="18">
        <v>3.1</v>
      </c>
    </row>
    <row r="54" spans="1:8" x14ac:dyDescent="0.25">
      <c r="A54" s="11">
        <v>1992</v>
      </c>
      <c r="B54" s="11" t="s">
        <v>241</v>
      </c>
      <c r="C54" s="18">
        <v>47.4</v>
      </c>
      <c r="D54" s="18">
        <v>76.099999999999994</v>
      </c>
      <c r="E54" s="18">
        <v>94.1</v>
      </c>
      <c r="F54" s="18">
        <v>78.7</v>
      </c>
      <c r="G54" s="18">
        <v>30.6</v>
      </c>
      <c r="H54" s="18">
        <v>5.5</v>
      </c>
    </row>
    <row r="55" spans="1:8" x14ac:dyDescent="0.25">
      <c r="A55" s="11">
        <v>1992</v>
      </c>
      <c r="B55" s="11" t="s">
        <v>242</v>
      </c>
      <c r="C55" s="18">
        <v>32.6</v>
      </c>
      <c r="D55" s="18">
        <v>97.1</v>
      </c>
      <c r="E55" s="18">
        <v>129.9</v>
      </c>
      <c r="F55" s="18">
        <v>77.8</v>
      </c>
      <c r="G55" s="18">
        <v>33</v>
      </c>
      <c r="H55" s="18">
        <v>5.4</v>
      </c>
    </row>
    <row r="56" spans="1:8" x14ac:dyDescent="0.25">
      <c r="A56" s="11">
        <v>1992</v>
      </c>
      <c r="B56" s="11" t="s">
        <v>243</v>
      </c>
      <c r="C56" s="18">
        <v>41.1</v>
      </c>
      <c r="D56" s="18">
        <v>85.2</v>
      </c>
      <c r="E56" s="18">
        <v>114.3</v>
      </c>
      <c r="F56" s="18">
        <v>66.3</v>
      </c>
      <c r="G56" s="18">
        <v>31.2</v>
      </c>
      <c r="H56" s="18">
        <v>2.7</v>
      </c>
    </row>
    <row r="57" spans="1:8" x14ac:dyDescent="0.25">
      <c r="A57" s="11">
        <v>1992</v>
      </c>
      <c r="B57" s="11" t="s">
        <v>244</v>
      </c>
      <c r="C57" s="18">
        <v>30.6</v>
      </c>
      <c r="D57" s="18">
        <v>91.4</v>
      </c>
      <c r="E57" s="18">
        <v>133.69999999999999</v>
      </c>
      <c r="F57" s="18">
        <v>84.3</v>
      </c>
      <c r="G57" s="18">
        <v>25.4</v>
      </c>
      <c r="H57" s="18">
        <v>3.3</v>
      </c>
    </row>
    <row r="58" spans="1:8" x14ac:dyDescent="0.25">
      <c r="A58" s="11">
        <v>1992</v>
      </c>
      <c r="B58" s="11" t="s">
        <v>245</v>
      </c>
      <c r="C58" s="18">
        <v>37.6</v>
      </c>
      <c r="D58" s="18">
        <v>112</v>
      </c>
      <c r="E58" s="18">
        <v>145.6</v>
      </c>
      <c r="F58" s="18">
        <v>71.599999999999994</v>
      </c>
      <c r="G58" s="18">
        <v>21.3</v>
      </c>
      <c r="H58" s="18">
        <v>3.9</v>
      </c>
    </row>
    <row r="59" spans="1:8" x14ac:dyDescent="0.25">
      <c r="A59" s="11">
        <v>1992</v>
      </c>
      <c r="B59" s="11" t="s">
        <v>246</v>
      </c>
      <c r="C59" s="18">
        <v>36.4</v>
      </c>
      <c r="D59" s="18">
        <v>78.8</v>
      </c>
      <c r="E59" s="18">
        <v>121.5</v>
      </c>
      <c r="F59" s="18">
        <v>98.6</v>
      </c>
      <c r="G59" s="18">
        <v>33</v>
      </c>
      <c r="H59" s="18">
        <v>11.6</v>
      </c>
    </row>
    <row r="60" spans="1:8" x14ac:dyDescent="0.25">
      <c r="A60" s="11">
        <v>1992</v>
      </c>
      <c r="B60" s="11" t="s">
        <v>247</v>
      </c>
      <c r="C60" s="18">
        <v>39.1</v>
      </c>
      <c r="D60" s="18">
        <v>105.1</v>
      </c>
      <c r="E60" s="18">
        <v>112.4</v>
      </c>
      <c r="F60" s="18">
        <v>69.599999999999994</v>
      </c>
      <c r="G60" s="18">
        <v>20.8</v>
      </c>
      <c r="H60" s="18">
        <v>4.4000000000000004</v>
      </c>
    </row>
    <row r="61" spans="1:8" x14ac:dyDescent="0.25">
      <c r="A61" s="11">
        <v>1992</v>
      </c>
      <c r="B61" s="11" t="s">
        <v>248</v>
      </c>
      <c r="C61" s="18">
        <v>36.9</v>
      </c>
      <c r="D61" s="18">
        <v>81.8</v>
      </c>
      <c r="E61" s="18">
        <v>112.6</v>
      </c>
      <c r="F61" s="18">
        <v>79.2</v>
      </c>
      <c r="G61" s="18">
        <v>21.9</v>
      </c>
      <c r="H61" s="18">
        <v>3.4</v>
      </c>
    </row>
    <row r="62" spans="1:8" x14ac:dyDescent="0.25">
      <c r="A62" s="11">
        <v>1992</v>
      </c>
      <c r="B62" s="11" t="s">
        <v>249</v>
      </c>
      <c r="C62" s="18">
        <v>25.5</v>
      </c>
      <c r="D62" s="18">
        <v>95.9</v>
      </c>
      <c r="E62" s="18">
        <v>133.9</v>
      </c>
      <c r="F62" s="18">
        <v>87</v>
      </c>
      <c r="G62" s="18">
        <v>27.4</v>
      </c>
      <c r="H62" s="18">
        <v>5.7</v>
      </c>
    </row>
    <row r="63" spans="1:8" x14ac:dyDescent="0.25">
      <c r="A63" s="11">
        <v>1992</v>
      </c>
      <c r="B63" s="11" t="s">
        <v>250</v>
      </c>
      <c r="C63" s="18">
        <v>28</v>
      </c>
      <c r="D63" s="18">
        <v>74.2</v>
      </c>
      <c r="E63" s="18">
        <v>125.5</v>
      </c>
      <c r="F63" s="18">
        <v>90.4</v>
      </c>
      <c r="G63" s="18">
        <v>30.2</v>
      </c>
      <c r="H63" s="18">
        <v>3.8</v>
      </c>
    </row>
    <row r="64" spans="1:8" x14ac:dyDescent="0.25">
      <c r="A64" s="11">
        <v>1992</v>
      </c>
      <c r="B64" s="11" t="s">
        <v>251</v>
      </c>
      <c r="C64" s="18">
        <v>36.299999999999997</v>
      </c>
      <c r="D64" s="18">
        <v>71.099999999999994</v>
      </c>
      <c r="E64" s="18">
        <v>112.5</v>
      </c>
      <c r="F64" s="18">
        <v>89.4</v>
      </c>
      <c r="G64" s="18">
        <v>27.5</v>
      </c>
      <c r="H64" s="18">
        <v>2.5</v>
      </c>
    </row>
    <row r="65" spans="1:8" x14ac:dyDescent="0.25">
      <c r="A65" s="11">
        <v>1992</v>
      </c>
      <c r="B65" s="11" t="s">
        <v>252</v>
      </c>
      <c r="C65" s="18">
        <v>23.8</v>
      </c>
      <c r="D65" s="18">
        <v>79.900000000000006</v>
      </c>
      <c r="E65" s="18">
        <v>128.30000000000001</v>
      </c>
      <c r="F65" s="18">
        <v>78.2</v>
      </c>
      <c r="G65" s="18">
        <v>28</v>
      </c>
      <c r="H65" s="18">
        <v>3.9</v>
      </c>
    </row>
    <row r="66" spans="1:8" x14ac:dyDescent="0.25">
      <c r="A66" s="11">
        <v>1992</v>
      </c>
      <c r="B66" s="11" t="s">
        <v>253</v>
      </c>
      <c r="C66" s="18">
        <v>27.9</v>
      </c>
      <c r="D66" s="18">
        <v>140.69999999999999</v>
      </c>
      <c r="E66" s="18">
        <v>125.2</v>
      </c>
      <c r="F66" s="18">
        <v>86.3</v>
      </c>
      <c r="G66" s="18">
        <v>38.200000000000003</v>
      </c>
      <c r="H66" s="18">
        <v>2.6</v>
      </c>
    </row>
    <row r="67" spans="1:8" x14ac:dyDescent="0.25">
      <c r="A67" s="11">
        <v>1992</v>
      </c>
      <c r="B67" s="11" t="s">
        <v>254</v>
      </c>
      <c r="C67" s="18">
        <v>26.5</v>
      </c>
      <c r="D67" s="18">
        <v>81.400000000000006</v>
      </c>
      <c r="E67" s="18">
        <v>119.9</v>
      </c>
      <c r="F67" s="18">
        <v>78.2</v>
      </c>
      <c r="G67" s="18">
        <v>25.4</v>
      </c>
      <c r="H67" s="18">
        <v>3.3</v>
      </c>
    </row>
    <row r="68" spans="1:8" x14ac:dyDescent="0.25">
      <c r="A68" s="11">
        <v>1992</v>
      </c>
      <c r="B68" s="11" t="s">
        <v>255</v>
      </c>
      <c r="C68" s="18">
        <v>30.6</v>
      </c>
      <c r="D68" s="18">
        <v>76.7</v>
      </c>
      <c r="E68" s="18">
        <v>117.7</v>
      </c>
      <c r="F68" s="18">
        <v>80.3</v>
      </c>
      <c r="G68" s="18">
        <v>24.8</v>
      </c>
      <c r="H68" s="18">
        <v>3.7</v>
      </c>
    </row>
    <row r="69" spans="1:8" x14ac:dyDescent="0.25">
      <c r="A69" s="11">
        <v>1992</v>
      </c>
      <c r="B69" s="11" t="s">
        <v>256</v>
      </c>
      <c r="C69" s="18">
        <v>25.9</v>
      </c>
      <c r="D69" s="18">
        <v>55.5</v>
      </c>
      <c r="E69" s="18">
        <v>109.5</v>
      </c>
      <c r="F69" s="18">
        <v>93.2</v>
      </c>
      <c r="G69" s="18">
        <v>24.1</v>
      </c>
      <c r="H69" s="18">
        <v>4.0999999999999996</v>
      </c>
    </row>
    <row r="70" spans="1:8" x14ac:dyDescent="0.25">
      <c r="A70" s="11">
        <v>1992</v>
      </c>
      <c r="B70" s="11" t="s">
        <v>257</v>
      </c>
      <c r="C70" s="18">
        <v>37.700000000000003</v>
      </c>
      <c r="D70" s="18">
        <v>90.8</v>
      </c>
      <c r="E70" s="18">
        <v>118.9</v>
      </c>
      <c r="F70" s="18">
        <v>73.900000000000006</v>
      </c>
      <c r="G70" s="18">
        <v>26.1</v>
      </c>
      <c r="H70" s="18">
        <v>2.2000000000000002</v>
      </c>
    </row>
    <row r="71" spans="1:8" x14ac:dyDescent="0.25">
      <c r="A71" s="11">
        <v>1992</v>
      </c>
      <c r="B71" s="11" t="s">
        <v>258</v>
      </c>
      <c r="C71" s="18">
        <v>31.1</v>
      </c>
      <c r="D71" s="18">
        <v>94.7</v>
      </c>
      <c r="E71" s="18">
        <v>126.4</v>
      </c>
      <c r="F71" s="18">
        <v>69.7</v>
      </c>
      <c r="G71" s="18">
        <v>20.5</v>
      </c>
      <c r="H71" s="18">
        <v>3.7</v>
      </c>
    </row>
    <row r="72" spans="1:8" x14ac:dyDescent="0.25">
      <c r="A72" s="11">
        <v>1993</v>
      </c>
      <c r="B72" s="11" t="s">
        <v>11</v>
      </c>
      <c r="C72" s="18">
        <v>31.2</v>
      </c>
      <c r="D72" s="18">
        <v>72.5</v>
      </c>
      <c r="E72" s="18">
        <v>110</v>
      </c>
      <c r="F72" s="18">
        <v>79.8</v>
      </c>
      <c r="G72" s="18">
        <v>28</v>
      </c>
      <c r="H72" s="18">
        <v>4.3</v>
      </c>
    </row>
    <row r="73" spans="1:8" x14ac:dyDescent="0.25">
      <c r="A73" s="11">
        <v>1993</v>
      </c>
      <c r="B73" s="11" t="s">
        <v>227</v>
      </c>
      <c r="C73" s="18">
        <v>25.1</v>
      </c>
      <c r="D73" s="18">
        <v>51.6</v>
      </c>
      <c r="E73" s="18">
        <v>93.5</v>
      </c>
      <c r="F73" s="18">
        <v>80.400000000000006</v>
      </c>
      <c r="G73" s="18">
        <v>28.8</v>
      </c>
      <c r="H73" s="18">
        <v>4.8</v>
      </c>
    </row>
    <row r="74" spans="1:8" x14ac:dyDescent="0.25">
      <c r="A74" s="11">
        <v>1993</v>
      </c>
      <c r="B74" s="11" t="s">
        <v>228</v>
      </c>
      <c r="C74" s="18">
        <v>18.3</v>
      </c>
      <c r="D74" s="18">
        <v>80.3</v>
      </c>
      <c r="E74" s="18">
        <v>138.9</v>
      </c>
      <c r="F74" s="18">
        <v>85.4</v>
      </c>
      <c r="G74" s="18">
        <v>27.3</v>
      </c>
      <c r="H74" s="18">
        <v>4.4000000000000004</v>
      </c>
    </row>
    <row r="75" spans="1:8" x14ac:dyDescent="0.25">
      <c r="A75" s="11">
        <v>1993</v>
      </c>
      <c r="B75" s="11" t="s">
        <v>229</v>
      </c>
      <c r="C75" s="18">
        <v>24.2</v>
      </c>
      <c r="D75" s="18">
        <v>88.7</v>
      </c>
      <c r="E75" s="18">
        <v>139.69999999999999</v>
      </c>
      <c r="F75" s="18">
        <v>80</v>
      </c>
      <c r="G75" s="18">
        <v>24.2</v>
      </c>
      <c r="H75" s="18">
        <v>3.8</v>
      </c>
    </row>
    <row r="76" spans="1:8" x14ac:dyDescent="0.25">
      <c r="A76" s="11">
        <v>1993</v>
      </c>
      <c r="B76" s="11" t="s">
        <v>230</v>
      </c>
      <c r="C76" s="18">
        <v>24.9</v>
      </c>
      <c r="D76" s="18">
        <v>75.5</v>
      </c>
      <c r="E76" s="18">
        <v>115.2</v>
      </c>
      <c r="F76" s="18">
        <v>89.1</v>
      </c>
      <c r="G76" s="18">
        <v>29.9</v>
      </c>
      <c r="H76" s="18">
        <v>5</v>
      </c>
    </row>
    <row r="77" spans="1:8" x14ac:dyDescent="0.25">
      <c r="A77" s="11">
        <v>1993</v>
      </c>
      <c r="B77" s="11" t="s">
        <v>231</v>
      </c>
      <c r="C77" s="18">
        <v>23.5</v>
      </c>
      <c r="D77" s="18">
        <v>42.6</v>
      </c>
      <c r="E77" s="18">
        <v>85.4</v>
      </c>
      <c r="F77" s="18">
        <v>87.3</v>
      </c>
      <c r="G77" s="18">
        <v>35.4</v>
      </c>
      <c r="H77" s="18">
        <v>7</v>
      </c>
    </row>
    <row r="78" spans="1:8" x14ac:dyDescent="0.25">
      <c r="A78" s="11">
        <v>1993</v>
      </c>
      <c r="B78" s="11" t="s">
        <v>232</v>
      </c>
      <c r="C78" s="18">
        <v>40.299999999999997</v>
      </c>
      <c r="D78" s="18">
        <v>89.2</v>
      </c>
      <c r="E78" s="18">
        <v>126.5</v>
      </c>
      <c r="F78" s="18">
        <v>73.7</v>
      </c>
      <c r="G78" s="18">
        <v>24.8</v>
      </c>
      <c r="H78" s="18">
        <v>2.9</v>
      </c>
    </row>
    <row r="79" spans="1:8" x14ac:dyDescent="0.25">
      <c r="A79" s="11">
        <v>1993</v>
      </c>
      <c r="B79" s="11" t="s">
        <v>233</v>
      </c>
      <c r="C79" s="18">
        <v>35</v>
      </c>
      <c r="D79" s="18">
        <v>93.8</v>
      </c>
      <c r="E79" s="18">
        <v>119.6</v>
      </c>
      <c r="F79" s="18">
        <v>74.900000000000006</v>
      </c>
      <c r="G79" s="18">
        <v>21.7</v>
      </c>
      <c r="H79" s="18">
        <v>2.2000000000000002</v>
      </c>
    </row>
    <row r="80" spans="1:8" x14ac:dyDescent="0.25">
      <c r="A80" s="11">
        <v>1993</v>
      </c>
      <c r="B80" s="11" t="s">
        <v>234</v>
      </c>
      <c r="C80" s="18">
        <v>48.3</v>
      </c>
      <c r="D80" s="18">
        <v>73</v>
      </c>
      <c r="E80" s="18">
        <v>101.4</v>
      </c>
      <c r="F80" s="18">
        <v>67.3</v>
      </c>
      <c r="G80" s="18">
        <v>21.7</v>
      </c>
      <c r="H80" s="18">
        <v>3.8</v>
      </c>
    </row>
    <row r="81" spans="1:8" x14ac:dyDescent="0.25">
      <c r="A81" s="11">
        <v>1993</v>
      </c>
      <c r="B81" s="11" t="s">
        <v>235</v>
      </c>
      <c r="C81" s="18">
        <v>51.4</v>
      </c>
      <c r="D81" s="18">
        <v>92.5</v>
      </c>
      <c r="E81" s="18">
        <v>111.9</v>
      </c>
      <c r="F81" s="18">
        <v>72.5</v>
      </c>
      <c r="G81" s="18">
        <v>19.600000000000001</v>
      </c>
      <c r="H81" s="18">
        <v>2.2000000000000002</v>
      </c>
    </row>
    <row r="82" spans="1:8" x14ac:dyDescent="0.25">
      <c r="A82" s="11">
        <v>1993</v>
      </c>
      <c r="B82" s="11" t="s">
        <v>236</v>
      </c>
      <c r="C82" s="18">
        <v>12.2</v>
      </c>
      <c r="D82" s="18">
        <v>40.799999999999997</v>
      </c>
      <c r="E82" s="18">
        <v>124.9</v>
      </c>
      <c r="F82" s="18">
        <v>106.8</v>
      </c>
      <c r="G82" s="18">
        <v>33.9</v>
      </c>
      <c r="H82" s="18">
        <v>3.3</v>
      </c>
    </row>
    <row r="83" spans="1:8" x14ac:dyDescent="0.25">
      <c r="A83" s="11">
        <v>1993</v>
      </c>
      <c r="B83" s="11" t="s">
        <v>237</v>
      </c>
      <c r="C83" s="18">
        <v>29.7</v>
      </c>
      <c r="D83" s="18">
        <v>83.1</v>
      </c>
      <c r="E83" s="18">
        <v>130.5</v>
      </c>
      <c r="F83" s="18">
        <v>85.4</v>
      </c>
      <c r="G83" s="18">
        <v>33.700000000000003</v>
      </c>
      <c r="H83" s="18">
        <v>4.7</v>
      </c>
    </row>
    <row r="84" spans="1:8" x14ac:dyDescent="0.25">
      <c r="A84" s="11">
        <v>1993</v>
      </c>
      <c r="B84" s="11" t="s">
        <v>238</v>
      </c>
      <c r="C84" s="18">
        <v>10.5</v>
      </c>
      <c r="D84" s="18">
        <v>48.6</v>
      </c>
      <c r="E84" s="18">
        <v>135.5</v>
      </c>
      <c r="F84" s="18">
        <v>120.9</v>
      </c>
      <c r="G84" s="18">
        <v>44</v>
      </c>
      <c r="H84" s="18">
        <v>5.9</v>
      </c>
    </row>
    <row r="85" spans="1:8" x14ac:dyDescent="0.25">
      <c r="A85" s="11">
        <v>1993</v>
      </c>
      <c r="B85" s="11" t="s">
        <v>239</v>
      </c>
      <c r="C85" s="18">
        <v>32.299999999999997</v>
      </c>
      <c r="D85" s="18">
        <v>79.7</v>
      </c>
      <c r="E85" s="18">
        <v>125.7</v>
      </c>
      <c r="F85" s="18">
        <v>70.2</v>
      </c>
      <c r="G85" s="18">
        <v>20.5</v>
      </c>
      <c r="H85" s="18">
        <v>1.8</v>
      </c>
    </row>
    <row r="86" spans="1:8" x14ac:dyDescent="0.25">
      <c r="A86" s="11">
        <v>1993</v>
      </c>
      <c r="B86" s="11" t="s">
        <v>240</v>
      </c>
      <c r="C86" s="18">
        <v>32</v>
      </c>
      <c r="D86" s="18">
        <v>81.900000000000006</v>
      </c>
      <c r="E86" s="18">
        <v>119.4</v>
      </c>
      <c r="F86" s="18">
        <v>71.5</v>
      </c>
      <c r="G86" s="18">
        <v>24.4</v>
      </c>
      <c r="H86" s="18">
        <v>3.3</v>
      </c>
    </row>
    <row r="87" spans="1:8" x14ac:dyDescent="0.25">
      <c r="A87" s="11">
        <v>1993</v>
      </c>
      <c r="B87" s="11" t="s">
        <v>241</v>
      </c>
      <c r="C87" s="18">
        <v>45.2</v>
      </c>
      <c r="D87" s="18">
        <v>69.400000000000006</v>
      </c>
      <c r="E87" s="18">
        <v>90.1</v>
      </c>
      <c r="F87" s="18">
        <v>76</v>
      </c>
      <c r="G87" s="18">
        <v>31.5</v>
      </c>
      <c r="H87" s="18">
        <v>5.0999999999999996</v>
      </c>
    </row>
    <row r="88" spans="1:8" x14ac:dyDescent="0.25">
      <c r="A88" s="11">
        <v>1993</v>
      </c>
      <c r="B88" s="11" t="s">
        <v>242</v>
      </c>
      <c r="C88" s="18">
        <v>31.6</v>
      </c>
      <c r="D88" s="18">
        <v>96.1</v>
      </c>
      <c r="E88" s="18">
        <v>116.6</v>
      </c>
      <c r="F88" s="18">
        <v>77.099999999999994</v>
      </c>
      <c r="G88" s="18">
        <v>31.5</v>
      </c>
      <c r="H88" s="18">
        <v>4.5999999999999996</v>
      </c>
    </row>
    <row r="89" spans="1:8" x14ac:dyDescent="0.25">
      <c r="A89" s="11">
        <v>1993</v>
      </c>
      <c r="B89" s="11" t="s">
        <v>243</v>
      </c>
      <c r="C89" s="18">
        <v>33.200000000000003</v>
      </c>
      <c r="D89" s="18">
        <v>68.599999999999994</v>
      </c>
      <c r="E89" s="18">
        <v>110.2</v>
      </c>
      <c r="F89" s="18">
        <v>80.400000000000006</v>
      </c>
      <c r="G89" s="18">
        <v>32.200000000000003</v>
      </c>
      <c r="H89" s="18">
        <v>2.1</v>
      </c>
    </row>
    <row r="90" spans="1:8" x14ac:dyDescent="0.25">
      <c r="A90" s="11">
        <v>1993</v>
      </c>
      <c r="B90" s="11" t="s">
        <v>244</v>
      </c>
      <c r="C90" s="18">
        <v>33.299999999999997</v>
      </c>
      <c r="D90" s="18">
        <v>70</v>
      </c>
      <c r="E90" s="18">
        <v>126.4</v>
      </c>
      <c r="F90" s="18">
        <v>82</v>
      </c>
      <c r="G90" s="18">
        <v>25.3</v>
      </c>
      <c r="H90" s="18">
        <v>2</v>
      </c>
    </row>
    <row r="91" spans="1:8" x14ac:dyDescent="0.25">
      <c r="A91" s="11">
        <v>1993</v>
      </c>
      <c r="B91" s="11" t="s">
        <v>245</v>
      </c>
      <c r="C91" s="18">
        <v>29.4</v>
      </c>
      <c r="D91" s="18">
        <v>113.3</v>
      </c>
      <c r="E91" s="18">
        <v>132.9</v>
      </c>
      <c r="F91" s="18">
        <v>76.2</v>
      </c>
      <c r="G91" s="18">
        <v>23.3</v>
      </c>
      <c r="H91" s="18">
        <v>5.3</v>
      </c>
    </row>
    <row r="92" spans="1:8" x14ac:dyDescent="0.25">
      <c r="A92" s="11">
        <v>1993</v>
      </c>
      <c r="B92" s="11" t="s">
        <v>246</v>
      </c>
      <c r="C92" s="18">
        <v>18</v>
      </c>
      <c r="D92" s="18">
        <v>71.2</v>
      </c>
      <c r="E92" s="18">
        <v>103.7</v>
      </c>
      <c r="F92" s="18">
        <v>82</v>
      </c>
      <c r="G92" s="18">
        <v>32.4</v>
      </c>
      <c r="H92" s="18">
        <v>9.5</v>
      </c>
    </row>
    <row r="93" spans="1:8" x14ac:dyDescent="0.25">
      <c r="A93" s="11">
        <v>1993</v>
      </c>
      <c r="B93" s="11" t="s">
        <v>247</v>
      </c>
      <c r="C93" s="18">
        <v>38.799999999999997</v>
      </c>
      <c r="D93" s="18">
        <v>96.6</v>
      </c>
      <c r="E93" s="18">
        <v>108.1</v>
      </c>
      <c r="F93" s="18">
        <v>72.599999999999994</v>
      </c>
      <c r="G93" s="18">
        <v>25.3</v>
      </c>
      <c r="H93" s="18">
        <v>4.5999999999999996</v>
      </c>
    </row>
    <row r="94" spans="1:8" x14ac:dyDescent="0.25">
      <c r="A94" s="11">
        <v>1993</v>
      </c>
      <c r="B94" s="11" t="s">
        <v>248</v>
      </c>
      <c r="C94" s="18">
        <v>31.7</v>
      </c>
      <c r="D94" s="18">
        <v>81.5</v>
      </c>
      <c r="E94" s="18">
        <v>113.7</v>
      </c>
      <c r="F94" s="18">
        <v>72.599999999999994</v>
      </c>
      <c r="G94" s="18">
        <v>23.2</v>
      </c>
      <c r="H94" s="18">
        <v>4</v>
      </c>
    </row>
    <row r="95" spans="1:8" x14ac:dyDescent="0.25">
      <c r="A95" s="11">
        <v>1993</v>
      </c>
      <c r="B95" s="11" t="s">
        <v>249</v>
      </c>
      <c r="C95" s="18">
        <v>24.2</v>
      </c>
      <c r="D95" s="18">
        <v>111.1</v>
      </c>
      <c r="E95" s="18">
        <v>135</v>
      </c>
      <c r="F95" s="18">
        <v>77.400000000000006</v>
      </c>
      <c r="G95" s="18">
        <v>23</v>
      </c>
      <c r="H95" s="18">
        <v>4.3</v>
      </c>
    </row>
    <row r="96" spans="1:8" x14ac:dyDescent="0.25">
      <c r="A96" s="11">
        <v>1993</v>
      </c>
      <c r="B96" s="11" t="s">
        <v>250</v>
      </c>
      <c r="C96" s="18">
        <v>27.4</v>
      </c>
      <c r="D96" s="18">
        <v>74.2</v>
      </c>
      <c r="E96" s="18">
        <v>125.2</v>
      </c>
      <c r="F96" s="18">
        <v>82</v>
      </c>
      <c r="G96" s="18">
        <v>30.1</v>
      </c>
      <c r="H96" s="18">
        <v>4</v>
      </c>
    </row>
    <row r="97" spans="1:8" x14ac:dyDescent="0.25">
      <c r="A97" s="11">
        <v>1993</v>
      </c>
      <c r="B97" s="11" t="s">
        <v>251</v>
      </c>
      <c r="C97" s="18">
        <v>30.4</v>
      </c>
      <c r="D97" s="18">
        <v>69.5</v>
      </c>
      <c r="E97" s="18">
        <v>98.4</v>
      </c>
      <c r="F97" s="18">
        <v>85.6</v>
      </c>
      <c r="G97" s="18">
        <v>27.4</v>
      </c>
      <c r="H97" s="18">
        <v>4.7</v>
      </c>
    </row>
    <row r="98" spans="1:8" x14ac:dyDescent="0.25">
      <c r="A98" s="11">
        <v>1993</v>
      </c>
      <c r="B98" s="11" t="s">
        <v>252</v>
      </c>
      <c r="C98" s="18">
        <v>17.3</v>
      </c>
      <c r="D98" s="18">
        <v>72.2</v>
      </c>
      <c r="E98" s="18">
        <v>122.1</v>
      </c>
      <c r="F98" s="18">
        <v>82.3</v>
      </c>
      <c r="G98" s="18">
        <v>27</v>
      </c>
      <c r="H98" s="18">
        <v>2.8</v>
      </c>
    </row>
    <row r="99" spans="1:8" x14ac:dyDescent="0.25">
      <c r="A99" s="11">
        <v>1993</v>
      </c>
      <c r="B99" s="11" t="s">
        <v>253</v>
      </c>
      <c r="C99" s="18">
        <v>25.5</v>
      </c>
      <c r="D99" s="18">
        <v>112.5</v>
      </c>
      <c r="E99" s="18">
        <v>139.1</v>
      </c>
      <c r="F99" s="18">
        <v>84.3</v>
      </c>
      <c r="G99" s="18">
        <v>35.200000000000003</v>
      </c>
      <c r="H99" s="18">
        <v>2.6</v>
      </c>
    </row>
    <row r="100" spans="1:8" x14ac:dyDescent="0.25">
      <c r="A100" s="11">
        <v>1993</v>
      </c>
      <c r="B100" s="11" t="s">
        <v>254</v>
      </c>
      <c r="C100" s="18">
        <v>25.8</v>
      </c>
      <c r="D100" s="18">
        <v>80.2</v>
      </c>
      <c r="E100" s="18">
        <v>116.8</v>
      </c>
      <c r="F100" s="18">
        <v>79.3</v>
      </c>
      <c r="G100" s="18">
        <v>27.2</v>
      </c>
      <c r="H100" s="18">
        <v>3.6</v>
      </c>
    </row>
    <row r="101" spans="1:8" x14ac:dyDescent="0.25">
      <c r="A101" s="11">
        <v>1993</v>
      </c>
      <c r="B101" s="11" t="s">
        <v>255</v>
      </c>
      <c r="C101" s="18">
        <v>28.6</v>
      </c>
      <c r="D101" s="18">
        <v>73.599999999999994</v>
      </c>
      <c r="E101" s="18">
        <v>120.7</v>
      </c>
      <c r="F101" s="18">
        <v>83.6</v>
      </c>
      <c r="G101" s="18">
        <v>26.5</v>
      </c>
      <c r="H101" s="18">
        <v>3.8</v>
      </c>
    </row>
    <row r="102" spans="1:8" x14ac:dyDescent="0.25">
      <c r="A102" s="11">
        <v>1993</v>
      </c>
      <c r="B102" s="11" t="s">
        <v>256</v>
      </c>
      <c r="C102" s="18">
        <v>23.3</v>
      </c>
      <c r="D102" s="18">
        <v>57.2</v>
      </c>
      <c r="E102" s="18">
        <v>104.1</v>
      </c>
      <c r="F102" s="18">
        <v>86.1</v>
      </c>
      <c r="G102" s="18">
        <v>28.5</v>
      </c>
      <c r="H102" s="18">
        <v>5.3</v>
      </c>
    </row>
    <row r="103" spans="1:8" x14ac:dyDescent="0.25">
      <c r="A103" s="11">
        <v>1993</v>
      </c>
      <c r="B103" s="11" t="s">
        <v>257</v>
      </c>
      <c r="C103" s="18">
        <v>38.1</v>
      </c>
      <c r="D103" s="18">
        <v>86.8</v>
      </c>
      <c r="E103" s="18">
        <v>115.2</v>
      </c>
      <c r="F103" s="18">
        <v>66.3</v>
      </c>
      <c r="G103" s="18">
        <v>23.7</v>
      </c>
      <c r="H103" s="18">
        <v>4.3</v>
      </c>
    </row>
    <row r="104" spans="1:8" x14ac:dyDescent="0.25">
      <c r="A104" s="11">
        <v>1993</v>
      </c>
      <c r="B104" s="11" t="s">
        <v>258</v>
      </c>
      <c r="C104" s="18">
        <v>36.1</v>
      </c>
      <c r="D104" s="18">
        <v>82.5</v>
      </c>
      <c r="E104" s="18">
        <v>114.6</v>
      </c>
      <c r="F104" s="18">
        <v>76.7</v>
      </c>
      <c r="G104" s="18">
        <v>26.2</v>
      </c>
      <c r="H104" s="18">
        <v>3.7</v>
      </c>
    </row>
    <row r="105" spans="1:8" x14ac:dyDescent="0.25">
      <c r="A105" s="11">
        <v>1994</v>
      </c>
      <c r="B105" s="11" t="s">
        <v>11</v>
      </c>
      <c r="C105" s="18">
        <v>28.5</v>
      </c>
      <c r="D105" s="18">
        <v>68.2</v>
      </c>
      <c r="E105" s="18">
        <v>106.5</v>
      </c>
      <c r="F105" s="18">
        <v>81.3</v>
      </c>
      <c r="G105" s="18">
        <v>28.8</v>
      </c>
      <c r="H105" s="18">
        <v>4.5</v>
      </c>
    </row>
    <row r="106" spans="1:8" x14ac:dyDescent="0.25">
      <c r="A106" s="11">
        <v>1994</v>
      </c>
      <c r="B106" s="11" t="s">
        <v>227</v>
      </c>
      <c r="C106" s="18">
        <v>22.2</v>
      </c>
      <c r="D106" s="18">
        <v>51.4</v>
      </c>
      <c r="E106" s="18">
        <v>90.9</v>
      </c>
      <c r="F106" s="18">
        <v>83.5</v>
      </c>
      <c r="G106" s="18">
        <v>29.7</v>
      </c>
      <c r="H106" s="18">
        <v>5.6</v>
      </c>
    </row>
    <row r="107" spans="1:8" x14ac:dyDescent="0.25">
      <c r="A107" s="11">
        <v>1994</v>
      </c>
      <c r="B107" s="11" t="s">
        <v>228</v>
      </c>
      <c r="C107" s="18">
        <v>19.899999999999999</v>
      </c>
      <c r="D107" s="18">
        <v>74.900000000000006</v>
      </c>
      <c r="E107" s="18">
        <v>142.6</v>
      </c>
      <c r="F107" s="18">
        <v>87.7</v>
      </c>
      <c r="G107" s="18">
        <v>24.8</v>
      </c>
      <c r="H107" s="18">
        <v>4.5</v>
      </c>
    </row>
    <row r="108" spans="1:8" x14ac:dyDescent="0.25">
      <c r="A108" s="11">
        <v>1994</v>
      </c>
      <c r="B108" s="11" t="s">
        <v>229</v>
      </c>
      <c r="C108" s="18">
        <v>26.3</v>
      </c>
      <c r="D108" s="18">
        <v>81.8</v>
      </c>
      <c r="E108" s="18">
        <v>114.4</v>
      </c>
      <c r="F108" s="18">
        <v>83</v>
      </c>
      <c r="G108" s="18">
        <v>27.4</v>
      </c>
      <c r="H108" s="18">
        <v>4.0999999999999996</v>
      </c>
    </row>
    <row r="109" spans="1:8" x14ac:dyDescent="0.25">
      <c r="A109" s="11">
        <v>1994</v>
      </c>
      <c r="B109" s="11" t="s">
        <v>230</v>
      </c>
      <c r="C109" s="18">
        <v>22.7</v>
      </c>
      <c r="D109" s="18">
        <v>79</v>
      </c>
      <c r="E109" s="18">
        <v>113.6</v>
      </c>
      <c r="F109" s="18">
        <v>85.3</v>
      </c>
      <c r="G109" s="18">
        <v>41.3</v>
      </c>
      <c r="H109" s="18">
        <v>7.1</v>
      </c>
    </row>
    <row r="110" spans="1:8" x14ac:dyDescent="0.25">
      <c r="A110" s="11">
        <v>1994</v>
      </c>
      <c r="B110" s="11" t="s">
        <v>231</v>
      </c>
      <c r="C110" s="18">
        <v>23.8</v>
      </c>
      <c r="D110" s="18">
        <v>40.299999999999997</v>
      </c>
      <c r="E110" s="18">
        <v>81.3</v>
      </c>
      <c r="F110" s="18">
        <v>93.1</v>
      </c>
      <c r="G110" s="18">
        <v>38.200000000000003</v>
      </c>
      <c r="H110" s="18">
        <v>6.1</v>
      </c>
    </row>
    <row r="111" spans="1:8" x14ac:dyDescent="0.25">
      <c r="A111" s="11">
        <v>1994</v>
      </c>
      <c r="B111" s="11" t="s">
        <v>232</v>
      </c>
      <c r="C111" s="18">
        <v>35.9</v>
      </c>
      <c r="D111" s="18">
        <v>85.9</v>
      </c>
      <c r="E111" s="18">
        <v>106.1</v>
      </c>
      <c r="F111" s="18">
        <v>80.599999999999994</v>
      </c>
      <c r="G111" s="18">
        <v>32.700000000000003</v>
      </c>
      <c r="H111" s="18">
        <v>3</v>
      </c>
    </row>
    <row r="112" spans="1:8" x14ac:dyDescent="0.25">
      <c r="A112" s="11">
        <v>1994</v>
      </c>
      <c r="B112" s="11" t="s">
        <v>233</v>
      </c>
      <c r="C112" s="18">
        <v>35.700000000000003</v>
      </c>
      <c r="D112" s="18">
        <v>96.7</v>
      </c>
      <c r="E112" s="18">
        <v>118.9</v>
      </c>
      <c r="F112" s="18">
        <v>81.5</v>
      </c>
      <c r="G112" s="18">
        <v>23.7</v>
      </c>
      <c r="H112" s="18">
        <v>4.3</v>
      </c>
    </row>
    <row r="113" spans="1:8" x14ac:dyDescent="0.25">
      <c r="A113" s="11">
        <v>1994</v>
      </c>
      <c r="B113" s="11" t="s">
        <v>234</v>
      </c>
      <c r="C113" s="18">
        <v>40.9</v>
      </c>
      <c r="D113" s="18">
        <v>71.400000000000006</v>
      </c>
      <c r="E113" s="18">
        <v>94.8</v>
      </c>
      <c r="F113" s="18">
        <v>64.400000000000006</v>
      </c>
      <c r="G113" s="18">
        <v>23.2</v>
      </c>
      <c r="H113" s="18">
        <v>3.1</v>
      </c>
    </row>
    <row r="114" spans="1:8" x14ac:dyDescent="0.25">
      <c r="A114" s="11">
        <v>1994</v>
      </c>
      <c r="B114" s="11" t="s">
        <v>235</v>
      </c>
      <c r="C114" s="18">
        <v>36.5</v>
      </c>
      <c r="D114" s="18">
        <v>83.5</v>
      </c>
      <c r="E114" s="18">
        <v>106.6</v>
      </c>
      <c r="F114" s="18">
        <v>68.2</v>
      </c>
      <c r="G114" s="18">
        <v>28.3</v>
      </c>
      <c r="H114" s="18">
        <v>3.7</v>
      </c>
    </row>
    <row r="115" spans="1:8" x14ac:dyDescent="0.25">
      <c r="A115" s="11">
        <v>1994</v>
      </c>
      <c r="B115" s="11" t="s">
        <v>236</v>
      </c>
      <c r="C115" s="18">
        <v>11.6</v>
      </c>
      <c r="D115" s="18">
        <v>36.4</v>
      </c>
      <c r="E115" s="18">
        <v>115.1</v>
      </c>
      <c r="F115" s="18">
        <v>117.4</v>
      </c>
      <c r="G115" s="18">
        <v>34.200000000000003</v>
      </c>
      <c r="H115" s="18">
        <v>4.8</v>
      </c>
    </row>
    <row r="116" spans="1:8" x14ac:dyDescent="0.25">
      <c r="A116" s="11">
        <v>1994</v>
      </c>
      <c r="B116" s="11" t="s">
        <v>237</v>
      </c>
      <c r="C116" s="18">
        <v>28.2</v>
      </c>
      <c r="D116" s="18">
        <v>69.5</v>
      </c>
      <c r="E116" s="18">
        <v>120.6</v>
      </c>
      <c r="F116" s="18">
        <v>86.8</v>
      </c>
      <c r="G116" s="18">
        <v>35.1</v>
      </c>
      <c r="H116" s="18">
        <v>5.0999999999999996</v>
      </c>
    </row>
    <row r="117" spans="1:8" x14ac:dyDescent="0.25">
      <c r="A117" s="11">
        <v>1994</v>
      </c>
      <c r="B117" s="11" t="s">
        <v>238</v>
      </c>
      <c r="C117" s="18">
        <v>10.7</v>
      </c>
      <c r="D117" s="18">
        <v>40.4</v>
      </c>
      <c r="E117" s="18">
        <v>115.3</v>
      </c>
      <c r="F117" s="18">
        <v>119.6</v>
      </c>
      <c r="G117" s="18">
        <v>47.2</v>
      </c>
      <c r="H117" s="18">
        <v>5.6</v>
      </c>
    </row>
    <row r="118" spans="1:8" x14ac:dyDescent="0.25">
      <c r="A118" s="11">
        <v>1994</v>
      </c>
      <c r="B118" s="11" t="s">
        <v>239</v>
      </c>
      <c r="C118" s="18">
        <v>34.4</v>
      </c>
      <c r="D118" s="18">
        <v>74.400000000000006</v>
      </c>
      <c r="E118" s="18">
        <v>114</v>
      </c>
      <c r="F118" s="18">
        <v>76.900000000000006</v>
      </c>
      <c r="G118" s="18">
        <v>23.4</v>
      </c>
      <c r="H118" s="18">
        <v>2.2999999999999998</v>
      </c>
    </row>
    <row r="119" spans="1:8" x14ac:dyDescent="0.25">
      <c r="A119" s="11">
        <v>1994</v>
      </c>
      <c r="B119" s="11" t="s">
        <v>240</v>
      </c>
      <c r="C119" s="18">
        <v>29.5</v>
      </c>
      <c r="D119" s="18">
        <v>75.7</v>
      </c>
      <c r="E119" s="18">
        <v>117.6</v>
      </c>
      <c r="F119" s="18">
        <v>72.2</v>
      </c>
      <c r="G119" s="18">
        <v>22.6</v>
      </c>
      <c r="H119" s="18">
        <v>3.1</v>
      </c>
    </row>
    <row r="120" spans="1:8" x14ac:dyDescent="0.25">
      <c r="A120" s="11">
        <v>1994</v>
      </c>
      <c r="B120" s="11" t="s">
        <v>241</v>
      </c>
      <c r="C120" s="18">
        <v>39.6</v>
      </c>
      <c r="D120" s="18">
        <v>68.5</v>
      </c>
      <c r="E120" s="18">
        <v>87.1</v>
      </c>
      <c r="F120" s="18">
        <v>73.099999999999994</v>
      </c>
      <c r="G120" s="18">
        <v>29.8</v>
      </c>
      <c r="H120" s="18">
        <v>5.6</v>
      </c>
    </row>
    <row r="121" spans="1:8" x14ac:dyDescent="0.25">
      <c r="A121" s="11">
        <v>1994</v>
      </c>
      <c r="B121" s="11" t="s">
        <v>242</v>
      </c>
      <c r="C121" s="18">
        <v>26.5</v>
      </c>
      <c r="D121" s="18">
        <v>91.3</v>
      </c>
      <c r="E121" s="18">
        <v>119.2</v>
      </c>
      <c r="F121" s="18">
        <v>81.2</v>
      </c>
      <c r="G121" s="18">
        <v>29.3</v>
      </c>
      <c r="H121" s="18">
        <v>5.0999999999999996</v>
      </c>
    </row>
    <row r="122" spans="1:8" x14ac:dyDescent="0.25">
      <c r="A122" s="11">
        <v>1994</v>
      </c>
      <c r="B122" s="11" t="s">
        <v>243</v>
      </c>
      <c r="C122" s="18">
        <v>32.799999999999997</v>
      </c>
      <c r="D122" s="18">
        <v>80.3</v>
      </c>
      <c r="E122" s="18">
        <v>107.6</v>
      </c>
      <c r="F122" s="18">
        <v>76.8</v>
      </c>
      <c r="G122" s="18">
        <v>30.5</v>
      </c>
      <c r="H122" s="18">
        <v>4.5</v>
      </c>
    </row>
    <row r="123" spans="1:8" x14ac:dyDescent="0.25">
      <c r="A123" s="11">
        <v>1994</v>
      </c>
      <c r="B123" s="11" t="s">
        <v>244</v>
      </c>
      <c r="C123" s="18">
        <v>23.4</v>
      </c>
      <c r="D123" s="18">
        <v>76</v>
      </c>
      <c r="E123" s="18">
        <v>128.69999999999999</v>
      </c>
      <c r="F123" s="18">
        <v>83</v>
      </c>
      <c r="G123" s="18">
        <v>25.9</v>
      </c>
      <c r="H123" s="18">
        <v>4.2</v>
      </c>
    </row>
    <row r="124" spans="1:8" x14ac:dyDescent="0.25">
      <c r="A124" s="11">
        <v>1994</v>
      </c>
      <c r="B124" s="11" t="s">
        <v>245</v>
      </c>
      <c r="C124" s="18">
        <v>27</v>
      </c>
      <c r="D124" s="18">
        <v>92.6</v>
      </c>
      <c r="E124" s="18">
        <v>132</v>
      </c>
      <c r="F124" s="18">
        <v>85</v>
      </c>
      <c r="G124" s="18">
        <v>25.6</v>
      </c>
      <c r="H124" s="18">
        <v>7.2</v>
      </c>
    </row>
    <row r="125" spans="1:8" x14ac:dyDescent="0.25">
      <c r="A125" s="11">
        <v>1994</v>
      </c>
      <c r="B125" s="11" t="s">
        <v>246</v>
      </c>
      <c r="C125" s="18">
        <v>10.6</v>
      </c>
      <c r="D125" s="18">
        <v>88.8</v>
      </c>
      <c r="E125" s="18">
        <v>117.5</v>
      </c>
      <c r="F125" s="18">
        <v>78.3</v>
      </c>
      <c r="G125" s="18">
        <v>42.5</v>
      </c>
      <c r="H125" s="18">
        <v>5.4</v>
      </c>
    </row>
    <row r="126" spans="1:8" x14ac:dyDescent="0.25">
      <c r="A126" s="11">
        <v>1994</v>
      </c>
      <c r="B126" s="11" t="s">
        <v>247</v>
      </c>
      <c r="C126" s="18">
        <v>31.9</v>
      </c>
      <c r="D126" s="18">
        <v>84.7</v>
      </c>
      <c r="E126" s="18">
        <v>121.6</v>
      </c>
      <c r="F126" s="18">
        <v>73.099999999999994</v>
      </c>
      <c r="G126" s="18">
        <v>22.5</v>
      </c>
      <c r="H126" s="18">
        <v>3</v>
      </c>
    </row>
    <row r="127" spans="1:8" x14ac:dyDescent="0.25">
      <c r="A127" s="11">
        <v>1994</v>
      </c>
      <c r="B127" s="11" t="s">
        <v>248</v>
      </c>
      <c r="C127" s="18">
        <v>32.6</v>
      </c>
      <c r="D127" s="18">
        <v>76.5</v>
      </c>
      <c r="E127" s="18">
        <v>111</v>
      </c>
      <c r="F127" s="18">
        <v>73.8</v>
      </c>
      <c r="G127" s="18">
        <v>22.1</v>
      </c>
      <c r="H127" s="18">
        <v>4.3</v>
      </c>
    </row>
    <row r="128" spans="1:8" x14ac:dyDescent="0.25">
      <c r="A128" s="11">
        <v>1994</v>
      </c>
      <c r="B128" s="11" t="s">
        <v>249</v>
      </c>
      <c r="C128" s="18">
        <v>20</v>
      </c>
      <c r="D128" s="18">
        <v>94.1</v>
      </c>
      <c r="E128" s="18">
        <v>138.30000000000001</v>
      </c>
      <c r="F128" s="18">
        <v>91.7</v>
      </c>
      <c r="G128" s="18">
        <v>40.299999999999997</v>
      </c>
      <c r="H128" s="18">
        <v>7.3</v>
      </c>
    </row>
    <row r="129" spans="1:8" x14ac:dyDescent="0.25">
      <c r="A129" s="11">
        <v>1994</v>
      </c>
      <c r="B129" s="11" t="s">
        <v>250</v>
      </c>
      <c r="C129" s="18">
        <v>19</v>
      </c>
      <c r="D129" s="18">
        <v>67.099999999999994</v>
      </c>
      <c r="E129" s="18">
        <v>111.7</v>
      </c>
      <c r="F129" s="18">
        <v>85.2</v>
      </c>
      <c r="G129" s="18">
        <v>30.5</v>
      </c>
      <c r="H129" s="18">
        <v>4.4000000000000004</v>
      </c>
    </row>
    <row r="130" spans="1:8" x14ac:dyDescent="0.25">
      <c r="A130" s="11">
        <v>1994</v>
      </c>
      <c r="B130" s="11" t="s">
        <v>251</v>
      </c>
      <c r="C130" s="18">
        <v>28.1</v>
      </c>
      <c r="D130" s="18">
        <v>66.8</v>
      </c>
      <c r="E130" s="18">
        <v>99.3</v>
      </c>
      <c r="F130" s="18">
        <v>80.7</v>
      </c>
      <c r="G130" s="18">
        <v>29</v>
      </c>
      <c r="H130" s="18">
        <v>2.9</v>
      </c>
    </row>
    <row r="131" spans="1:8" x14ac:dyDescent="0.25">
      <c r="A131" s="11">
        <v>1994</v>
      </c>
      <c r="B131" s="11" t="s">
        <v>252</v>
      </c>
      <c r="C131" s="18">
        <v>23.9</v>
      </c>
      <c r="D131" s="18">
        <v>74.099999999999994</v>
      </c>
      <c r="E131" s="18">
        <v>116.6</v>
      </c>
      <c r="F131" s="18">
        <v>82.1</v>
      </c>
      <c r="G131" s="18">
        <v>26.7</v>
      </c>
      <c r="H131" s="18">
        <v>5.4</v>
      </c>
    </row>
    <row r="132" spans="1:8" x14ac:dyDescent="0.25">
      <c r="A132" s="11">
        <v>1994</v>
      </c>
      <c r="B132" s="11" t="s">
        <v>253</v>
      </c>
      <c r="C132" s="18">
        <v>24.4</v>
      </c>
      <c r="D132" s="18">
        <v>92.8</v>
      </c>
      <c r="E132" s="18">
        <v>154.69999999999999</v>
      </c>
      <c r="F132" s="18">
        <v>98.5</v>
      </c>
      <c r="G132" s="18">
        <v>24.2</v>
      </c>
      <c r="H132" s="18">
        <v>5.2</v>
      </c>
    </row>
    <row r="133" spans="1:8" x14ac:dyDescent="0.25">
      <c r="A133" s="11">
        <v>1994</v>
      </c>
      <c r="B133" s="11" t="s">
        <v>254</v>
      </c>
      <c r="C133" s="18">
        <v>22</v>
      </c>
      <c r="D133" s="18">
        <v>68.7</v>
      </c>
      <c r="E133" s="18">
        <v>103.6</v>
      </c>
      <c r="F133" s="18">
        <v>78.5</v>
      </c>
      <c r="G133" s="18">
        <v>28.7</v>
      </c>
      <c r="H133" s="18">
        <v>3.1</v>
      </c>
    </row>
    <row r="134" spans="1:8" x14ac:dyDescent="0.25">
      <c r="A134" s="11">
        <v>1994</v>
      </c>
      <c r="B134" s="11" t="s">
        <v>255</v>
      </c>
      <c r="C134" s="18">
        <v>25.4</v>
      </c>
      <c r="D134" s="18">
        <v>62.4</v>
      </c>
      <c r="E134" s="18">
        <v>115.4</v>
      </c>
      <c r="F134" s="18">
        <v>83.8</v>
      </c>
      <c r="G134" s="18">
        <v>28.6</v>
      </c>
      <c r="H134" s="18">
        <v>4.4000000000000004</v>
      </c>
    </row>
    <row r="135" spans="1:8" x14ac:dyDescent="0.25">
      <c r="A135" s="11">
        <v>1994</v>
      </c>
      <c r="B135" s="11" t="s">
        <v>256</v>
      </c>
      <c r="C135" s="18">
        <v>20.399999999999999</v>
      </c>
      <c r="D135" s="18">
        <v>47.2</v>
      </c>
      <c r="E135" s="18">
        <v>98.3</v>
      </c>
      <c r="F135" s="18">
        <v>84</v>
      </c>
      <c r="G135" s="18">
        <v>31.2</v>
      </c>
      <c r="H135" s="18">
        <v>2.8</v>
      </c>
    </row>
    <row r="136" spans="1:8" x14ac:dyDescent="0.25">
      <c r="A136" s="11">
        <v>1994</v>
      </c>
      <c r="B136" s="11" t="s">
        <v>257</v>
      </c>
      <c r="C136" s="18">
        <v>39.200000000000003</v>
      </c>
      <c r="D136" s="18">
        <v>80.2</v>
      </c>
      <c r="E136" s="18">
        <v>116.5</v>
      </c>
      <c r="F136" s="18">
        <v>75.099999999999994</v>
      </c>
      <c r="G136" s="18">
        <v>26.4</v>
      </c>
      <c r="H136" s="18">
        <v>5.9</v>
      </c>
    </row>
    <row r="137" spans="1:8" x14ac:dyDescent="0.25">
      <c r="A137" s="11">
        <v>1994</v>
      </c>
      <c r="B137" s="11" t="s">
        <v>258</v>
      </c>
      <c r="C137" s="18">
        <v>28</v>
      </c>
      <c r="D137" s="18">
        <v>77.2</v>
      </c>
      <c r="E137" s="18">
        <v>116</v>
      </c>
      <c r="F137" s="18">
        <v>81.400000000000006</v>
      </c>
      <c r="G137" s="18">
        <v>26.3</v>
      </c>
      <c r="H137" s="18">
        <v>3</v>
      </c>
    </row>
    <row r="138" spans="1:8" x14ac:dyDescent="0.25">
      <c r="A138" s="11">
        <v>1995</v>
      </c>
      <c r="B138" s="11" t="s">
        <v>11</v>
      </c>
      <c r="C138" s="18">
        <v>28.2</v>
      </c>
      <c r="D138" s="18">
        <v>66.599999999999994</v>
      </c>
      <c r="E138" s="18">
        <v>101.3</v>
      </c>
      <c r="F138" s="18">
        <v>80.599999999999994</v>
      </c>
      <c r="G138" s="18">
        <v>30.4</v>
      </c>
      <c r="H138" s="18">
        <v>4.9000000000000004</v>
      </c>
    </row>
    <row r="139" spans="1:8" x14ac:dyDescent="0.25">
      <c r="A139" s="11">
        <v>1995</v>
      </c>
      <c r="B139" s="11" t="s">
        <v>227</v>
      </c>
      <c r="C139" s="18">
        <v>20.3</v>
      </c>
      <c r="D139" s="18">
        <v>43.2</v>
      </c>
      <c r="E139" s="18">
        <v>76.5</v>
      </c>
      <c r="F139" s="18">
        <v>80.7</v>
      </c>
      <c r="G139" s="18">
        <v>31.4</v>
      </c>
      <c r="H139" s="18">
        <v>5.0999999999999996</v>
      </c>
    </row>
    <row r="140" spans="1:8" x14ac:dyDescent="0.25">
      <c r="A140" s="11">
        <v>1995</v>
      </c>
      <c r="B140" s="11" t="s">
        <v>228</v>
      </c>
      <c r="C140" s="18">
        <v>16.5</v>
      </c>
      <c r="D140" s="18">
        <v>63.4</v>
      </c>
      <c r="E140" s="18">
        <v>132.6</v>
      </c>
      <c r="F140" s="18">
        <v>89</v>
      </c>
      <c r="G140" s="18">
        <v>28.7</v>
      </c>
      <c r="H140" s="18">
        <v>4.7</v>
      </c>
    </row>
    <row r="141" spans="1:8" x14ac:dyDescent="0.25">
      <c r="A141" s="11">
        <v>1995</v>
      </c>
      <c r="B141" s="11" t="s">
        <v>229</v>
      </c>
      <c r="C141" s="18">
        <v>31.4</v>
      </c>
      <c r="D141" s="18">
        <v>82.2</v>
      </c>
      <c r="E141" s="18">
        <v>114.8</v>
      </c>
      <c r="F141" s="18">
        <v>80.400000000000006</v>
      </c>
      <c r="G141" s="18">
        <v>26.2</v>
      </c>
      <c r="H141" s="18">
        <v>2.2999999999999998</v>
      </c>
    </row>
    <row r="142" spans="1:8" x14ac:dyDescent="0.25">
      <c r="A142" s="11">
        <v>1995</v>
      </c>
      <c r="B142" s="11" t="s">
        <v>230</v>
      </c>
      <c r="C142" s="18">
        <v>22.1</v>
      </c>
      <c r="D142" s="18">
        <v>77.3</v>
      </c>
      <c r="E142" s="18">
        <v>115.3</v>
      </c>
      <c r="F142" s="18">
        <v>87.6</v>
      </c>
      <c r="G142" s="18">
        <v>34.1</v>
      </c>
      <c r="H142" s="18">
        <v>8.1999999999999993</v>
      </c>
    </row>
    <row r="143" spans="1:8" x14ac:dyDescent="0.25">
      <c r="A143" s="11">
        <v>1995</v>
      </c>
      <c r="B143" s="11" t="s">
        <v>231</v>
      </c>
      <c r="C143" s="18">
        <v>20.7</v>
      </c>
      <c r="D143" s="18">
        <v>37.799999999999997</v>
      </c>
      <c r="E143" s="18">
        <v>73.099999999999994</v>
      </c>
      <c r="F143" s="18">
        <v>89.7</v>
      </c>
      <c r="G143" s="18">
        <v>40.1</v>
      </c>
      <c r="H143" s="18">
        <v>5.6</v>
      </c>
    </row>
    <row r="144" spans="1:8" x14ac:dyDescent="0.25">
      <c r="A144" s="11">
        <v>1995</v>
      </c>
      <c r="B144" s="11" t="s">
        <v>232</v>
      </c>
      <c r="C144" s="18">
        <v>34.5</v>
      </c>
      <c r="D144" s="18">
        <v>104.3</v>
      </c>
      <c r="E144" s="18">
        <v>113.8</v>
      </c>
      <c r="F144" s="18">
        <v>85.3</v>
      </c>
      <c r="G144" s="18">
        <v>23</v>
      </c>
      <c r="H144" s="18">
        <v>7.2</v>
      </c>
    </row>
    <row r="145" spans="1:8" x14ac:dyDescent="0.25">
      <c r="A145" s="11">
        <v>1995</v>
      </c>
      <c r="B145" s="11" t="s">
        <v>233</v>
      </c>
      <c r="C145" s="18">
        <v>27.4</v>
      </c>
      <c r="D145" s="18">
        <v>90.2</v>
      </c>
      <c r="E145" s="18">
        <v>118.3</v>
      </c>
      <c r="F145" s="18">
        <v>74.599999999999994</v>
      </c>
      <c r="G145" s="18">
        <v>26.3</v>
      </c>
      <c r="H145" s="18">
        <v>4.5</v>
      </c>
    </row>
    <row r="146" spans="1:8" x14ac:dyDescent="0.25">
      <c r="A146" s="11">
        <v>1995</v>
      </c>
      <c r="B146" s="11" t="s">
        <v>234</v>
      </c>
      <c r="C146" s="18">
        <v>38.700000000000003</v>
      </c>
      <c r="D146" s="18">
        <v>68.900000000000006</v>
      </c>
      <c r="E146" s="18">
        <v>88.6</v>
      </c>
      <c r="F146" s="18">
        <v>71.3</v>
      </c>
      <c r="G146" s="18">
        <v>25.7</v>
      </c>
      <c r="H146" s="18">
        <v>4.7</v>
      </c>
    </row>
    <row r="147" spans="1:8" x14ac:dyDescent="0.25">
      <c r="A147" s="11">
        <v>1995</v>
      </c>
      <c r="B147" s="11" t="s">
        <v>235</v>
      </c>
      <c r="C147" s="18">
        <v>38.9</v>
      </c>
      <c r="D147" s="18">
        <v>90.3</v>
      </c>
      <c r="E147" s="18">
        <v>111.3</v>
      </c>
      <c r="F147" s="18">
        <v>68.8</v>
      </c>
      <c r="G147" s="18">
        <v>21.4</v>
      </c>
      <c r="H147" s="18">
        <v>3.2</v>
      </c>
    </row>
    <row r="148" spans="1:8" x14ac:dyDescent="0.25">
      <c r="A148" s="11">
        <v>1995</v>
      </c>
      <c r="B148" s="11" t="s">
        <v>236</v>
      </c>
      <c r="C148" s="18">
        <v>9.4</v>
      </c>
      <c r="D148" s="18">
        <v>35.9</v>
      </c>
      <c r="E148" s="18">
        <v>109</v>
      </c>
      <c r="F148" s="18">
        <v>120</v>
      </c>
      <c r="G148" s="18">
        <v>42.8</v>
      </c>
      <c r="H148" s="18">
        <v>5.6</v>
      </c>
    </row>
    <row r="149" spans="1:8" x14ac:dyDescent="0.25">
      <c r="A149" s="11">
        <v>1995</v>
      </c>
      <c r="B149" s="11" t="s">
        <v>237</v>
      </c>
      <c r="C149" s="18">
        <v>23.5</v>
      </c>
      <c r="D149" s="18">
        <v>75.8</v>
      </c>
      <c r="E149" s="18">
        <v>118.6</v>
      </c>
      <c r="F149" s="18">
        <v>96.1</v>
      </c>
      <c r="G149" s="18">
        <v>37</v>
      </c>
      <c r="H149" s="18">
        <v>5.3</v>
      </c>
    </row>
    <row r="150" spans="1:8" x14ac:dyDescent="0.25">
      <c r="A150" s="11">
        <v>1995</v>
      </c>
      <c r="B150" s="11" t="s">
        <v>238</v>
      </c>
      <c r="C150" s="18">
        <v>10.4</v>
      </c>
      <c r="D150" s="18">
        <v>42.9</v>
      </c>
      <c r="E150" s="18">
        <v>113.4</v>
      </c>
      <c r="F150" s="18">
        <v>108.6</v>
      </c>
      <c r="G150" s="18">
        <v>39.700000000000003</v>
      </c>
      <c r="H150" s="18">
        <v>7.3</v>
      </c>
    </row>
    <row r="151" spans="1:8" x14ac:dyDescent="0.25">
      <c r="A151" s="11">
        <v>1995</v>
      </c>
      <c r="B151" s="11" t="s">
        <v>239</v>
      </c>
      <c r="C151" s="18">
        <v>27</v>
      </c>
      <c r="D151" s="18">
        <v>75.099999999999994</v>
      </c>
      <c r="E151" s="18">
        <v>102.3</v>
      </c>
      <c r="F151" s="18">
        <v>73.3</v>
      </c>
      <c r="G151" s="18">
        <v>25</v>
      </c>
      <c r="H151" s="18">
        <v>3.1</v>
      </c>
    </row>
    <row r="152" spans="1:8" x14ac:dyDescent="0.25">
      <c r="A152" s="11">
        <v>1995</v>
      </c>
      <c r="B152" s="11" t="s">
        <v>240</v>
      </c>
      <c r="C152" s="18">
        <v>27.8</v>
      </c>
      <c r="D152" s="18">
        <v>72.900000000000006</v>
      </c>
      <c r="E152" s="18">
        <v>113.5</v>
      </c>
      <c r="F152" s="18">
        <v>73.599999999999994</v>
      </c>
      <c r="G152" s="18">
        <v>26.2</v>
      </c>
      <c r="H152" s="18">
        <v>5.2</v>
      </c>
    </row>
    <row r="153" spans="1:8" x14ac:dyDescent="0.25">
      <c r="A153" s="11">
        <v>1995</v>
      </c>
      <c r="B153" s="11" t="s">
        <v>241</v>
      </c>
      <c r="C153" s="18">
        <v>41.6</v>
      </c>
      <c r="D153" s="18">
        <v>69.8</v>
      </c>
      <c r="E153" s="18">
        <v>85.7</v>
      </c>
      <c r="F153" s="18">
        <v>72.2</v>
      </c>
      <c r="G153" s="18">
        <v>32.4</v>
      </c>
      <c r="H153" s="18">
        <v>5.9</v>
      </c>
    </row>
    <row r="154" spans="1:8" x14ac:dyDescent="0.25">
      <c r="A154" s="11">
        <v>1995</v>
      </c>
      <c r="B154" s="11" t="s">
        <v>242</v>
      </c>
      <c r="C154" s="18">
        <v>23.9</v>
      </c>
      <c r="D154" s="18">
        <v>86.1</v>
      </c>
      <c r="E154" s="18">
        <v>109.3</v>
      </c>
      <c r="F154" s="18">
        <v>87.6</v>
      </c>
      <c r="G154" s="18">
        <v>31.8</v>
      </c>
      <c r="H154" s="18">
        <v>5.8</v>
      </c>
    </row>
    <row r="155" spans="1:8" x14ac:dyDescent="0.25">
      <c r="A155" s="11">
        <v>1995</v>
      </c>
      <c r="B155" s="11" t="s">
        <v>243</v>
      </c>
      <c r="C155" s="18">
        <v>36.5</v>
      </c>
      <c r="D155" s="18">
        <v>75.3</v>
      </c>
      <c r="E155" s="18">
        <v>108.8</v>
      </c>
      <c r="F155" s="18">
        <v>78.3</v>
      </c>
      <c r="G155" s="18">
        <v>33.200000000000003</v>
      </c>
      <c r="H155" s="18">
        <v>5.5</v>
      </c>
    </row>
    <row r="156" spans="1:8" x14ac:dyDescent="0.25">
      <c r="A156" s="11">
        <v>1995</v>
      </c>
      <c r="B156" s="11" t="s">
        <v>244</v>
      </c>
      <c r="C156" s="18">
        <v>31</v>
      </c>
      <c r="D156" s="18">
        <v>72.099999999999994</v>
      </c>
      <c r="E156" s="18">
        <v>117.8</v>
      </c>
      <c r="F156" s="18">
        <v>83.1</v>
      </c>
      <c r="G156" s="18">
        <v>22.7</v>
      </c>
      <c r="H156" s="18">
        <v>4.2</v>
      </c>
    </row>
    <row r="157" spans="1:8" x14ac:dyDescent="0.25">
      <c r="A157" s="11">
        <v>1995</v>
      </c>
      <c r="B157" s="11" t="s">
        <v>245</v>
      </c>
      <c r="C157" s="18">
        <v>23.2</v>
      </c>
      <c r="D157" s="18">
        <v>98.9</v>
      </c>
      <c r="E157" s="18">
        <v>119.6</v>
      </c>
      <c r="F157" s="18">
        <v>79.5</v>
      </c>
      <c r="G157" s="18">
        <v>27.4</v>
      </c>
      <c r="H157" s="18">
        <v>5.8</v>
      </c>
    </row>
    <row r="158" spans="1:8" x14ac:dyDescent="0.25">
      <c r="A158" s="11">
        <v>1995</v>
      </c>
      <c r="B158" s="11" t="s">
        <v>246</v>
      </c>
      <c r="C158" s="18">
        <v>15.8</v>
      </c>
      <c r="D158" s="18">
        <v>91.3</v>
      </c>
      <c r="E158" s="18">
        <v>98.3</v>
      </c>
      <c r="F158" s="18">
        <v>85.9</v>
      </c>
      <c r="G158" s="18">
        <v>47.7</v>
      </c>
      <c r="H158" s="18">
        <v>11.2</v>
      </c>
    </row>
    <row r="159" spans="1:8" x14ac:dyDescent="0.25">
      <c r="A159" s="11">
        <v>1995</v>
      </c>
      <c r="B159" s="11" t="s">
        <v>247</v>
      </c>
      <c r="C159" s="18">
        <v>29.8</v>
      </c>
      <c r="D159" s="18">
        <v>85.7</v>
      </c>
      <c r="E159" s="18">
        <v>105.1</v>
      </c>
      <c r="F159" s="18">
        <v>75.3</v>
      </c>
      <c r="G159" s="18">
        <v>28.6</v>
      </c>
      <c r="H159" s="18">
        <v>3.8</v>
      </c>
    </row>
    <row r="160" spans="1:8" x14ac:dyDescent="0.25">
      <c r="A160" s="11">
        <v>1995</v>
      </c>
      <c r="B160" s="11" t="s">
        <v>248</v>
      </c>
      <c r="C160" s="18">
        <v>32.4</v>
      </c>
      <c r="D160" s="18">
        <v>77.400000000000006</v>
      </c>
      <c r="E160" s="18">
        <v>107.5</v>
      </c>
      <c r="F160" s="18">
        <v>73.3</v>
      </c>
      <c r="G160" s="18">
        <v>27</v>
      </c>
      <c r="H160" s="18">
        <v>3.1</v>
      </c>
    </row>
    <row r="161" spans="1:8" x14ac:dyDescent="0.25">
      <c r="A161" s="11">
        <v>1995</v>
      </c>
      <c r="B161" s="11" t="s">
        <v>249</v>
      </c>
      <c r="C161" s="18">
        <v>34.700000000000003</v>
      </c>
      <c r="D161" s="18">
        <v>117.6</v>
      </c>
      <c r="E161" s="18">
        <v>138.30000000000001</v>
      </c>
      <c r="F161" s="18">
        <v>67.7</v>
      </c>
      <c r="G161" s="18">
        <v>21.4</v>
      </c>
      <c r="H161" s="18">
        <v>1.5</v>
      </c>
    </row>
    <row r="162" spans="1:8" x14ac:dyDescent="0.25">
      <c r="A162" s="11">
        <v>1995</v>
      </c>
      <c r="B162" s="11" t="s">
        <v>250</v>
      </c>
      <c r="C162" s="18">
        <v>22.5</v>
      </c>
      <c r="D162" s="18">
        <v>65</v>
      </c>
      <c r="E162" s="18">
        <v>107.1</v>
      </c>
      <c r="F162" s="18">
        <v>82.8</v>
      </c>
      <c r="G162" s="18">
        <v>26</v>
      </c>
      <c r="H162" s="18">
        <v>4.8</v>
      </c>
    </row>
    <row r="163" spans="1:8" x14ac:dyDescent="0.25">
      <c r="A163" s="11">
        <v>1995</v>
      </c>
      <c r="B163" s="11" t="s">
        <v>251</v>
      </c>
      <c r="C163" s="18">
        <v>32.200000000000003</v>
      </c>
      <c r="D163" s="18">
        <v>62.2</v>
      </c>
      <c r="E163" s="18">
        <v>100.4</v>
      </c>
      <c r="F163" s="18">
        <v>81.900000000000006</v>
      </c>
      <c r="G163" s="18">
        <v>31.7</v>
      </c>
      <c r="H163" s="18">
        <v>3.5</v>
      </c>
    </row>
    <row r="164" spans="1:8" x14ac:dyDescent="0.25">
      <c r="A164" s="11">
        <v>1995</v>
      </c>
      <c r="B164" s="11" t="s">
        <v>252</v>
      </c>
      <c r="C164" s="18">
        <v>25.4</v>
      </c>
      <c r="D164" s="18">
        <v>76.099999999999994</v>
      </c>
      <c r="E164" s="18">
        <v>114.4</v>
      </c>
      <c r="F164" s="18">
        <v>85.6</v>
      </c>
      <c r="G164" s="18">
        <v>29.2</v>
      </c>
      <c r="H164" s="18">
        <v>8.6</v>
      </c>
    </row>
    <row r="165" spans="1:8" x14ac:dyDescent="0.25">
      <c r="A165" s="11">
        <v>1995</v>
      </c>
      <c r="B165" s="11" t="s">
        <v>253</v>
      </c>
      <c r="C165" s="18">
        <v>20.3</v>
      </c>
      <c r="D165" s="18">
        <v>87.5</v>
      </c>
      <c r="E165" s="18">
        <v>124.7</v>
      </c>
      <c r="F165" s="18">
        <v>96.6</v>
      </c>
      <c r="G165" s="18">
        <v>30</v>
      </c>
      <c r="H165" s="18">
        <v>7.8</v>
      </c>
    </row>
    <row r="166" spans="1:8" x14ac:dyDescent="0.25">
      <c r="A166" s="11">
        <v>1995</v>
      </c>
      <c r="B166" s="11" t="s">
        <v>254</v>
      </c>
      <c r="C166" s="18">
        <v>32.5</v>
      </c>
      <c r="D166" s="18">
        <v>58</v>
      </c>
      <c r="E166" s="18">
        <v>100.8</v>
      </c>
      <c r="F166" s="18">
        <v>70.599999999999994</v>
      </c>
      <c r="G166" s="18">
        <v>25.4</v>
      </c>
      <c r="H166" s="18">
        <v>3.8</v>
      </c>
    </row>
    <row r="167" spans="1:8" x14ac:dyDescent="0.25">
      <c r="A167" s="11">
        <v>1995</v>
      </c>
      <c r="B167" s="11" t="s">
        <v>255</v>
      </c>
      <c r="C167" s="18">
        <v>26.4</v>
      </c>
      <c r="D167" s="18">
        <v>61.2</v>
      </c>
      <c r="E167" s="18">
        <v>105.9</v>
      </c>
      <c r="F167" s="18">
        <v>80.3</v>
      </c>
      <c r="G167" s="18">
        <v>28.6</v>
      </c>
      <c r="H167" s="18">
        <v>4.3</v>
      </c>
    </row>
    <row r="168" spans="1:8" x14ac:dyDescent="0.25">
      <c r="A168" s="11">
        <v>1995</v>
      </c>
      <c r="B168" s="11" t="s">
        <v>256</v>
      </c>
      <c r="C168" s="18">
        <v>18.5</v>
      </c>
      <c r="D168" s="18">
        <v>47.8</v>
      </c>
      <c r="E168" s="18">
        <v>101.6</v>
      </c>
      <c r="F168" s="18">
        <v>90.8</v>
      </c>
      <c r="G168" s="18">
        <v>37.9</v>
      </c>
      <c r="H168" s="18">
        <v>4.9000000000000004</v>
      </c>
    </row>
    <row r="169" spans="1:8" x14ac:dyDescent="0.25">
      <c r="A169" s="11">
        <v>1995</v>
      </c>
      <c r="B169" s="11" t="s">
        <v>257</v>
      </c>
      <c r="C169" s="18">
        <v>37.799999999999997</v>
      </c>
      <c r="D169" s="18">
        <v>70.900000000000006</v>
      </c>
      <c r="E169" s="18">
        <v>109.2</v>
      </c>
      <c r="F169" s="18">
        <v>75.099999999999994</v>
      </c>
      <c r="G169" s="18">
        <v>28.3</v>
      </c>
      <c r="H169" s="18">
        <v>5.0999999999999996</v>
      </c>
    </row>
    <row r="170" spans="1:8" x14ac:dyDescent="0.25">
      <c r="A170" s="11">
        <v>1995</v>
      </c>
      <c r="B170" s="11" t="s">
        <v>258</v>
      </c>
      <c r="C170" s="18">
        <v>31.8</v>
      </c>
      <c r="D170" s="18">
        <v>86</v>
      </c>
      <c r="E170" s="18">
        <v>116.1</v>
      </c>
      <c r="F170" s="18">
        <v>77.099999999999994</v>
      </c>
      <c r="G170" s="18">
        <v>27.8</v>
      </c>
      <c r="H170" s="18">
        <v>4.0999999999999996</v>
      </c>
    </row>
    <row r="171" spans="1:8" x14ac:dyDescent="0.25">
      <c r="A171" s="11">
        <v>1996</v>
      </c>
      <c r="B171" s="11" t="s">
        <v>11</v>
      </c>
      <c r="C171" s="18">
        <v>29.7</v>
      </c>
      <c r="D171" s="18">
        <v>64.5</v>
      </c>
      <c r="E171" s="18">
        <v>98.5</v>
      </c>
      <c r="F171" s="18">
        <v>81.900000000000006</v>
      </c>
      <c r="G171" s="18">
        <v>31.4</v>
      </c>
      <c r="H171" s="18">
        <v>5.4</v>
      </c>
    </row>
    <row r="172" spans="1:8" x14ac:dyDescent="0.25">
      <c r="A172" s="11">
        <v>1996</v>
      </c>
      <c r="B172" s="11" t="s">
        <v>227</v>
      </c>
      <c r="C172" s="18">
        <v>22.5</v>
      </c>
      <c r="D172" s="18">
        <v>44.4</v>
      </c>
      <c r="E172" s="18">
        <v>79.7</v>
      </c>
      <c r="F172" s="18">
        <v>81.400000000000006</v>
      </c>
      <c r="G172" s="18">
        <v>31.2</v>
      </c>
      <c r="H172" s="18">
        <v>5.5</v>
      </c>
    </row>
    <row r="173" spans="1:8" x14ac:dyDescent="0.25">
      <c r="A173" s="11">
        <v>1996</v>
      </c>
      <c r="B173" s="11" t="s">
        <v>228</v>
      </c>
      <c r="C173" s="18">
        <v>17.399999999999999</v>
      </c>
      <c r="D173" s="18">
        <v>67.900000000000006</v>
      </c>
      <c r="E173" s="18">
        <v>124.4</v>
      </c>
      <c r="F173" s="18">
        <v>83.9</v>
      </c>
      <c r="G173" s="18">
        <v>30.2</v>
      </c>
      <c r="H173" s="18">
        <v>4.4000000000000004</v>
      </c>
    </row>
    <row r="174" spans="1:8" x14ac:dyDescent="0.25">
      <c r="A174" s="11">
        <v>1996</v>
      </c>
      <c r="B174" s="11" t="s">
        <v>229</v>
      </c>
      <c r="C174" s="18">
        <v>32</v>
      </c>
      <c r="D174" s="18">
        <v>86.3</v>
      </c>
      <c r="E174" s="18">
        <v>109.3</v>
      </c>
      <c r="F174" s="18">
        <v>78.599999999999994</v>
      </c>
      <c r="G174" s="18">
        <v>25.5</v>
      </c>
      <c r="H174" s="18">
        <v>5.5</v>
      </c>
    </row>
    <row r="175" spans="1:8" x14ac:dyDescent="0.25">
      <c r="A175" s="11">
        <v>1996</v>
      </c>
      <c r="B175" s="11" t="s">
        <v>230</v>
      </c>
      <c r="C175" s="18">
        <v>29.1</v>
      </c>
      <c r="D175" s="18">
        <v>69.099999999999994</v>
      </c>
      <c r="E175" s="18">
        <v>102.9</v>
      </c>
      <c r="F175" s="18">
        <v>82.6</v>
      </c>
      <c r="G175" s="18">
        <v>37.5</v>
      </c>
      <c r="H175" s="18">
        <v>6.5</v>
      </c>
    </row>
    <row r="176" spans="1:8" x14ac:dyDescent="0.25">
      <c r="A176" s="11">
        <v>1996</v>
      </c>
      <c r="B176" s="11" t="s">
        <v>231</v>
      </c>
      <c r="C176" s="18">
        <v>23.3</v>
      </c>
      <c r="D176" s="18">
        <v>36</v>
      </c>
      <c r="E176" s="18">
        <v>71.2</v>
      </c>
      <c r="F176" s="18">
        <v>90.9</v>
      </c>
      <c r="G176" s="18">
        <v>41.4</v>
      </c>
      <c r="H176" s="18">
        <v>8.6</v>
      </c>
    </row>
    <row r="177" spans="1:8" x14ac:dyDescent="0.25">
      <c r="A177" s="11">
        <v>1996</v>
      </c>
      <c r="B177" s="11" t="s">
        <v>232</v>
      </c>
      <c r="C177" s="18">
        <v>32.6</v>
      </c>
      <c r="D177" s="18">
        <v>93.8</v>
      </c>
      <c r="E177" s="18">
        <v>118.3</v>
      </c>
      <c r="F177" s="18">
        <v>76.599999999999994</v>
      </c>
      <c r="G177" s="18">
        <v>24.8</v>
      </c>
      <c r="H177" s="18">
        <v>3</v>
      </c>
    </row>
    <row r="178" spans="1:8" x14ac:dyDescent="0.25">
      <c r="A178" s="11">
        <v>1996</v>
      </c>
      <c r="B178" s="11" t="s">
        <v>233</v>
      </c>
      <c r="C178" s="18">
        <v>29</v>
      </c>
      <c r="D178" s="18">
        <v>97.4</v>
      </c>
      <c r="E178" s="18">
        <v>110.2</v>
      </c>
      <c r="F178" s="18">
        <v>75.599999999999994</v>
      </c>
      <c r="G178" s="18">
        <v>29.9</v>
      </c>
      <c r="H178" s="18">
        <v>3.4</v>
      </c>
    </row>
    <row r="179" spans="1:8" x14ac:dyDescent="0.25">
      <c r="A179" s="11">
        <v>1996</v>
      </c>
      <c r="B179" s="11" t="s">
        <v>234</v>
      </c>
      <c r="C179" s="18">
        <v>38</v>
      </c>
      <c r="D179" s="18">
        <v>66.599999999999994</v>
      </c>
      <c r="E179" s="18">
        <v>94.1</v>
      </c>
      <c r="F179" s="18">
        <v>67.2</v>
      </c>
      <c r="G179" s="18">
        <v>25.6</v>
      </c>
      <c r="H179" s="18">
        <v>4.8</v>
      </c>
    </row>
    <row r="180" spans="1:8" x14ac:dyDescent="0.25">
      <c r="A180" s="11">
        <v>1996</v>
      </c>
      <c r="B180" s="11" t="s">
        <v>235</v>
      </c>
      <c r="C180" s="18">
        <v>43.1</v>
      </c>
      <c r="D180" s="18">
        <v>76.400000000000006</v>
      </c>
      <c r="E180" s="18">
        <v>104.5</v>
      </c>
      <c r="F180" s="18">
        <v>72.099999999999994</v>
      </c>
      <c r="G180" s="18">
        <v>25.4</v>
      </c>
      <c r="H180" s="18">
        <v>2</v>
      </c>
    </row>
    <row r="181" spans="1:8" x14ac:dyDescent="0.25">
      <c r="A181" s="11">
        <v>1996</v>
      </c>
      <c r="B181" s="11" t="s">
        <v>236</v>
      </c>
      <c r="C181" s="18">
        <v>18</v>
      </c>
      <c r="D181" s="18">
        <v>33.5</v>
      </c>
      <c r="E181" s="18">
        <v>109.5</v>
      </c>
      <c r="F181" s="18">
        <v>105.8</v>
      </c>
      <c r="G181" s="18">
        <v>38.9</v>
      </c>
      <c r="H181" s="18">
        <v>4.8</v>
      </c>
    </row>
    <row r="182" spans="1:8" x14ac:dyDescent="0.25">
      <c r="A182" s="11">
        <v>1996</v>
      </c>
      <c r="B182" s="11" t="s">
        <v>237</v>
      </c>
      <c r="C182" s="18">
        <v>28.8</v>
      </c>
      <c r="D182" s="18">
        <v>77.900000000000006</v>
      </c>
      <c r="E182" s="18">
        <v>118.8</v>
      </c>
      <c r="F182" s="18">
        <v>98.2</v>
      </c>
      <c r="G182" s="18">
        <v>33.5</v>
      </c>
      <c r="H182" s="18">
        <v>4.3</v>
      </c>
    </row>
    <row r="183" spans="1:8" x14ac:dyDescent="0.25">
      <c r="A183" s="11">
        <v>1996</v>
      </c>
      <c r="B183" s="11" t="s">
        <v>238</v>
      </c>
      <c r="C183" s="18">
        <v>17.8</v>
      </c>
      <c r="D183" s="18">
        <v>39.799999999999997</v>
      </c>
      <c r="E183" s="18">
        <v>114</v>
      </c>
      <c r="F183" s="18">
        <v>111.2</v>
      </c>
      <c r="G183" s="18">
        <v>38.4</v>
      </c>
      <c r="H183" s="18">
        <v>9.1999999999999993</v>
      </c>
    </row>
    <row r="184" spans="1:8" x14ac:dyDescent="0.25">
      <c r="A184" s="11">
        <v>1996</v>
      </c>
      <c r="B184" s="11" t="s">
        <v>239</v>
      </c>
      <c r="C184" s="18">
        <v>29</v>
      </c>
      <c r="D184" s="18">
        <v>72.7</v>
      </c>
      <c r="E184" s="18">
        <v>106.9</v>
      </c>
      <c r="F184" s="18">
        <v>79.599999999999994</v>
      </c>
      <c r="G184" s="18">
        <v>24.1</v>
      </c>
      <c r="H184" s="18">
        <v>3.7</v>
      </c>
    </row>
    <row r="185" spans="1:8" x14ac:dyDescent="0.25">
      <c r="A185" s="11">
        <v>1996</v>
      </c>
      <c r="B185" s="11" t="s">
        <v>240</v>
      </c>
      <c r="C185" s="18">
        <v>30.6</v>
      </c>
      <c r="D185" s="18">
        <v>71.2</v>
      </c>
      <c r="E185" s="18">
        <v>102.4</v>
      </c>
      <c r="F185" s="18">
        <v>71.5</v>
      </c>
      <c r="G185" s="18">
        <v>27.6</v>
      </c>
      <c r="H185" s="18">
        <v>4.9000000000000004</v>
      </c>
    </row>
    <row r="186" spans="1:8" x14ac:dyDescent="0.25">
      <c r="A186" s="11">
        <v>1996</v>
      </c>
      <c r="B186" s="11" t="s">
        <v>241</v>
      </c>
      <c r="C186" s="18">
        <v>41.7</v>
      </c>
      <c r="D186" s="18">
        <v>64.400000000000006</v>
      </c>
      <c r="E186" s="18">
        <v>84.2</v>
      </c>
      <c r="F186" s="18">
        <v>74.900000000000006</v>
      </c>
      <c r="G186" s="18">
        <v>34.6</v>
      </c>
      <c r="H186" s="18">
        <v>8.1</v>
      </c>
    </row>
    <row r="187" spans="1:8" x14ac:dyDescent="0.25">
      <c r="A187" s="11">
        <v>1996</v>
      </c>
      <c r="B187" s="11" t="s">
        <v>242</v>
      </c>
      <c r="C187" s="18">
        <v>26.9</v>
      </c>
      <c r="D187" s="18">
        <v>85.7</v>
      </c>
      <c r="E187" s="18">
        <v>105.8</v>
      </c>
      <c r="F187" s="18">
        <v>84.8</v>
      </c>
      <c r="G187" s="18">
        <v>34.799999999999997</v>
      </c>
      <c r="H187" s="18">
        <v>4.2</v>
      </c>
    </row>
    <row r="188" spans="1:8" x14ac:dyDescent="0.25">
      <c r="A188" s="11">
        <v>1996</v>
      </c>
      <c r="B188" s="11" t="s">
        <v>243</v>
      </c>
      <c r="C188" s="18">
        <v>42.4</v>
      </c>
      <c r="D188" s="18">
        <v>68.7</v>
      </c>
      <c r="E188" s="18">
        <v>106.4</v>
      </c>
      <c r="F188" s="18">
        <v>75</v>
      </c>
      <c r="G188" s="18">
        <v>31.2</v>
      </c>
      <c r="H188" s="18">
        <v>4.5999999999999996</v>
      </c>
    </row>
    <row r="189" spans="1:8" x14ac:dyDescent="0.25">
      <c r="A189" s="11">
        <v>1996</v>
      </c>
      <c r="B189" s="11" t="s">
        <v>244</v>
      </c>
      <c r="C189" s="18">
        <v>31.5</v>
      </c>
      <c r="D189" s="18">
        <v>75.2</v>
      </c>
      <c r="E189" s="18">
        <v>110.7</v>
      </c>
      <c r="F189" s="18">
        <v>77.7</v>
      </c>
      <c r="G189" s="18">
        <v>24.7</v>
      </c>
      <c r="H189" s="18">
        <v>4.2</v>
      </c>
    </row>
    <row r="190" spans="1:8" x14ac:dyDescent="0.25">
      <c r="A190" s="11">
        <v>1996</v>
      </c>
      <c r="B190" s="11" t="s">
        <v>245</v>
      </c>
      <c r="C190" s="18">
        <v>29.6</v>
      </c>
      <c r="D190" s="18">
        <v>82.5</v>
      </c>
      <c r="E190" s="18">
        <v>114.7</v>
      </c>
      <c r="F190" s="18">
        <v>82.3</v>
      </c>
      <c r="G190" s="18">
        <v>25</v>
      </c>
      <c r="H190" s="18">
        <v>4.4000000000000004</v>
      </c>
    </row>
    <row r="191" spans="1:8" x14ac:dyDescent="0.25">
      <c r="A191" s="11">
        <v>1996</v>
      </c>
      <c r="B191" s="11" t="s">
        <v>246</v>
      </c>
      <c r="C191" s="18">
        <v>16</v>
      </c>
      <c r="D191" s="18">
        <v>70.5</v>
      </c>
      <c r="E191" s="18">
        <v>97.1</v>
      </c>
      <c r="F191" s="18">
        <v>88.4</v>
      </c>
      <c r="G191" s="18">
        <v>37.5</v>
      </c>
      <c r="H191" s="18">
        <v>9.9</v>
      </c>
    </row>
    <row r="192" spans="1:8" x14ac:dyDescent="0.25">
      <c r="A192" s="11">
        <v>1996</v>
      </c>
      <c r="B192" s="11" t="s">
        <v>247</v>
      </c>
      <c r="C192" s="18">
        <v>31.7</v>
      </c>
      <c r="D192" s="18">
        <v>84.1</v>
      </c>
      <c r="E192" s="18">
        <v>104.7</v>
      </c>
      <c r="F192" s="18">
        <v>71.5</v>
      </c>
      <c r="G192" s="18">
        <v>25.1</v>
      </c>
      <c r="H192" s="18">
        <v>5.7</v>
      </c>
    </row>
    <row r="193" spans="1:8" x14ac:dyDescent="0.25">
      <c r="A193" s="11">
        <v>1996</v>
      </c>
      <c r="B193" s="11" t="s">
        <v>248</v>
      </c>
      <c r="C193" s="18">
        <v>35.5</v>
      </c>
      <c r="D193" s="18">
        <v>81.3</v>
      </c>
      <c r="E193" s="18">
        <v>103.7</v>
      </c>
      <c r="F193" s="18">
        <v>78.599999999999994</v>
      </c>
      <c r="G193" s="18">
        <v>26.6</v>
      </c>
      <c r="H193" s="18">
        <v>4</v>
      </c>
    </row>
    <row r="194" spans="1:8" x14ac:dyDescent="0.25">
      <c r="A194" s="11">
        <v>1996</v>
      </c>
      <c r="B194" s="11" t="s">
        <v>249</v>
      </c>
      <c r="C194" s="18">
        <v>19.100000000000001</v>
      </c>
      <c r="D194" s="18">
        <v>73.3</v>
      </c>
      <c r="E194" s="18">
        <v>126.9</v>
      </c>
      <c r="F194" s="18">
        <v>79.599999999999994</v>
      </c>
      <c r="G194" s="18">
        <v>38.299999999999997</v>
      </c>
      <c r="H194" s="18">
        <v>8.9</v>
      </c>
    </row>
    <row r="195" spans="1:8" x14ac:dyDescent="0.25">
      <c r="A195" s="11">
        <v>1996</v>
      </c>
      <c r="B195" s="11" t="s">
        <v>250</v>
      </c>
      <c r="C195" s="18">
        <v>22.5</v>
      </c>
      <c r="D195" s="18">
        <v>54.8</v>
      </c>
      <c r="E195" s="18">
        <v>106.6</v>
      </c>
      <c r="F195" s="18">
        <v>88.3</v>
      </c>
      <c r="G195" s="18">
        <v>35.200000000000003</v>
      </c>
      <c r="H195" s="18">
        <v>4.8</v>
      </c>
    </row>
    <row r="196" spans="1:8" x14ac:dyDescent="0.25">
      <c r="A196" s="11">
        <v>1996</v>
      </c>
      <c r="B196" s="11" t="s">
        <v>251</v>
      </c>
      <c r="C196" s="18">
        <v>29.4</v>
      </c>
      <c r="D196" s="18">
        <v>69.3</v>
      </c>
      <c r="E196" s="18">
        <v>95.1</v>
      </c>
      <c r="F196" s="18">
        <v>87.9</v>
      </c>
      <c r="G196" s="18">
        <v>31</v>
      </c>
      <c r="H196" s="18">
        <v>5.8</v>
      </c>
    </row>
    <row r="197" spans="1:8" x14ac:dyDescent="0.25">
      <c r="A197" s="11">
        <v>1996</v>
      </c>
      <c r="B197" s="11" t="s">
        <v>252</v>
      </c>
      <c r="C197" s="18">
        <v>18.600000000000001</v>
      </c>
      <c r="D197" s="18">
        <v>62.6</v>
      </c>
      <c r="E197" s="18">
        <v>116.2</v>
      </c>
      <c r="F197" s="18">
        <v>91.7</v>
      </c>
      <c r="G197" s="18">
        <v>32.6</v>
      </c>
      <c r="H197" s="18">
        <v>6.2</v>
      </c>
    </row>
    <row r="198" spans="1:8" x14ac:dyDescent="0.25">
      <c r="A198" s="11">
        <v>1996</v>
      </c>
      <c r="B198" s="11" t="s">
        <v>253</v>
      </c>
      <c r="C198" s="18">
        <v>12.5</v>
      </c>
      <c r="D198" s="18">
        <v>105.9</v>
      </c>
      <c r="E198" s="18">
        <v>96.2</v>
      </c>
      <c r="F198" s="18">
        <v>88.7</v>
      </c>
      <c r="G198" s="18">
        <v>38.4</v>
      </c>
      <c r="H198" s="18">
        <v>9</v>
      </c>
    </row>
    <row r="199" spans="1:8" x14ac:dyDescent="0.25">
      <c r="A199" s="11">
        <v>1996</v>
      </c>
      <c r="B199" s="11" t="s">
        <v>254</v>
      </c>
      <c r="C199" s="18">
        <v>32.5</v>
      </c>
      <c r="D199" s="18">
        <v>68.5</v>
      </c>
      <c r="E199" s="18">
        <v>98.9</v>
      </c>
      <c r="F199" s="18">
        <v>80.7</v>
      </c>
      <c r="G199" s="18">
        <v>29.5</v>
      </c>
      <c r="H199" s="18">
        <v>5.0999999999999996</v>
      </c>
    </row>
    <row r="200" spans="1:8" x14ac:dyDescent="0.25">
      <c r="A200" s="11">
        <v>1996</v>
      </c>
      <c r="B200" s="11" t="s">
        <v>255</v>
      </c>
      <c r="C200" s="18">
        <v>24.7</v>
      </c>
      <c r="D200" s="18">
        <v>61.9</v>
      </c>
      <c r="E200" s="18">
        <v>104.5</v>
      </c>
      <c r="F200" s="18">
        <v>85.3</v>
      </c>
      <c r="G200" s="18">
        <v>29.9</v>
      </c>
      <c r="H200" s="18">
        <v>4</v>
      </c>
    </row>
    <row r="201" spans="1:8" x14ac:dyDescent="0.25">
      <c r="A201" s="11">
        <v>1996</v>
      </c>
      <c r="B201" s="11" t="s">
        <v>256</v>
      </c>
      <c r="C201" s="18">
        <v>14.7</v>
      </c>
      <c r="D201" s="18">
        <v>44.5</v>
      </c>
      <c r="E201" s="18">
        <v>97.7</v>
      </c>
      <c r="F201" s="18">
        <v>94.7</v>
      </c>
      <c r="G201" s="18">
        <v>41.9</v>
      </c>
      <c r="H201" s="18">
        <v>6.7</v>
      </c>
    </row>
    <row r="202" spans="1:8" x14ac:dyDescent="0.25">
      <c r="A202" s="11">
        <v>1996</v>
      </c>
      <c r="B202" s="11" t="s">
        <v>257</v>
      </c>
      <c r="C202" s="18">
        <v>39.700000000000003</v>
      </c>
      <c r="D202" s="18">
        <v>75.099999999999994</v>
      </c>
      <c r="E202" s="18">
        <v>114.7</v>
      </c>
      <c r="F202" s="18">
        <v>80.3</v>
      </c>
      <c r="G202" s="18">
        <v>26</v>
      </c>
      <c r="H202" s="18">
        <v>4</v>
      </c>
    </row>
    <row r="203" spans="1:8" x14ac:dyDescent="0.25">
      <c r="A203" s="11">
        <v>1996</v>
      </c>
      <c r="B203" s="11" t="s">
        <v>258</v>
      </c>
      <c r="C203" s="18">
        <v>36</v>
      </c>
      <c r="D203" s="18">
        <v>71</v>
      </c>
      <c r="E203" s="18">
        <v>110.5</v>
      </c>
      <c r="F203" s="18">
        <v>81.900000000000006</v>
      </c>
      <c r="G203" s="18">
        <v>25.5</v>
      </c>
      <c r="H203" s="18">
        <v>2.2000000000000002</v>
      </c>
    </row>
    <row r="204" spans="1:8" x14ac:dyDescent="0.25">
      <c r="A204" s="11">
        <v>1997</v>
      </c>
      <c r="B204" s="11" t="s">
        <v>11</v>
      </c>
      <c r="C204" s="18">
        <v>31</v>
      </c>
      <c r="D204" s="18">
        <v>65.5</v>
      </c>
      <c r="E204" s="18">
        <v>97.4</v>
      </c>
      <c r="F204" s="18">
        <v>83.9</v>
      </c>
      <c r="G204" s="18">
        <v>34</v>
      </c>
      <c r="H204" s="18">
        <v>5.4</v>
      </c>
    </row>
    <row r="205" spans="1:8" x14ac:dyDescent="0.25">
      <c r="A205" s="11">
        <v>1997</v>
      </c>
      <c r="B205" s="11" t="s">
        <v>227</v>
      </c>
      <c r="C205" s="18">
        <v>24.2</v>
      </c>
      <c r="D205" s="18">
        <v>40.200000000000003</v>
      </c>
      <c r="E205" s="18">
        <v>82.5</v>
      </c>
      <c r="F205" s="18">
        <v>78.900000000000006</v>
      </c>
      <c r="G205" s="18">
        <v>32.6</v>
      </c>
      <c r="H205" s="18">
        <v>6.9</v>
      </c>
    </row>
    <row r="206" spans="1:8" x14ac:dyDescent="0.25">
      <c r="A206" s="11">
        <v>1997</v>
      </c>
      <c r="B206" s="11" t="s">
        <v>228</v>
      </c>
      <c r="C206" s="18">
        <v>20</v>
      </c>
      <c r="D206" s="18">
        <v>68.599999999999994</v>
      </c>
      <c r="E206" s="18">
        <v>116.5</v>
      </c>
      <c r="F206" s="18">
        <v>91.8</v>
      </c>
      <c r="G206" s="18">
        <v>33.700000000000003</v>
      </c>
      <c r="H206" s="18">
        <v>3.8</v>
      </c>
    </row>
    <row r="207" spans="1:8" x14ac:dyDescent="0.25">
      <c r="A207" s="11">
        <v>1997</v>
      </c>
      <c r="B207" s="11" t="s">
        <v>229</v>
      </c>
      <c r="C207" s="18">
        <v>33.1</v>
      </c>
      <c r="D207" s="18">
        <v>80.400000000000006</v>
      </c>
      <c r="E207" s="18">
        <v>120.8</v>
      </c>
      <c r="F207" s="18">
        <v>76.2</v>
      </c>
      <c r="G207" s="18">
        <v>33</v>
      </c>
      <c r="H207" s="18">
        <v>4.4000000000000004</v>
      </c>
    </row>
    <row r="208" spans="1:8" x14ac:dyDescent="0.25">
      <c r="A208" s="11">
        <v>1997</v>
      </c>
      <c r="B208" s="11" t="s">
        <v>230</v>
      </c>
      <c r="C208" s="18">
        <v>21.8</v>
      </c>
      <c r="D208" s="18">
        <v>77.3</v>
      </c>
      <c r="E208" s="18">
        <v>106.6</v>
      </c>
      <c r="F208" s="18">
        <v>85</v>
      </c>
      <c r="G208" s="18">
        <v>35.200000000000003</v>
      </c>
      <c r="H208" s="18">
        <v>6.4</v>
      </c>
    </row>
    <row r="209" spans="1:8" x14ac:dyDescent="0.25">
      <c r="A209" s="11">
        <v>1997</v>
      </c>
      <c r="B209" s="11" t="s">
        <v>231</v>
      </c>
      <c r="C209" s="18">
        <v>24.3</v>
      </c>
      <c r="D209" s="18">
        <v>35</v>
      </c>
      <c r="E209" s="18">
        <v>67.599999999999994</v>
      </c>
      <c r="F209" s="18">
        <v>92.2</v>
      </c>
      <c r="G209" s="18">
        <v>43.2</v>
      </c>
      <c r="H209" s="18">
        <v>7.8</v>
      </c>
    </row>
    <row r="210" spans="1:8" x14ac:dyDescent="0.25">
      <c r="A210" s="11">
        <v>1997</v>
      </c>
      <c r="B210" s="11" t="s">
        <v>232</v>
      </c>
      <c r="C210" s="18">
        <v>31.8</v>
      </c>
      <c r="D210" s="18">
        <v>94.2</v>
      </c>
      <c r="E210" s="18">
        <v>105.4</v>
      </c>
      <c r="F210" s="18">
        <v>77.099999999999994</v>
      </c>
      <c r="G210" s="18">
        <v>29.6</v>
      </c>
      <c r="H210" s="18">
        <v>2.4</v>
      </c>
    </row>
    <row r="211" spans="1:8" x14ac:dyDescent="0.25">
      <c r="A211" s="11">
        <v>1997</v>
      </c>
      <c r="B211" s="11" t="s">
        <v>233</v>
      </c>
      <c r="C211" s="18">
        <v>34.200000000000003</v>
      </c>
      <c r="D211" s="18">
        <v>85.9</v>
      </c>
      <c r="E211" s="18">
        <v>112.9</v>
      </c>
      <c r="F211" s="18">
        <v>76.099999999999994</v>
      </c>
      <c r="G211" s="18">
        <v>28.8</v>
      </c>
      <c r="H211" s="18">
        <v>5</v>
      </c>
    </row>
    <row r="212" spans="1:8" x14ac:dyDescent="0.25">
      <c r="A212" s="11">
        <v>1997</v>
      </c>
      <c r="B212" s="11" t="s">
        <v>234</v>
      </c>
      <c r="C212" s="18">
        <v>37.799999999999997</v>
      </c>
      <c r="D212" s="18">
        <v>67.7</v>
      </c>
      <c r="E212" s="18">
        <v>93.2</v>
      </c>
      <c r="F212" s="18">
        <v>70.5</v>
      </c>
      <c r="G212" s="18">
        <v>29.6</v>
      </c>
      <c r="H212" s="18">
        <v>3.4</v>
      </c>
    </row>
    <row r="213" spans="1:8" x14ac:dyDescent="0.25">
      <c r="A213" s="11">
        <v>1997</v>
      </c>
      <c r="B213" s="11" t="s">
        <v>235</v>
      </c>
      <c r="C213" s="18">
        <v>40.9</v>
      </c>
      <c r="D213" s="18">
        <v>88.8</v>
      </c>
      <c r="E213" s="18">
        <v>96.7</v>
      </c>
      <c r="F213" s="18">
        <v>75.900000000000006</v>
      </c>
      <c r="G213" s="18">
        <v>24.3</v>
      </c>
      <c r="H213" s="18">
        <v>4.0999999999999996</v>
      </c>
    </row>
    <row r="214" spans="1:8" x14ac:dyDescent="0.25">
      <c r="A214" s="11">
        <v>1997</v>
      </c>
      <c r="B214" s="11" t="s">
        <v>236</v>
      </c>
      <c r="C214" s="18">
        <v>13.7</v>
      </c>
      <c r="D214" s="18">
        <v>27.6</v>
      </c>
      <c r="E214" s="18">
        <v>102.8</v>
      </c>
      <c r="F214" s="18">
        <v>119.3</v>
      </c>
      <c r="G214" s="18">
        <v>41.9</v>
      </c>
      <c r="H214" s="18">
        <v>6</v>
      </c>
    </row>
    <row r="215" spans="1:8" x14ac:dyDescent="0.25">
      <c r="A215" s="11">
        <v>1997</v>
      </c>
      <c r="B215" s="11" t="s">
        <v>237</v>
      </c>
      <c r="C215" s="18">
        <v>36.200000000000003</v>
      </c>
      <c r="D215" s="18">
        <v>87.7</v>
      </c>
      <c r="E215" s="18">
        <v>114</v>
      </c>
      <c r="F215" s="18">
        <v>86.3</v>
      </c>
      <c r="G215" s="18">
        <v>37.299999999999997</v>
      </c>
      <c r="H215" s="18">
        <v>9</v>
      </c>
    </row>
    <row r="216" spans="1:8" x14ac:dyDescent="0.25">
      <c r="A216" s="11">
        <v>1997</v>
      </c>
      <c r="B216" s="11" t="s">
        <v>238</v>
      </c>
      <c r="C216" s="18">
        <v>15.3</v>
      </c>
      <c r="D216" s="18">
        <v>41</v>
      </c>
      <c r="E216" s="18">
        <v>107.1</v>
      </c>
      <c r="F216" s="18">
        <v>121.3</v>
      </c>
      <c r="G216" s="18">
        <v>46.2</v>
      </c>
      <c r="H216" s="18">
        <v>9.3000000000000007</v>
      </c>
    </row>
    <row r="217" spans="1:8" x14ac:dyDescent="0.25">
      <c r="A217" s="11">
        <v>1997</v>
      </c>
      <c r="B217" s="11" t="s">
        <v>239</v>
      </c>
      <c r="C217" s="18">
        <v>32.4</v>
      </c>
      <c r="D217" s="18">
        <v>78.3</v>
      </c>
      <c r="E217" s="18">
        <v>97.5</v>
      </c>
      <c r="F217" s="18">
        <v>77.8</v>
      </c>
      <c r="G217" s="18">
        <v>26.6</v>
      </c>
      <c r="H217" s="18">
        <v>3.3</v>
      </c>
    </row>
    <row r="218" spans="1:8" x14ac:dyDescent="0.25">
      <c r="A218" s="11">
        <v>1997</v>
      </c>
      <c r="B218" s="11" t="s">
        <v>240</v>
      </c>
      <c r="C218" s="18">
        <v>33.5</v>
      </c>
      <c r="D218" s="18">
        <v>72.3</v>
      </c>
      <c r="E218" s="18">
        <v>104.6</v>
      </c>
      <c r="F218" s="18">
        <v>72.599999999999994</v>
      </c>
      <c r="G218" s="18">
        <v>28.2</v>
      </c>
      <c r="H218" s="18">
        <v>4.5</v>
      </c>
    </row>
    <row r="219" spans="1:8" x14ac:dyDescent="0.25">
      <c r="A219" s="11">
        <v>1997</v>
      </c>
      <c r="B219" s="11" t="s">
        <v>241</v>
      </c>
      <c r="C219" s="18">
        <v>41.4</v>
      </c>
      <c r="D219" s="18">
        <v>65.400000000000006</v>
      </c>
      <c r="E219" s="18">
        <v>85.4</v>
      </c>
      <c r="F219" s="18">
        <v>75.900000000000006</v>
      </c>
      <c r="G219" s="18">
        <v>35.700000000000003</v>
      </c>
      <c r="H219" s="18">
        <v>6.9</v>
      </c>
    </row>
    <row r="220" spans="1:8" x14ac:dyDescent="0.25">
      <c r="A220" s="11">
        <v>1997</v>
      </c>
      <c r="B220" s="11" t="s">
        <v>242</v>
      </c>
      <c r="C220" s="18">
        <v>29.8</v>
      </c>
      <c r="D220" s="18">
        <v>89.6</v>
      </c>
      <c r="E220" s="18">
        <v>107.6</v>
      </c>
      <c r="F220" s="18">
        <v>88.2</v>
      </c>
      <c r="G220" s="18">
        <v>39.799999999999997</v>
      </c>
      <c r="H220" s="18">
        <v>7.1</v>
      </c>
    </row>
    <row r="221" spans="1:8" x14ac:dyDescent="0.25">
      <c r="A221" s="11">
        <v>1997</v>
      </c>
      <c r="B221" s="11" t="s">
        <v>243</v>
      </c>
      <c r="C221" s="18">
        <v>37.299999999999997</v>
      </c>
      <c r="D221" s="18">
        <v>75.2</v>
      </c>
      <c r="E221" s="18">
        <v>94</v>
      </c>
      <c r="F221" s="18">
        <v>80.5</v>
      </c>
      <c r="G221" s="18">
        <v>34.700000000000003</v>
      </c>
      <c r="H221" s="18">
        <v>2.7</v>
      </c>
    </row>
    <row r="222" spans="1:8" x14ac:dyDescent="0.25">
      <c r="A222" s="11">
        <v>1997</v>
      </c>
      <c r="B222" s="11" t="s">
        <v>244</v>
      </c>
      <c r="C222" s="18">
        <v>31.1</v>
      </c>
      <c r="D222" s="18">
        <v>75.400000000000006</v>
      </c>
      <c r="E222" s="18">
        <v>118</v>
      </c>
      <c r="F222" s="18">
        <v>80.599999999999994</v>
      </c>
      <c r="G222" s="18">
        <v>28.7</v>
      </c>
      <c r="H222" s="18">
        <v>4.8</v>
      </c>
    </row>
    <row r="223" spans="1:8" x14ac:dyDescent="0.25">
      <c r="A223" s="11">
        <v>1997</v>
      </c>
      <c r="B223" s="11" t="s">
        <v>245</v>
      </c>
      <c r="C223" s="18">
        <v>26.6</v>
      </c>
      <c r="D223" s="18">
        <v>89.5</v>
      </c>
      <c r="E223" s="18">
        <v>139.9</v>
      </c>
      <c r="F223" s="18">
        <v>80.7</v>
      </c>
      <c r="G223" s="18">
        <v>24.9</v>
      </c>
      <c r="H223" s="18">
        <v>5.6</v>
      </c>
    </row>
    <row r="224" spans="1:8" x14ac:dyDescent="0.25">
      <c r="A224" s="11">
        <v>1997</v>
      </c>
      <c r="B224" s="11" t="s">
        <v>246</v>
      </c>
      <c r="C224" s="18">
        <v>17.2</v>
      </c>
      <c r="D224" s="18">
        <v>61.4</v>
      </c>
      <c r="E224" s="18">
        <v>83.3</v>
      </c>
      <c r="F224" s="18">
        <v>84.3</v>
      </c>
      <c r="G224" s="18">
        <v>48.1</v>
      </c>
      <c r="H224" s="18">
        <v>7.9</v>
      </c>
    </row>
    <row r="225" spans="1:8" x14ac:dyDescent="0.25">
      <c r="A225" s="11">
        <v>1997</v>
      </c>
      <c r="B225" s="11" t="s">
        <v>247</v>
      </c>
      <c r="C225" s="18">
        <v>35.9</v>
      </c>
      <c r="D225" s="18">
        <v>85.1</v>
      </c>
      <c r="E225" s="18">
        <v>111.1</v>
      </c>
      <c r="F225" s="18">
        <v>75.2</v>
      </c>
      <c r="G225" s="18">
        <v>27.9</v>
      </c>
      <c r="H225" s="18">
        <v>4.0999999999999996</v>
      </c>
    </row>
    <row r="226" spans="1:8" x14ac:dyDescent="0.25">
      <c r="A226" s="11">
        <v>1997</v>
      </c>
      <c r="B226" s="11" t="s">
        <v>248</v>
      </c>
      <c r="C226" s="18">
        <v>36.4</v>
      </c>
      <c r="D226" s="18">
        <v>78.599999999999994</v>
      </c>
      <c r="E226" s="18">
        <v>101.6</v>
      </c>
      <c r="F226" s="18">
        <v>82.2</v>
      </c>
      <c r="G226" s="18">
        <v>29.5</v>
      </c>
      <c r="H226" s="18">
        <v>4.7</v>
      </c>
    </row>
    <row r="227" spans="1:8" x14ac:dyDescent="0.25">
      <c r="A227" s="11">
        <v>1997</v>
      </c>
      <c r="B227" s="11" t="s">
        <v>249</v>
      </c>
      <c r="C227" s="18">
        <v>19.5</v>
      </c>
      <c r="D227" s="18">
        <v>105.9</v>
      </c>
      <c r="E227" s="18">
        <v>124</v>
      </c>
      <c r="F227" s="18">
        <v>81.3</v>
      </c>
      <c r="G227" s="18">
        <v>32.9</v>
      </c>
      <c r="H227" s="18">
        <v>13</v>
      </c>
    </row>
    <row r="228" spans="1:8" x14ac:dyDescent="0.25">
      <c r="A228" s="11">
        <v>1997</v>
      </c>
      <c r="B228" s="11" t="s">
        <v>250</v>
      </c>
      <c r="C228" s="18">
        <v>23.6</v>
      </c>
      <c r="D228" s="18">
        <v>69.599999999999994</v>
      </c>
      <c r="E228" s="18">
        <v>100.3</v>
      </c>
      <c r="F228" s="18">
        <v>91</v>
      </c>
      <c r="G228" s="18">
        <v>39.700000000000003</v>
      </c>
      <c r="H228" s="18">
        <v>4.7</v>
      </c>
    </row>
    <row r="229" spans="1:8" x14ac:dyDescent="0.25">
      <c r="A229" s="11">
        <v>1997</v>
      </c>
      <c r="B229" s="11" t="s">
        <v>251</v>
      </c>
      <c r="C229" s="18">
        <v>29.8</v>
      </c>
      <c r="D229" s="18">
        <v>68.7</v>
      </c>
      <c r="E229" s="18">
        <v>100.7</v>
      </c>
      <c r="F229" s="18">
        <v>95.1</v>
      </c>
      <c r="G229" s="18">
        <v>34</v>
      </c>
      <c r="H229" s="18">
        <v>6.2</v>
      </c>
    </row>
    <row r="230" spans="1:8" x14ac:dyDescent="0.25">
      <c r="A230" s="11">
        <v>1997</v>
      </c>
      <c r="B230" s="11" t="s">
        <v>252</v>
      </c>
      <c r="C230" s="18">
        <v>24.6</v>
      </c>
      <c r="D230" s="18">
        <v>66.8</v>
      </c>
      <c r="E230" s="18">
        <v>107.7</v>
      </c>
      <c r="F230" s="18">
        <v>93.8</v>
      </c>
      <c r="G230" s="18">
        <v>36.1</v>
      </c>
      <c r="H230" s="18">
        <v>5.2</v>
      </c>
    </row>
    <row r="231" spans="1:8" x14ac:dyDescent="0.25">
      <c r="A231" s="11">
        <v>1997</v>
      </c>
      <c r="B231" s="11" t="s">
        <v>253</v>
      </c>
      <c r="C231" s="18">
        <v>23.3</v>
      </c>
      <c r="D231" s="18">
        <v>60.6</v>
      </c>
      <c r="E231" s="18">
        <v>134.30000000000001</v>
      </c>
      <c r="F231" s="18">
        <v>101.3</v>
      </c>
      <c r="G231" s="18">
        <v>40.299999999999997</v>
      </c>
      <c r="H231" s="18">
        <v>3.8</v>
      </c>
    </row>
    <row r="232" spans="1:8" x14ac:dyDescent="0.25">
      <c r="A232" s="11">
        <v>1997</v>
      </c>
      <c r="B232" s="11" t="s">
        <v>254</v>
      </c>
      <c r="C232" s="18">
        <v>37</v>
      </c>
      <c r="D232" s="18">
        <v>62.1</v>
      </c>
      <c r="E232" s="18">
        <v>96.8</v>
      </c>
      <c r="F232" s="18">
        <v>83.6</v>
      </c>
      <c r="G232" s="18">
        <v>31.1</v>
      </c>
      <c r="H232" s="18">
        <v>3.8</v>
      </c>
    </row>
    <row r="233" spans="1:8" x14ac:dyDescent="0.25">
      <c r="A233" s="11">
        <v>1997</v>
      </c>
      <c r="B233" s="11" t="s">
        <v>255</v>
      </c>
      <c r="C233" s="18">
        <v>27.7</v>
      </c>
      <c r="D233" s="18">
        <v>68.099999999999994</v>
      </c>
      <c r="E233" s="18">
        <v>100.1</v>
      </c>
      <c r="F233" s="18">
        <v>86.6</v>
      </c>
      <c r="G233" s="18">
        <v>33.5</v>
      </c>
      <c r="H233" s="18">
        <v>4</v>
      </c>
    </row>
    <row r="234" spans="1:8" x14ac:dyDescent="0.25">
      <c r="A234" s="11">
        <v>1997</v>
      </c>
      <c r="B234" s="11" t="s">
        <v>256</v>
      </c>
      <c r="C234" s="18">
        <v>20.8</v>
      </c>
      <c r="D234" s="18">
        <v>50</v>
      </c>
      <c r="E234" s="18">
        <v>98.7</v>
      </c>
      <c r="F234" s="18">
        <v>92.3</v>
      </c>
      <c r="G234" s="18">
        <v>47.7</v>
      </c>
      <c r="H234" s="18">
        <v>6</v>
      </c>
    </row>
    <row r="235" spans="1:8" x14ac:dyDescent="0.25">
      <c r="A235" s="11">
        <v>1997</v>
      </c>
      <c r="B235" s="11" t="s">
        <v>257</v>
      </c>
      <c r="C235" s="18">
        <v>38.200000000000003</v>
      </c>
      <c r="D235" s="18">
        <v>78.3</v>
      </c>
      <c r="E235" s="18">
        <v>99.8</v>
      </c>
      <c r="F235" s="18">
        <v>79.5</v>
      </c>
      <c r="G235" s="18">
        <v>33.799999999999997</v>
      </c>
      <c r="H235" s="18">
        <v>2.7</v>
      </c>
    </row>
    <row r="236" spans="1:8" x14ac:dyDescent="0.25">
      <c r="A236" s="11">
        <v>1997</v>
      </c>
      <c r="B236" s="11" t="s">
        <v>258</v>
      </c>
      <c r="C236" s="18">
        <v>38.4</v>
      </c>
      <c r="D236" s="18">
        <v>83.1</v>
      </c>
      <c r="E236" s="18">
        <v>107.4</v>
      </c>
      <c r="F236" s="18">
        <v>82.3</v>
      </c>
      <c r="G236" s="18">
        <v>26.5</v>
      </c>
      <c r="H236" s="18">
        <v>4.7</v>
      </c>
    </row>
    <row r="237" spans="1:8" x14ac:dyDescent="0.25">
      <c r="A237" s="11">
        <v>1998</v>
      </c>
      <c r="B237" s="11" t="s">
        <v>11</v>
      </c>
      <c r="C237" s="18">
        <v>30.6</v>
      </c>
      <c r="D237" s="18">
        <v>62.8</v>
      </c>
      <c r="E237" s="18">
        <v>94.3</v>
      </c>
      <c r="F237" s="18">
        <v>83.2</v>
      </c>
      <c r="G237" s="18">
        <v>34.1</v>
      </c>
      <c r="H237" s="18">
        <v>5.9</v>
      </c>
    </row>
    <row r="238" spans="1:8" x14ac:dyDescent="0.25">
      <c r="A238" s="11">
        <v>1998</v>
      </c>
      <c r="B238" s="11" t="s">
        <v>227</v>
      </c>
      <c r="C238" s="18">
        <v>25.7</v>
      </c>
      <c r="D238" s="18">
        <v>39.700000000000003</v>
      </c>
      <c r="E238" s="18">
        <v>78.8</v>
      </c>
      <c r="F238" s="18">
        <v>83.3</v>
      </c>
      <c r="G238" s="18">
        <v>34.6</v>
      </c>
      <c r="H238" s="18">
        <v>6.3</v>
      </c>
    </row>
    <row r="239" spans="1:8" x14ac:dyDescent="0.25">
      <c r="A239" s="11">
        <v>1998</v>
      </c>
      <c r="B239" s="11" t="s">
        <v>228</v>
      </c>
      <c r="C239" s="18">
        <v>22.5</v>
      </c>
      <c r="D239" s="18">
        <v>68.5</v>
      </c>
      <c r="E239" s="18">
        <v>120.9</v>
      </c>
      <c r="F239" s="18">
        <v>93.1</v>
      </c>
      <c r="G239" s="18">
        <v>32.299999999999997</v>
      </c>
      <c r="H239" s="18">
        <v>5.5</v>
      </c>
    </row>
    <row r="240" spans="1:8" x14ac:dyDescent="0.25">
      <c r="A240" s="11">
        <v>1998</v>
      </c>
      <c r="B240" s="11" t="s">
        <v>229</v>
      </c>
      <c r="C240" s="18">
        <v>31.4</v>
      </c>
      <c r="D240" s="18">
        <v>79.7</v>
      </c>
      <c r="E240" s="18">
        <v>104.7</v>
      </c>
      <c r="F240" s="18">
        <v>86</v>
      </c>
      <c r="G240" s="18">
        <v>32.299999999999997</v>
      </c>
      <c r="H240" s="18">
        <v>4.4000000000000004</v>
      </c>
    </row>
    <row r="241" spans="1:8" x14ac:dyDescent="0.25">
      <c r="A241" s="11">
        <v>1998</v>
      </c>
      <c r="B241" s="11" t="s">
        <v>230</v>
      </c>
      <c r="C241" s="18">
        <v>23.5</v>
      </c>
      <c r="D241" s="18">
        <v>66.5</v>
      </c>
      <c r="E241" s="18">
        <v>81.7</v>
      </c>
      <c r="F241" s="18">
        <v>82.4</v>
      </c>
      <c r="G241" s="18">
        <v>39.700000000000003</v>
      </c>
      <c r="H241" s="18">
        <v>6.6</v>
      </c>
    </row>
    <row r="242" spans="1:8" x14ac:dyDescent="0.25">
      <c r="A242" s="11">
        <v>1998</v>
      </c>
      <c r="B242" s="11" t="s">
        <v>231</v>
      </c>
      <c r="C242" s="18">
        <v>22</v>
      </c>
      <c r="D242" s="18">
        <v>35.200000000000003</v>
      </c>
      <c r="E242" s="18">
        <v>61.7</v>
      </c>
      <c r="F242" s="18">
        <v>86.4</v>
      </c>
      <c r="G242" s="18">
        <v>45.5</v>
      </c>
      <c r="H242" s="18">
        <v>6.8</v>
      </c>
    </row>
    <row r="243" spans="1:8" x14ac:dyDescent="0.25">
      <c r="A243" s="11">
        <v>1998</v>
      </c>
      <c r="B243" s="11" t="s">
        <v>232</v>
      </c>
      <c r="C243" s="18">
        <v>41.8</v>
      </c>
      <c r="D243" s="18">
        <v>79.7</v>
      </c>
      <c r="E243" s="18">
        <v>104.8</v>
      </c>
      <c r="F243" s="18">
        <v>71.099999999999994</v>
      </c>
      <c r="G243" s="18">
        <v>24.4</v>
      </c>
      <c r="H243" s="18">
        <v>7.4</v>
      </c>
    </row>
    <row r="244" spans="1:8" x14ac:dyDescent="0.25">
      <c r="A244" s="11">
        <v>1998</v>
      </c>
      <c r="B244" s="11" t="s">
        <v>233</v>
      </c>
      <c r="C244" s="18">
        <v>33</v>
      </c>
      <c r="D244" s="18">
        <v>85.6</v>
      </c>
      <c r="E244" s="18">
        <v>103.4</v>
      </c>
      <c r="F244" s="18">
        <v>79.599999999999994</v>
      </c>
      <c r="G244" s="18">
        <v>31.4</v>
      </c>
      <c r="H244" s="18">
        <v>6.3</v>
      </c>
    </row>
    <row r="245" spans="1:8" x14ac:dyDescent="0.25">
      <c r="A245" s="11">
        <v>1998</v>
      </c>
      <c r="B245" s="11" t="s">
        <v>234</v>
      </c>
      <c r="C245" s="18">
        <v>39.700000000000003</v>
      </c>
      <c r="D245" s="18">
        <v>58.6</v>
      </c>
      <c r="E245" s="18">
        <v>95.3</v>
      </c>
      <c r="F245" s="18">
        <v>74.099999999999994</v>
      </c>
      <c r="G245" s="18">
        <v>25.2</v>
      </c>
      <c r="H245" s="18">
        <v>5</v>
      </c>
    </row>
    <row r="246" spans="1:8" x14ac:dyDescent="0.25">
      <c r="A246" s="11">
        <v>1998</v>
      </c>
      <c r="B246" s="11" t="s">
        <v>235</v>
      </c>
      <c r="C246" s="18">
        <v>47.2</v>
      </c>
      <c r="D246" s="18">
        <v>86.2</v>
      </c>
      <c r="E246" s="18">
        <v>98.7</v>
      </c>
      <c r="F246" s="18">
        <v>67.400000000000006</v>
      </c>
      <c r="G246" s="18">
        <v>28.1</v>
      </c>
      <c r="H246" s="18">
        <v>5</v>
      </c>
    </row>
    <row r="247" spans="1:8" x14ac:dyDescent="0.25">
      <c r="A247" s="11">
        <v>1998</v>
      </c>
      <c r="B247" s="11" t="s">
        <v>236</v>
      </c>
      <c r="C247" s="18">
        <v>8.6999999999999993</v>
      </c>
      <c r="D247" s="18">
        <v>34.6</v>
      </c>
      <c r="E247" s="18">
        <v>97.4</v>
      </c>
      <c r="F247" s="18">
        <v>114.5</v>
      </c>
      <c r="G247" s="18">
        <v>44.4</v>
      </c>
      <c r="H247" s="18">
        <v>4.8</v>
      </c>
    </row>
    <row r="248" spans="1:8" x14ac:dyDescent="0.25">
      <c r="A248" s="11">
        <v>1998</v>
      </c>
      <c r="B248" s="11" t="s">
        <v>237</v>
      </c>
      <c r="C248" s="18">
        <v>29.4</v>
      </c>
      <c r="D248" s="18">
        <v>73.2</v>
      </c>
      <c r="E248" s="18">
        <v>100.9</v>
      </c>
      <c r="F248" s="18">
        <v>95.1</v>
      </c>
      <c r="G248" s="18">
        <v>37.5</v>
      </c>
      <c r="H248" s="18">
        <v>6.2</v>
      </c>
    </row>
    <row r="249" spans="1:8" x14ac:dyDescent="0.25">
      <c r="A249" s="11">
        <v>1998</v>
      </c>
      <c r="B249" s="11" t="s">
        <v>238</v>
      </c>
      <c r="C249" s="18">
        <v>15.9</v>
      </c>
      <c r="D249" s="18">
        <v>32.299999999999997</v>
      </c>
      <c r="E249" s="18">
        <v>105.5</v>
      </c>
      <c r="F249" s="18">
        <v>123.8</v>
      </c>
      <c r="G249" s="18">
        <v>47.2</v>
      </c>
      <c r="H249" s="18">
        <v>9.6</v>
      </c>
    </row>
    <row r="250" spans="1:8" x14ac:dyDescent="0.25">
      <c r="A250" s="11">
        <v>1998</v>
      </c>
      <c r="B250" s="11" t="s">
        <v>239</v>
      </c>
      <c r="C250" s="18">
        <v>37.9</v>
      </c>
      <c r="D250" s="18">
        <v>70.2</v>
      </c>
      <c r="E250" s="18">
        <v>104.4</v>
      </c>
      <c r="F250" s="18">
        <v>87</v>
      </c>
      <c r="G250" s="18">
        <v>27.4</v>
      </c>
      <c r="H250" s="18">
        <v>3.6</v>
      </c>
    </row>
    <row r="251" spans="1:8" x14ac:dyDescent="0.25">
      <c r="A251" s="11">
        <v>1998</v>
      </c>
      <c r="B251" s="11" t="s">
        <v>240</v>
      </c>
      <c r="C251" s="18">
        <v>33.299999999999997</v>
      </c>
      <c r="D251" s="18">
        <v>67.7</v>
      </c>
      <c r="E251" s="18">
        <v>110.4</v>
      </c>
      <c r="F251" s="18">
        <v>78.599999999999994</v>
      </c>
      <c r="G251" s="18">
        <v>27.6</v>
      </c>
      <c r="H251" s="18">
        <v>5.8</v>
      </c>
    </row>
    <row r="252" spans="1:8" x14ac:dyDescent="0.25">
      <c r="A252" s="11">
        <v>1998</v>
      </c>
      <c r="B252" s="11" t="s">
        <v>241</v>
      </c>
      <c r="C252" s="18">
        <v>41</v>
      </c>
      <c r="D252" s="18">
        <v>60.2</v>
      </c>
      <c r="E252" s="18">
        <v>77.900000000000006</v>
      </c>
      <c r="F252" s="18">
        <v>72.099999999999994</v>
      </c>
      <c r="G252" s="18">
        <v>36.9</v>
      </c>
      <c r="H252" s="18">
        <v>6.9</v>
      </c>
    </row>
    <row r="253" spans="1:8" x14ac:dyDescent="0.25">
      <c r="A253" s="11">
        <v>1998</v>
      </c>
      <c r="B253" s="11" t="s">
        <v>242</v>
      </c>
      <c r="C253" s="18">
        <v>31.6</v>
      </c>
      <c r="D253" s="18">
        <v>91.7</v>
      </c>
      <c r="E253" s="18">
        <v>118.9</v>
      </c>
      <c r="F253" s="18">
        <v>87.9</v>
      </c>
      <c r="G253" s="18">
        <v>35.700000000000003</v>
      </c>
      <c r="H253" s="18">
        <v>6</v>
      </c>
    </row>
    <row r="254" spans="1:8" x14ac:dyDescent="0.25">
      <c r="A254" s="11">
        <v>1998</v>
      </c>
      <c r="B254" s="11" t="s">
        <v>243</v>
      </c>
      <c r="C254" s="18">
        <v>30.4</v>
      </c>
      <c r="D254" s="18">
        <v>75.900000000000006</v>
      </c>
      <c r="E254" s="18">
        <v>93.7</v>
      </c>
      <c r="F254" s="18">
        <v>77.400000000000006</v>
      </c>
      <c r="G254" s="18">
        <v>29.7</v>
      </c>
      <c r="H254" s="18">
        <v>4</v>
      </c>
    </row>
    <row r="255" spans="1:8" x14ac:dyDescent="0.25">
      <c r="A255" s="11">
        <v>1998</v>
      </c>
      <c r="B255" s="11" t="s">
        <v>244</v>
      </c>
      <c r="C255" s="18">
        <v>35.200000000000003</v>
      </c>
      <c r="D255" s="18">
        <v>70.7</v>
      </c>
      <c r="E255" s="18">
        <v>114.3</v>
      </c>
      <c r="F255" s="18">
        <v>86.4</v>
      </c>
      <c r="G255" s="18">
        <v>38.299999999999997</v>
      </c>
      <c r="H255" s="18">
        <v>5.6</v>
      </c>
    </row>
    <row r="256" spans="1:8" x14ac:dyDescent="0.25">
      <c r="A256" s="11">
        <v>1998</v>
      </c>
      <c r="B256" s="11" t="s">
        <v>245</v>
      </c>
      <c r="C256" s="18">
        <v>24.5</v>
      </c>
      <c r="D256" s="18">
        <v>82</v>
      </c>
      <c r="E256" s="18">
        <v>124.9</v>
      </c>
      <c r="F256" s="18">
        <v>87.3</v>
      </c>
      <c r="G256" s="18">
        <v>35.1</v>
      </c>
      <c r="H256" s="18">
        <v>6</v>
      </c>
    </row>
    <row r="257" spans="1:8" x14ac:dyDescent="0.25">
      <c r="A257" s="11">
        <v>1998</v>
      </c>
      <c r="B257" s="11" t="s">
        <v>246</v>
      </c>
      <c r="C257" s="18">
        <v>20.100000000000001</v>
      </c>
      <c r="D257" s="18">
        <v>74.3</v>
      </c>
      <c r="E257" s="18">
        <v>99.9</v>
      </c>
      <c r="F257" s="18">
        <v>102.3</v>
      </c>
      <c r="G257" s="18">
        <v>35.799999999999997</v>
      </c>
      <c r="H257" s="18">
        <v>10.3</v>
      </c>
    </row>
    <row r="258" spans="1:8" x14ac:dyDescent="0.25">
      <c r="A258" s="11">
        <v>1998</v>
      </c>
      <c r="B258" s="11" t="s">
        <v>247</v>
      </c>
      <c r="C258" s="18">
        <v>34.1</v>
      </c>
      <c r="D258" s="18">
        <v>83.4</v>
      </c>
      <c r="E258" s="18">
        <v>109.6</v>
      </c>
      <c r="F258" s="18">
        <v>70.5</v>
      </c>
      <c r="G258" s="18">
        <v>25.2</v>
      </c>
      <c r="H258" s="18">
        <v>4.9000000000000004</v>
      </c>
    </row>
    <row r="259" spans="1:8" x14ac:dyDescent="0.25">
      <c r="A259" s="11">
        <v>1998</v>
      </c>
      <c r="B259" s="11" t="s">
        <v>248</v>
      </c>
      <c r="C259" s="18">
        <v>32.6</v>
      </c>
      <c r="D259" s="18">
        <v>82.9</v>
      </c>
      <c r="E259" s="18">
        <v>105</v>
      </c>
      <c r="F259" s="18">
        <v>82.7</v>
      </c>
      <c r="G259" s="18">
        <v>29.7</v>
      </c>
      <c r="H259" s="18">
        <v>5.4</v>
      </c>
    </row>
    <row r="260" spans="1:8" x14ac:dyDescent="0.25">
      <c r="A260" s="11">
        <v>1998</v>
      </c>
      <c r="B260" s="11" t="s">
        <v>249</v>
      </c>
      <c r="C260" s="18">
        <v>31.1</v>
      </c>
      <c r="D260" s="18">
        <v>69.3</v>
      </c>
      <c r="E260" s="18">
        <v>116.6</v>
      </c>
      <c r="F260" s="18">
        <v>76.5</v>
      </c>
      <c r="G260" s="18">
        <v>34</v>
      </c>
      <c r="H260" s="18">
        <v>3</v>
      </c>
    </row>
    <row r="261" spans="1:8" x14ac:dyDescent="0.25">
      <c r="A261" s="11">
        <v>1998</v>
      </c>
      <c r="B261" s="11" t="s">
        <v>250</v>
      </c>
      <c r="C261" s="18">
        <v>20.5</v>
      </c>
      <c r="D261" s="18">
        <v>68.599999999999994</v>
      </c>
      <c r="E261" s="18">
        <v>93</v>
      </c>
      <c r="F261" s="18">
        <v>91.7</v>
      </c>
      <c r="G261" s="18">
        <v>36.200000000000003</v>
      </c>
      <c r="H261" s="18">
        <v>7.3</v>
      </c>
    </row>
    <row r="262" spans="1:8" x14ac:dyDescent="0.25">
      <c r="A262" s="11">
        <v>1998</v>
      </c>
      <c r="B262" s="11" t="s">
        <v>251</v>
      </c>
      <c r="C262" s="18">
        <v>28.7</v>
      </c>
      <c r="D262" s="18">
        <v>65</v>
      </c>
      <c r="E262" s="18">
        <v>93.3</v>
      </c>
      <c r="F262" s="18">
        <v>87.5</v>
      </c>
      <c r="G262" s="18">
        <v>33.6</v>
      </c>
      <c r="H262" s="18">
        <v>5.8</v>
      </c>
    </row>
    <row r="263" spans="1:8" x14ac:dyDescent="0.25">
      <c r="A263" s="11">
        <v>1998</v>
      </c>
      <c r="B263" s="11" t="s">
        <v>252</v>
      </c>
      <c r="C263" s="18">
        <v>20.3</v>
      </c>
      <c r="D263" s="18">
        <v>68.7</v>
      </c>
      <c r="E263" s="18">
        <v>97.2</v>
      </c>
      <c r="F263" s="18">
        <v>87.9</v>
      </c>
      <c r="G263" s="18">
        <v>31.3</v>
      </c>
      <c r="H263" s="18">
        <v>9.5</v>
      </c>
    </row>
    <row r="264" spans="1:8" x14ac:dyDescent="0.25">
      <c r="A264" s="11">
        <v>1998</v>
      </c>
      <c r="B264" s="11" t="s">
        <v>253</v>
      </c>
      <c r="C264" s="18">
        <v>37.799999999999997</v>
      </c>
      <c r="D264" s="18">
        <v>75.5</v>
      </c>
      <c r="E264" s="18">
        <v>98.1</v>
      </c>
      <c r="F264" s="18">
        <v>89.3</v>
      </c>
      <c r="G264" s="18">
        <v>41.2</v>
      </c>
      <c r="H264" s="18">
        <v>8.8000000000000007</v>
      </c>
    </row>
    <row r="265" spans="1:8" x14ac:dyDescent="0.25">
      <c r="A265" s="11">
        <v>1998</v>
      </c>
      <c r="B265" s="11" t="s">
        <v>254</v>
      </c>
      <c r="C265" s="18">
        <v>31.3</v>
      </c>
      <c r="D265" s="18">
        <v>70.7</v>
      </c>
      <c r="E265" s="18">
        <v>106</v>
      </c>
      <c r="F265" s="18">
        <v>81.599999999999994</v>
      </c>
      <c r="G265" s="18">
        <v>33</v>
      </c>
      <c r="H265" s="18">
        <v>5.0999999999999996</v>
      </c>
    </row>
    <row r="266" spans="1:8" x14ac:dyDescent="0.25">
      <c r="A266" s="11">
        <v>1998</v>
      </c>
      <c r="B266" s="11" t="s">
        <v>255</v>
      </c>
      <c r="C266" s="18">
        <v>25.6</v>
      </c>
      <c r="D266" s="18">
        <v>61.5</v>
      </c>
      <c r="E266" s="18">
        <v>97.7</v>
      </c>
      <c r="F266" s="18">
        <v>80.7</v>
      </c>
      <c r="G266" s="18">
        <v>32.799999999999997</v>
      </c>
      <c r="H266" s="18">
        <v>5.0999999999999996</v>
      </c>
    </row>
    <row r="267" spans="1:8" x14ac:dyDescent="0.25">
      <c r="A267" s="11">
        <v>1998</v>
      </c>
      <c r="B267" s="11" t="s">
        <v>256</v>
      </c>
      <c r="C267" s="18">
        <v>21.8</v>
      </c>
      <c r="D267" s="18">
        <v>42.1</v>
      </c>
      <c r="E267" s="18">
        <v>94.3</v>
      </c>
      <c r="F267" s="18">
        <v>94.2</v>
      </c>
      <c r="G267" s="18">
        <v>43</v>
      </c>
      <c r="H267" s="18">
        <v>6.1</v>
      </c>
    </row>
    <row r="268" spans="1:8" x14ac:dyDescent="0.25">
      <c r="A268" s="11">
        <v>1998</v>
      </c>
      <c r="B268" s="11" t="s">
        <v>257</v>
      </c>
      <c r="C268" s="18">
        <v>40.6</v>
      </c>
      <c r="D268" s="18">
        <v>80.7</v>
      </c>
      <c r="E268" s="18">
        <v>93.9</v>
      </c>
      <c r="F268" s="18">
        <v>80.8</v>
      </c>
      <c r="G268" s="18">
        <v>27.4</v>
      </c>
      <c r="H268" s="18">
        <v>5.7</v>
      </c>
    </row>
    <row r="269" spans="1:8" x14ac:dyDescent="0.25">
      <c r="A269" s="11">
        <v>1998</v>
      </c>
      <c r="B269" s="11" t="s">
        <v>258</v>
      </c>
      <c r="C269" s="18">
        <v>36.4</v>
      </c>
      <c r="D269" s="18">
        <v>80.400000000000006</v>
      </c>
      <c r="E269" s="18">
        <v>103.2</v>
      </c>
      <c r="F269" s="18">
        <v>81.3</v>
      </c>
      <c r="G269" s="18">
        <v>30.3</v>
      </c>
      <c r="H269" s="18">
        <v>4.4000000000000004</v>
      </c>
    </row>
    <row r="270" spans="1:8" x14ac:dyDescent="0.25">
      <c r="A270" s="11">
        <v>1999</v>
      </c>
      <c r="B270" s="11" t="s">
        <v>11</v>
      </c>
      <c r="C270" s="18">
        <v>30.3</v>
      </c>
      <c r="D270" s="18">
        <v>61</v>
      </c>
      <c r="E270" s="18">
        <v>90.4</v>
      </c>
      <c r="F270" s="18">
        <v>82</v>
      </c>
      <c r="G270" s="18">
        <v>34.299999999999997</v>
      </c>
      <c r="H270" s="18">
        <v>6.1</v>
      </c>
    </row>
    <row r="271" spans="1:8" x14ac:dyDescent="0.25">
      <c r="A271" s="11">
        <v>1999</v>
      </c>
      <c r="B271" s="11" t="s">
        <v>227</v>
      </c>
      <c r="C271" s="18">
        <v>22.6</v>
      </c>
      <c r="D271" s="18">
        <v>41</v>
      </c>
      <c r="E271" s="18">
        <v>77.5</v>
      </c>
      <c r="F271" s="18">
        <v>85.7</v>
      </c>
      <c r="G271" s="18">
        <v>34.1</v>
      </c>
      <c r="H271" s="18">
        <v>7.6</v>
      </c>
    </row>
    <row r="272" spans="1:8" x14ac:dyDescent="0.25">
      <c r="A272" s="11">
        <v>1999</v>
      </c>
      <c r="B272" s="11" t="s">
        <v>228</v>
      </c>
      <c r="C272" s="18">
        <v>19.5</v>
      </c>
      <c r="D272" s="18">
        <v>71.599999999999994</v>
      </c>
      <c r="E272" s="18">
        <v>112.6</v>
      </c>
      <c r="F272" s="18">
        <v>90.4</v>
      </c>
      <c r="G272" s="18">
        <v>34.799999999999997</v>
      </c>
      <c r="H272" s="18">
        <v>7.2</v>
      </c>
    </row>
    <row r="273" spans="1:8" x14ac:dyDescent="0.25">
      <c r="A273" s="11">
        <v>1999</v>
      </c>
      <c r="B273" s="11" t="s">
        <v>229</v>
      </c>
      <c r="C273" s="18">
        <v>33.700000000000003</v>
      </c>
      <c r="D273" s="18">
        <v>82.5</v>
      </c>
      <c r="E273" s="18">
        <v>94.9</v>
      </c>
      <c r="F273" s="18">
        <v>78.400000000000006</v>
      </c>
      <c r="G273" s="18">
        <v>26.9</v>
      </c>
      <c r="H273" s="18">
        <v>5.4</v>
      </c>
    </row>
    <row r="274" spans="1:8" x14ac:dyDescent="0.25">
      <c r="A274" s="11">
        <v>1999</v>
      </c>
      <c r="B274" s="11" t="s">
        <v>230</v>
      </c>
      <c r="C274" s="18">
        <v>26.7</v>
      </c>
      <c r="D274" s="18">
        <v>67.3</v>
      </c>
      <c r="E274" s="18">
        <v>91.4</v>
      </c>
      <c r="F274" s="18">
        <v>81.7</v>
      </c>
      <c r="G274" s="18">
        <v>32.4</v>
      </c>
      <c r="H274" s="18">
        <v>8.1</v>
      </c>
    </row>
    <row r="275" spans="1:8" x14ac:dyDescent="0.25">
      <c r="A275" s="11">
        <v>1999</v>
      </c>
      <c r="B275" s="11" t="s">
        <v>231</v>
      </c>
      <c r="C275" s="18">
        <v>23.4</v>
      </c>
      <c r="D275" s="18">
        <v>33.700000000000003</v>
      </c>
      <c r="E275" s="18">
        <v>57.6</v>
      </c>
      <c r="F275" s="18">
        <v>83.4</v>
      </c>
      <c r="G275" s="18">
        <v>48.2</v>
      </c>
      <c r="H275" s="18">
        <v>8</v>
      </c>
    </row>
    <row r="276" spans="1:8" x14ac:dyDescent="0.25">
      <c r="A276" s="11">
        <v>1999</v>
      </c>
      <c r="B276" s="11" t="s">
        <v>232</v>
      </c>
      <c r="C276" s="18">
        <v>41.5</v>
      </c>
      <c r="D276" s="18">
        <v>98.6</v>
      </c>
      <c r="E276" s="18">
        <v>103.8</v>
      </c>
      <c r="F276" s="18">
        <v>74.2</v>
      </c>
      <c r="G276" s="18">
        <v>23.7</v>
      </c>
      <c r="H276" s="18">
        <v>4.5</v>
      </c>
    </row>
    <row r="277" spans="1:8" x14ac:dyDescent="0.25">
      <c r="A277" s="11">
        <v>1999</v>
      </c>
      <c r="B277" s="11" t="s">
        <v>233</v>
      </c>
      <c r="C277" s="18">
        <v>33.799999999999997</v>
      </c>
      <c r="D277" s="18">
        <v>77.2</v>
      </c>
      <c r="E277" s="18">
        <v>106</v>
      </c>
      <c r="F277" s="18">
        <v>74</v>
      </c>
      <c r="G277" s="18">
        <v>27.8</v>
      </c>
      <c r="H277" s="18">
        <v>5</v>
      </c>
    </row>
    <row r="278" spans="1:8" x14ac:dyDescent="0.25">
      <c r="A278" s="11">
        <v>1999</v>
      </c>
      <c r="B278" s="11" t="s">
        <v>234</v>
      </c>
      <c r="C278" s="18">
        <v>34.5</v>
      </c>
      <c r="D278" s="18">
        <v>58.6</v>
      </c>
      <c r="E278" s="18">
        <v>87.4</v>
      </c>
      <c r="F278" s="18">
        <v>72.8</v>
      </c>
      <c r="G278" s="18">
        <v>23.1</v>
      </c>
      <c r="H278" s="18">
        <v>4.5999999999999996</v>
      </c>
    </row>
    <row r="279" spans="1:8" x14ac:dyDescent="0.25">
      <c r="A279" s="11">
        <v>1999</v>
      </c>
      <c r="B279" s="11" t="s">
        <v>235</v>
      </c>
      <c r="C279" s="18">
        <v>44</v>
      </c>
      <c r="D279" s="18">
        <v>76.8</v>
      </c>
      <c r="E279" s="18">
        <v>96.9</v>
      </c>
      <c r="F279" s="18">
        <v>73.099999999999994</v>
      </c>
      <c r="G279" s="18">
        <v>27.8</v>
      </c>
      <c r="H279" s="18">
        <v>3.7</v>
      </c>
    </row>
    <row r="280" spans="1:8" x14ac:dyDescent="0.25">
      <c r="A280" s="11">
        <v>1999</v>
      </c>
      <c r="B280" s="11" t="s">
        <v>236</v>
      </c>
      <c r="C280" s="18">
        <v>13.2</v>
      </c>
      <c r="D280" s="18">
        <v>36</v>
      </c>
      <c r="E280" s="18">
        <v>83.9</v>
      </c>
      <c r="F280" s="18">
        <v>108.8</v>
      </c>
      <c r="G280" s="18">
        <v>45.4</v>
      </c>
      <c r="H280" s="18">
        <v>7.2</v>
      </c>
    </row>
    <row r="281" spans="1:8" x14ac:dyDescent="0.25">
      <c r="A281" s="11">
        <v>1999</v>
      </c>
      <c r="B281" s="11" t="s">
        <v>237</v>
      </c>
      <c r="C281" s="18">
        <v>29.4</v>
      </c>
      <c r="D281" s="18">
        <v>75.7</v>
      </c>
      <c r="E281" s="18">
        <v>95.3</v>
      </c>
      <c r="F281" s="18">
        <v>86.1</v>
      </c>
      <c r="G281" s="18">
        <v>41.1</v>
      </c>
      <c r="H281" s="18">
        <v>7.7</v>
      </c>
    </row>
    <row r="282" spans="1:8" x14ac:dyDescent="0.25">
      <c r="A282" s="11">
        <v>1999</v>
      </c>
      <c r="B282" s="11" t="s">
        <v>238</v>
      </c>
      <c r="C282" s="18">
        <v>11</v>
      </c>
      <c r="D282" s="18">
        <v>38.6</v>
      </c>
      <c r="E282" s="18">
        <v>96.4</v>
      </c>
      <c r="F282" s="18">
        <v>123.2</v>
      </c>
      <c r="G282" s="18">
        <v>45.5</v>
      </c>
      <c r="H282" s="18">
        <v>8.5</v>
      </c>
    </row>
    <row r="283" spans="1:8" x14ac:dyDescent="0.25">
      <c r="A283" s="11">
        <v>1999</v>
      </c>
      <c r="B283" s="11" t="s">
        <v>239</v>
      </c>
      <c r="C283" s="18">
        <v>33.200000000000003</v>
      </c>
      <c r="D283" s="18">
        <v>74.099999999999994</v>
      </c>
      <c r="E283" s="18">
        <v>95.3</v>
      </c>
      <c r="F283" s="18">
        <v>80.2</v>
      </c>
      <c r="G283" s="18">
        <v>29.5</v>
      </c>
      <c r="H283" s="18">
        <v>3.1</v>
      </c>
    </row>
    <row r="284" spans="1:8" x14ac:dyDescent="0.25">
      <c r="A284" s="11">
        <v>1999</v>
      </c>
      <c r="B284" s="11" t="s">
        <v>240</v>
      </c>
      <c r="C284" s="18">
        <v>31</v>
      </c>
      <c r="D284" s="18">
        <v>67.900000000000006</v>
      </c>
      <c r="E284" s="18">
        <v>102.9</v>
      </c>
      <c r="F284" s="18">
        <v>76.3</v>
      </c>
      <c r="G284" s="18">
        <v>29.6</v>
      </c>
      <c r="H284" s="18">
        <v>4.9000000000000004</v>
      </c>
    </row>
    <row r="285" spans="1:8" x14ac:dyDescent="0.25">
      <c r="A285" s="11">
        <v>1999</v>
      </c>
      <c r="B285" s="11" t="s">
        <v>241</v>
      </c>
      <c r="C285" s="18">
        <v>38.1</v>
      </c>
      <c r="D285" s="18">
        <v>56.1</v>
      </c>
      <c r="E285" s="18">
        <v>76.400000000000006</v>
      </c>
      <c r="F285" s="18">
        <v>71.400000000000006</v>
      </c>
      <c r="G285" s="18">
        <v>35.200000000000003</v>
      </c>
      <c r="H285" s="18">
        <v>7.2</v>
      </c>
    </row>
    <row r="286" spans="1:8" x14ac:dyDescent="0.25">
      <c r="A286" s="11">
        <v>1999</v>
      </c>
      <c r="B286" s="11" t="s">
        <v>242</v>
      </c>
      <c r="C286" s="18">
        <v>33.9</v>
      </c>
      <c r="D286" s="18">
        <v>85.8</v>
      </c>
      <c r="E286" s="18">
        <v>100.3</v>
      </c>
      <c r="F286" s="18">
        <v>81.099999999999994</v>
      </c>
      <c r="G286" s="18">
        <v>35.700000000000003</v>
      </c>
      <c r="H286" s="18">
        <v>8.3000000000000007</v>
      </c>
    </row>
    <row r="287" spans="1:8" x14ac:dyDescent="0.25">
      <c r="A287" s="11">
        <v>1999</v>
      </c>
      <c r="B287" s="11" t="s">
        <v>243</v>
      </c>
      <c r="C287" s="18">
        <v>44.3</v>
      </c>
      <c r="D287" s="18">
        <v>68.900000000000006</v>
      </c>
      <c r="E287" s="18">
        <v>99.8</v>
      </c>
      <c r="F287" s="18">
        <v>82.4</v>
      </c>
      <c r="G287" s="18">
        <v>29.2</v>
      </c>
      <c r="H287" s="18">
        <v>6.1</v>
      </c>
    </row>
    <row r="288" spans="1:8" x14ac:dyDescent="0.25">
      <c r="A288" s="11">
        <v>1999</v>
      </c>
      <c r="B288" s="11" t="s">
        <v>244</v>
      </c>
      <c r="C288" s="18">
        <v>38.6</v>
      </c>
      <c r="D288" s="18">
        <v>78.2</v>
      </c>
      <c r="E288" s="18">
        <v>111.4</v>
      </c>
      <c r="F288" s="18">
        <v>90.1</v>
      </c>
      <c r="G288" s="18">
        <v>35.6</v>
      </c>
      <c r="H288" s="18">
        <v>2.9</v>
      </c>
    </row>
    <row r="289" spans="1:8" x14ac:dyDescent="0.25">
      <c r="A289" s="11">
        <v>1999</v>
      </c>
      <c r="B289" s="11" t="s">
        <v>245</v>
      </c>
      <c r="C289" s="18">
        <v>25.7</v>
      </c>
      <c r="D289" s="18">
        <v>76</v>
      </c>
      <c r="E289" s="18">
        <v>125</v>
      </c>
      <c r="F289" s="18">
        <v>86.3</v>
      </c>
      <c r="G289" s="18">
        <v>29</v>
      </c>
      <c r="H289" s="18">
        <v>4.4000000000000004</v>
      </c>
    </row>
    <row r="290" spans="1:8" x14ac:dyDescent="0.25">
      <c r="A290" s="11">
        <v>1999</v>
      </c>
      <c r="B290" s="11" t="s">
        <v>246</v>
      </c>
      <c r="C290" s="18">
        <v>18.8</v>
      </c>
      <c r="D290" s="18">
        <v>58.3</v>
      </c>
      <c r="E290" s="18">
        <v>122.7</v>
      </c>
      <c r="F290" s="18">
        <v>91.5</v>
      </c>
      <c r="G290" s="18">
        <v>40.299999999999997</v>
      </c>
      <c r="H290" s="18">
        <v>9</v>
      </c>
    </row>
    <row r="291" spans="1:8" x14ac:dyDescent="0.25">
      <c r="A291" s="11">
        <v>1999</v>
      </c>
      <c r="B291" s="11" t="s">
        <v>247</v>
      </c>
      <c r="C291" s="18">
        <v>35.200000000000003</v>
      </c>
      <c r="D291" s="18">
        <v>71.8</v>
      </c>
      <c r="E291" s="18">
        <v>91.7</v>
      </c>
      <c r="F291" s="18">
        <v>71.599999999999994</v>
      </c>
      <c r="G291" s="18">
        <v>29.8</v>
      </c>
      <c r="H291" s="18">
        <v>5</v>
      </c>
    </row>
    <row r="292" spans="1:8" x14ac:dyDescent="0.25">
      <c r="A292" s="11">
        <v>1999</v>
      </c>
      <c r="B292" s="11" t="s">
        <v>248</v>
      </c>
      <c r="C292" s="18">
        <v>33.200000000000003</v>
      </c>
      <c r="D292" s="18">
        <v>72.7</v>
      </c>
      <c r="E292" s="18">
        <v>100.5</v>
      </c>
      <c r="F292" s="18">
        <v>83.1</v>
      </c>
      <c r="G292" s="18">
        <v>29.3</v>
      </c>
      <c r="H292" s="18">
        <v>4.9000000000000004</v>
      </c>
    </row>
    <row r="293" spans="1:8" x14ac:dyDescent="0.25">
      <c r="A293" s="11">
        <v>1999</v>
      </c>
      <c r="B293" s="11" t="s">
        <v>249</v>
      </c>
      <c r="C293" s="18">
        <v>23.1</v>
      </c>
      <c r="D293" s="18">
        <v>90.5</v>
      </c>
      <c r="E293" s="18">
        <v>103.9</v>
      </c>
      <c r="F293" s="18">
        <v>87.5</v>
      </c>
      <c r="G293" s="18">
        <v>24.1</v>
      </c>
      <c r="H293" s="18">
        <v>7.4</v>
      </c>
    </row>
    <row r="294" spans="1:8" x14ac:dyDescent="0.25">
      <c r="A294" s="11">
        <v>1999</v>
      </c>
      <c r="B294" s="11" t="s">
        <v>250</v>
      </c>
      <c r="C294" s="18">
        <v>26.8</v>
      </c>
      <c r="D294" s="18">
        <v>68.7</v>
      </c>
      <c r="E294" s="18">
        <v>87.7</v>
      </c>
      <c r="F294" s="18">
        <v>96.2</v>
      </c>
      <c r="G294" s="18">
        <v>36.5</v>
      </c>
      <c r="H294" s="18">
        <v>7.1</v>
      </c>
    </row>
    <row r="295" spans="1:8" x14ac:dyDescent="0.25">
      <c r="A295" s="11">
        <v>1999</v>
      </c>
      <c r="B295" s="11" t="s">
        <v>251</v>
      </c>
      <c r="C295" s="18">
        <v>31.6</v>
      </c>
      <c r="D295" s="18">
        <v>67.400000000000006</v>
      </c>
      <c r="E295" s="18">
        <v>98.9</v>
      </c>
      <c r="F295" s="18">
        <v>81.400000000000006</v>
      </c>
      <c r="G295" s="18">
        <v>33.700000000000003</v>
      </c>
      <c r="H295" s="18">
        <v>6</v>
      </c>
    </row>
    <row r="296" spans="1:8" x14ac:dyDescent="0.25">
      <c r="A296" s="11">
        <v>1999</v>
      </c>
      <c r="B296" s="11" t="s">
        <v>252</v>
      </c>
      <c r="C296" s="18">
        <v>21</v>
      </c>
      <c r="D296" s="18">
        <v>60</v>
      </c>
      <c r="E296" s="18">
        <v>107.4</v>
      </c>
      <c r="F296" s="18">
        <v>97.5</v>
      </c>
      <c r="G296" s="18">
        <v>33.799999999999997</v>
      </c>
      <c r="H296" s="18">
        <v>6.4</v>
      </c>
    </row>
    <row r="297" spans="1:8" x14ac:dyDescent="0.25">
      <c r="A297" s="11">
        <v>1999</v>
      </c>
      <c r="B297" s="11" t="s">
        <v>253</v>
      </c>
      <c r="C297" s="18">
        <v>18.100000000000001</v>
      </c>
      <c r="D297" s="18">
        <v>73.8</v>
      </c>
      <c r="E297" s="18">
        <v>138.19999999999999</v>
      </c>
      <c r="F297" s="18">
        <v>103.5</v>
      </c>
      <c r="G297" s="18">
        <v>37.799999999999997</v>
      </c>
      <c r="H297" s="18">
        <v>12.4</v>
      </c>
    </row>
    <row r="298" spans="1:8" x14ac:dyDescent="0.25">
      <c r="A298" s="11">
        <v>1999</v>
      </c>
      <c r="B298" s="11" t="s">
        <v>254</v>
      </c>
      <c r="C298" s="18">
        <v>29.4</v>
      </c>
      <c r="D298" s="18">
        <v>66.2</v>
      </c>
      <c r="E298" s="18">
        <v>86.5</v>
      </c>
      <c r="F298" s="18">
        <v>79.7</v>
      </c>
      <c r="G298" s="18">
        <v>31.4</v>
      </c>
      <c r="H298" s="18">
        <v>5.5</v>
      </c>
    </row>
    <row r="299" spans="1:8" x14ac:dyDescent="0.25">
      <c r="A299" s="11">
        <v>1999</v>
      </c>
      <c r="B299" s="11" t="s">
        <v>255</v>
      </c>
      <c r="C299" s="18">
        <v>27.3</v>
      </c>
      <c r="D299" s="18">
        <v>66.5</v>
      </c>
      <c r="E299" s="18">
        <v>98.6</v>
      </c>
      <c r="F299" s="18">
        <v>83.3</v>
      </c>
      <c r="G299" s="18">
        <v>34</v>
      </c>
      <c r="H299" s="18">
        <v>5.9</v>
      </c>
    </row>
    <row r="300" spans="1:8" x14ac:dyDescent="0.25">
      <c r="A300" s="11">
        <v>1999</v>
      </c>
      <c r="B300" s="11" t="s">
        <v>256</v>
      </c>
      <c r="C300" s="18">
        <v>20.6</v>
      </c>
      <c r="D300" s="18">
        <v>42.5</v>
      </c>
      <c r="E300" s="18">
        <v>88.1</v>
      </c>
      <c r="F300" s="18">
        <v>82.4</v>
      </c>
      <c r="G300" s="18">
        <v>48.3</v>
      </c>
      <c r="H300" s="18">
        <v>5.8</v>
      </c>
    </row>
    <row r="301" spans="1:8" x14ac:dyDescent="0.25">
      <c r="A301" s="11">
        <v>1999</v>
      </c>
      <c r="B301" s="11" t="s">
        <v>257</v>
      </c>
      <c r="C301" s="18">
        <v>33.6</v>
      </c>
      <c r="D301" s="18">
        <v>72.5</v>
      </c>
      <c r="E301" s="18">
        <v>94.8</v>
      </c>
      <c r="F301" s="18">
        <v>80.2</v>
      </c>
      <c r="G301" s="18">
        <v>31.7</v>
      </c>
      <c r="H301" s="18">
        <v>2.5</v>
      </c>
    </row>
    <row r="302" spans="1:8" x14ac:dyDescent="0.25">
      <c r="A302" s="11">
        <v>1999</v>
      </c>
      <c r="B302" s="11" t="s">
        <v>258</v>
      </c>
      <c r="C302" s="18">
        <v>39.299999999999997</v>
      </c>
      <c r="D302" s="18">
        <v>84.2</v>
      </c>
      <c r="E302" s="18">
        <v>102.8</v>
      </c>
      <c r="F302" s="18">
        <v>82.9</v>
      </c>
      <c r="G302" s="18">
        <v>30.2</v>
      </c>
      <c r="H302" s="18">
        <v>5</v>
      </c>
    </row>
    <row r="303" spans="1:8" x14ac:dyDescent="0.25">
      <c r="A303" s="11">
        <v>2000</v>
      </c>
      <c r="B303" s="11" t="s">
        <v>11</v>
      </c>
      <c r="C303" s="18">
        <v>29.3</v>
      </c>
      <c r="D303" s="18">
        <v>57.6</v>
      </c>
      <c r="E303" s="18">
        <v>86.5</v>
      </c>
      <c r="F303" s="18">
        <v>81.3</v>
      </c>
      <c r="G303" s="18">
        <v>35.6</v>
      </c>
      <c r="H303" s="18">
        <v>6.1</v>
      </c>
    </row>
    <row r="304" spans="1:8" x14ac:dyDescent="0.25">
      <c r="A304" s="11">
        <v>2000</v>
      </c>
      <c r="B304" s="11" t="s">
        <v>227</v>
      </c>
      <c r="C304" s="18">
        <v>24.2</v>
      </c>
      <c r="D304" s="18">
        <v>35.1</v>
      </c>
      <c r="E304" s="18">
        <v>68</v>
      </c>
      <c r="F304" s="18">
        <v>78.3</v>
      </c>
      <c r="G304" s="18">
        <v>36.200000000000003</v>
      </c>
      <c r="H304" s="18">
        <v>5.4</v>
      </c>
    </row>
    <row r="305" spans="1:8" x14ac:dyDescent="0.25">
      <c r="A305" s="11">
        <v>2000</v>
      </c>
      <c r="B305" s="11" t="s">
        <v>228</v>
      </c>
      <c r="C305" s="18">
        <v>18.399999999999999</v>
      </c>
      <c r="D305" s="18">
        <v>62</v>
      </c>
      <c r="E305" s="18">
        <v>115.2</v>
      </c>
      <c r="F305" s="18">
        <v>87.9</v>
      </c>
      <c r="G305" s="18">
        <v>34.1</v>
      </c>
      <c r="H305" s="18">
        <v>4.2</v>
      </c>
    </row>
    <row r="306" spans="1:8" x14ac:dyDescent="0.25">
      <c r="A306" s="11">
        <v>2000</v>
      </c>
      <c r="B306" s="11" t="s">
        <v>229</v>
      </c>
      <c r="C306" s="18">
        <v>31.9</v>
      </c>
      <c r="D306" s="18">
        <v>72.099999999999994</v>
      </c>
      <c r="E306" s="18">
        <v>97.2</v>
      </c>
      <c r="F306" s="18">
        <v>81.2</v>
      </c>
      <c r="G306" s="18">
        <v>30</v>
      </c>
      <c r="H306" s="18">
        <v>5.5</v>
      </c>
    </row>
    <row r="307" spans="1:8" x14ac:dyDescent="0.25">
      <c r="A307" s="11">
        <v>2000</v>
      </c>
      <c r="B307" s="11" t="s">
        <v>230</v>
      </c>
      <c r="C307" s="18">
        <v>20.8</v>
      </c>
      <c r="D307" s="18">
        <v>66.7</v>
      </c>
      <c r="E307" s="18">
        <v>98.9</v>
      </c>
      <c r="F307" s="18">
        <v>69.3</v>
      </c>
      <c r="G307" s="18">
        <v>39.200000000000003</v>
      </c>
      <c r="H307" s="18">
        <v>9.1</v>
      </c>
    </row>
    <row r="308" spans="1:8" x14ac:dyDescent="0.25">
      <c r="A308" s="11">
        <v>2000</v>
      </c>
      <c r="B308" s="11" t="s">
        <v>231</v>
      </c>
      <c r="C308" s="18">
        <v>25.5</v>
      </c>
      <c r="D308" s="18">
        <v>29.6</v>
      </c>
      <c r="E308" s="18">
        <v>53</v>
      </c>
      <c r="F308" s="18">
        <v>80.7</v>
      </c>
      <c r="G308" s="18">
        <v>49.3</v>
      </c>
      <c r="H308" s="18">
        <v>10.7</v>
      </c>
    </row>
    <row r="309" spans="1:8" x14ac:dyDescent="0.25">
      <c r="A309" s="11">
        <v>2000</v>
      </c>
      <c r="B309" s="11" t="s">
        <v>232</v>
      </c>
      <c r="C309" s="18">
        <v>40.799999999999997</v>
      </c>
      <c r="D309" s="18">
        <v>76.400000000000006</v>
      </c>
      <c r="E309" s="18">
        <v>86.7</v>
      </c>
      <c r="F309" s="18">
        <v>73.5</v>
      </c>
      <c r="G309" s="18">
        <v>27.9</v>
      </c>
      <c r="H309" s="18">
        <v>6.1</v>
      </c>
    </row>
    <row r="310" spans="1:8" x14ac:dyDescent="0.25">
      <c r="A310" s="11">
        <v>2000</v>
      </c>
      <c r="B310" s="11" t="s">
        <v>233</v>
      </c>
      <c r="C310" s="18">
        <v>38</v>
      </c>
      <c r="D310" s="18">
        <v>75.3</v>
      </c>
      <c r="E310" s="18">
        <v>99.8</v>
      </c>
      <c r="F310" s="18">
        <v>76</v>
      </c>
      <c r="G310" s="18">
        <v>29.1</v>
      </c>
      <c r="H310" s="18">
        <v>5.6</v>
      </c>
    </row>
    <row r="311" spans="1:8" x14ac:dyDescent="0.25">
      <c r="A311" s="11">
        <v>2000</v>
      </c>
      <c r="B311" s="11" t="s">
        <v>234</v>
      </c>
      <c r="C311" s="18">
        <v>36.1</v>
      </c>
      <c r="D311" s="18">
        <v>53.8</v>
      </c>
      <c r="E311" s="18">
        <v>86.2</v>
      </c>
      <c r="F311" s="18">
        <v>62.6</v>
      </c>
      <c r="G311" s="18">
        <v>29.1</v>
      </c>
      <c r="H311" s="18">
        <v>5.7</v>
      </c>
    </row>
    <row r="312" spans="1:8" x14ac:dyDescent="0.25">
      <c r="A312" s="11">
        <v>2000</v>
      </c>
      <c r="B312" s="11" t="s">
        <v>235</v>
      </c>
      <c r="C312" s="18">
        <v>39.1</v>
      </c>
      <c r="D312" s="18">
        <v>83</v>
      </c>
      <c r="E312" s="18">
        <v>100.5</v>
      </c>
      <c r="F312" s="18">
        <v>64.7</v>
      </c>
      <c r="G312" s="18">
        <v>28</v>
      </c>
      <c r="H312" s="18">
        <v>2.2999999999999998</v>
      </c>
    </row>
    <row r="313" spans="1:8" x14ac:dyDescent="0.25">
      <c r="A313" s="11">
        <v>2000</v>
      </c>
      <c r="B313" s="11" t="s">
        <v>236</v>
      </c>
      <c r="C313" s="18">
        <v>13.7</v>
      </c>
      <c r="D313" s="18">
        <v>30.9</v>
      </c>
      <c r="E313" s="18">
        <v>78.8</v>
      </c>
      <c r="F313" s="18">
        <v>100.3</v>
      </c>
      <c r="G313" s="18">
        <v>45</v>
      </c>
      <c r="H313" s="18">
        <v>7.5</v>
      </c>
    </row>
    <row r="314" spans="1:8" x14ac:dyDescent="0.25">
      <c r="A314" s="11">
        <v>2000</v>
      </c>
      <c r="B314" s="11" t="s">
        <v>237</v>
      </c>
      <c r="C314" s="18">
        <v>26.3</v>
      </c>
      <c r="D314" s="18">
        <v>71</v>
      </c>
      <c r="E314" s="18">
        <v>109.9</v>
      </c>
      <c r="F314" s="18">
        <v>95.1</v>
      </c>
      <c r="G314" s="18">
        <v>41</v>
      </c>
      <c r="H314" s="18">
        <v>7.7</v>
      </c>
    </row>
    <row r="315" spans="1:8" x14ac:dyDescent="0.25">
      <c r="A315" s="11">
        <v>2000</v>
      </c>
      <c r="B315" s="11" t="s">
        <v>238</v>
      </c>
      <c r="C315" s="18">
        <v>12.7</v>
      </c>
      <c r="D315" s="18">
        <v>37.200000000000003</v>
      </c>
      <c r="E315" s="18">
        <v>98.4</v>
      </c>
      <c r="F315" s="18">
        <v>120</v>
      </c>
      <c r="G315" s="18">
        <v>48.7</v>
      </c>
      <c r="H315" s="18">
        <v>6.7</v>
      </c>
    </row>
    <row r="316" spans="1:8" x14ac:dyDescent="0.25">
      <c r="A316" s="11">
        <v>2000</v>
      </c>
      <c r="B316" s="11" t="s">
        <v>239</v>
      </c>
      <c r="C316" s="18">
        <v>28.2</v>
      </c>
      <c r="D316" s="18">
        <v>73</v>
      </c>
      <c r="E316" s="18">
        <v>94</v>
      </c>
      <c r="F316" s="18">
        <v>82.4</v>
      </c>
      <c r="G316" s="18">
        <v>26.2</v>
      </c>
      <c r="H316" s="18">
        <v>6</v>
      </c>
    </row>
    <row r="317" spans="1:8" x14ac:dyDescent="0.25">
      <c r="A317" s="11">
        <v>2000</v>
      </c>
      <c r="B317" s="11" t="s">
        <v>240</v>
      </c>
      <c r="C317" s="18">
        <v>33.200000000000003</v>
      </c>
      <c r="D317" s="18">
        <v>67.7</v>
      </c>
      <c r="E317" s="18">
        <v>91.4</v>
      </c>
      <c r="F317" s="18">
        <v>75.099999999999994</v>
      </c>
      <c r="G317" s="18">
        <v>27.7</v>
      </c>
      <c r="H317" s="18">
        <v>4.5999999999999996</v>
      </c>
    </row>
    <row r="318" spans="1:8" x14ac:dyDescent="0.25">
      <c r="A318" s="11">
        <v>2000</v>
      </c>
      <c r="B318" s="11" t="s">
        <v>241</v>
      </c>
      <c r="C318" s="18">
        <v>36.299999999999997</v>
      </c>
      <c r="D318" s="18">
        <v>54.3</v>
      </c>
      <c r="E318" s="18">
        <v>71</v>
      </c>
      <c r="F318" s="18">
        <v>71.8</v>
      </c>
      <c r="G318" s="18">
        <v>37.299999999999997</v>
      </c>
      <c r="H318" s="18">
        <v>5.9</v>
      </c>
    </row>
    <row r="319" spans="1:8" x14ac:dyDescent="0.25">
      <c r="A319" s="11">
        <v>2000</v>
      </c>
      <c r="B319" s="11" t="s">
        <v>242</v>
      </c>
      <c r="C319" s="18">
        <v>30.4</v>
      </c>
      <c r="D319" s="18">
        <v>85.1</v>
      </c>
      <c r="E319" s="18">
        <v>97</v>
      </c>
      <c r="F319" s="18">
        <v>83.6</v>
      </c>
      <c r="G319" s="18">
        <v>38.5</v>
      </c>
      <c r="H319" s="18">
        <v>7.7</v>
      </c>
    </row>
    <row r="320" spans="1:8" x14ac:dyDescent="0.25">
      <c r="A320" s="11">
        <v>2000</v>
      </c>
      <c r="B320" s="11" t="s">
        <v>243</v>
      </c>
      <c r="C320" s="18">
        <v>35.299999999999997</v>
      </c>
      <c r="D320" s="18">
        <v>67.3</v>
      </c>
      <c r="E320" s="18">
        <v>89.7</v>
      </c>
      <c r="F320" s="18">
        <v>74.5</v>
      </c>
      <c r="G320" s="18">
        <v>35</v>
      </c>
      <c r="H320" s="18">
        <v>5.5</v>
      </c>
    </row>
    <row r="321" spans="1:8" x14ac:dyDescent="0.25">
      <c r="A321" s="11">
        <v>2000</v>
      </c>
      <c r="B321" s="11" t="s">
        <v>244</v>
      </c>
      <c r="C321" s="18">
        <v>30.1</v>
      </c>
      <c r="D321" s="18">
        <v>74.3</v>
      </c>
      <c r="E321" s="18">
        <v>110.2</v>
      </c>
      <c r="F321" s="18">
        <v>90.8</v>
      </c>
      <c r="G321" s="18">
        <v>31.5</v>
      </c>
      <c r="H321" s="18">
        <v>5.7</v>
      </c>
    </row>
    <row r="322" spans="1:8" x14ac:dyDescent="0.25">
      <c r="A322" s="11">
        <v>2000</v>
      </c>
      <c r="B322" s="11" t="s">
        <v>245</v>
      </c>
      <c r="C322" s="18">
        <v>26.5</v>
      </c>
      <c r="D322" s="18">
        <v>84</v>
      </c>
      <c r="E322" s="18">
        <v>106.8</v>
      </c>
      <c r="F322" s="18">
        <v>80.099999999999994</v>
      </c>
      <c r="G322" s="18">
        <v>32</v>
      </c>
      <c r="H322" s="18">
        <v>8</v>
      </c>
    </row>
    <row r="323" spans="1:8" x14ac:dyDescent="0.25">
      <c r="A323" s="11">
        <v>2000</v>
      </c>
      <c r="B323" s="11" t="s">
        <v>246</v>
      </c>
      <c r="C323" s="18">
        <v>14.8</v>
      </c>
      <c r="D323" s="18">
        <v>52.4</v>
      </c>
      <c r="E323" s="18">
        <v>106</v>
      </c>
      <c r="F323" s="18">
        <v>76.8</v>
      </c>
      <c r="G323" s="18">
        <v>41.5</v>
      </c>
      <c r="H323" s="18">
        <v>11.4</v>
      </c>
    </row>
    <row r="324" spans="1:8" x14ac:dyDescent="0.25">
      <c r="A324" s="11">
        <v>2000</v>
      </c>
      <c r="B324" s="11" t="s">
        <v>247</v>
      </c>
      <c r="C324" s="18">
        <v>32.6</v>
      </c>
      <c r="D324" s="18">
        <v>69.900000000000006</v>
      </c>
      <c r="E324" s="18">
        <v>95.1</v>
      </c>
      <c r="F324" s="18">
        <v>76.599999999999994</v>
      </c>
      <c r="G324" s="18">
        <v>28.3</v>
      </c>
      <c r="H324" s="18">
        <v>4.7</v>
      </c>
    </row>
    <row r="325" spans="1:8" x14ac:dyDescent="0.25">
      <c r="A325" s="11">
        <v>2000</v>
      </c>
      <c r="B325" s="11" t="s">
        <v>248</v>
      </c>
      <c r="C325" s="18">
        <v>33</v>
      </c>
      <c r="D325" s="18">
        <v>76.599999999999994</v>
      </c>
      <c r="E325" s="18">
        <v>101</v>
      </c>
      <c r="F325" s="18">
        <v>83.1</v>
      </c>
      <c r="G325" s="18">
        <v>29.8</v>
      </c>
      <c r="H325" s="18">
        <v>4.8</v>
      </c>
    </row>
    <row r="326" spans="1:8" x14ac:dyDescent="0.25">
      <c r="A326" s="11">
        <v>2000</v>
      </c>
      <c r="B326" s="11" t="s">
        <v>249</v>
      </c>
      <c r="C326" s="18">
        <v>11</v>
      </c>
      <c r="D326" s="18">
        <v>53.2</v>
      </c>
      <c r="E326" s="18">
        <v>92.4</v>
      </c>
      <c r="F326" s="18">
        <v>69.7</v>
      </c>
      <c r="G326" s="18">
        <v>30.9</v>
      </c>
      <c r="H326" s="18">
        <v>8.5</v>
      </c>
    </row>
    <row r="327" spans="1:8" x14ac:dyDescent="0.25">
      <c r="A327" s="11">
        <v>2000</v>
      </c>
      <c r="B327" s="11" t="s">
        <v>250</v>
      </c>
      <c r="C327" s="18">
        <v>22</v>
      </c>
      <c r="D327" s="18">
        <v>74</v>
      </c>
      <c r="E327" s="18">
        <v>85.5</v>
      </c>
      <c r="F327" s="18">
        <v>93.6</v>
      </c>
      <c r="G327" s="18">
        <v>42</v>
      </c>
      <c r="H327" s="18">
        <v>7.7</v>
      </c>
    </row>
    <row r="328" spans="1:8" x14ac:dyDescent="0.25">
      <c r="A328" s="11">
        <v>2000</v>
      </c>
      <c r="B328" s="11" t="s">
        <v>251</v>
      </c>
      <c r="C328" s="18">
        <v>37.299999999999997</v>
      </c>
      <c r="D328" s="18">
        <v>60.5</v>
      </c>
      <c r="E328" s="18">
        <v>92.1</v>
      </c>
      <c r="F328" s="18">
        <v>94.2</v>
      </c>
      <c r="G328" s="18">
        <v>36.5</v>
      </c>
      <c r="H328" s="18">
        <v>5.3</v>
      </c>
    </row>
    <row r="329" spans="1:8" x14ac:dyDescent="0.25">
      <c r="A329" s="11">
        <v>2000</v>
      </c>
      <c r="B329" s="11" t="s">
        <v>252</v>
      </c>
      <c r="C329" s="18">
        <v>21.7</v>
      </c>
      <c r="D329" s="18">
        <v>67.8</v>
      </c>
      <c r="E329" s="18">
        <v>103.9</v>
      </c>
      <c r="F329" s="18">
        <v>99</v>
      </c>
      <c r="G329" s="18">
        <v>39.5</v>
      </c>
      <c r="H329" s="18">
        <v>5.0999999999999996</v>
      </c>
    </row>
    <row r="330" spans="1:8" x14ac:dyDescent="0.25">
      <c r="A330" s="11">
        <v>2000</v>
      </c>
      <c r="B330" s="11" t="s">
        <v>253</v>
      </c>
      <c r="C330" s="18">
        <v>24.9</v>
      </c>
      <c r="D330" s="18">
        <v>63.1</v>
      </c>
      <c r="E330" s="18">
        <v>109.2</v>
      </c>
      <c r="F330" s="18">
        <v>68.099999999999994</v>
      </c>
      <c r="G330" s="18">
        <v>43.4</v>
      </c>
      <c r="H330" s="18">
        <v>10.3</v>
      </c>
    </row>
    <row r="331" spans="1:8" x14ac:dyDescent="0.25">
      <c r="A331" s="11">
        <v>2000</v>
      </c>
      <c r="B331" s="11" t="s">
        <v>254</v>
      </c>
      <c r="C331" s="18">
        <v>23.7</v>
      </c>
      <c r="D331" s="18">
        <v>67.8</v>
      </c>
      <c r="E331" s="18">
        <v>98.8</v>
      </c>
      <c r="F331" s="18">
        <v>82</v>
      </c>
      <c r="G331" s="18">
        <v>34</v>
      </c>
      <c r="H331" s="18">
        <v>5.9</v>
      </c>
    </row>
    <row r="332" spans="1:8" x14ac:dyDescent="0.25">
      <c r="A332" s="11">
        <v>2000</v>
      </c>
      <c r="B332" s="11" t="s">
        <v>255</v>
      </c>
      <c r="C332" s="18">
        <v>24.4</v>
      </c>
      <c r="D332" s="18">
        <v>58.8</v>
      </c>
      <c r="E332" s="18">
        <v>96.4</v>
      </c>
      <c r="F332" s="18">
        <v>85.6</v>
      </c>
      <c r="G332" s="18">
        <v>33.1</v>
      </c>
      <c r="H332" s="18">
        <v>4.5999999999999996</v>
      </c>
    </row>
    <row r="333" spans="1:8" x14ac:dyDescent="0.25">
      <c r="A333" s="11">
        <v>2000</v>
      </c>
      <c r="B333" s="11" t="s">
        <v>256</v>
      </c>
      <c r="C333" s="18">
        <v>21.6</v>
      </c>
      <c r="D333" s="18">
        <v>33.799999999999997</v>
      </c>
      <c r="E333" s="18">
        <v>85.3</v>
      </c>
      <c r="F333" s="18">
        <v>90.4</v>
      </c>
      <c r="G333" s="18">
        <v>46</v>
      </c>
      <c r="H333" s="18">
        <v>8.3000000000000007</v>
      </c>
    </row>
    <row r="334" spans="1:8" x14ac:dyDescent="0.25">
      <c r="A334" s="11">
        <v>2000</v>
      </c>
      <c r="B334" s="11" t="s">
        <v>257</v>
      </c>
      <c r="C334" s="18">
        <v>30.6</v>
      </c>
      <c r="D334" s="18">
        <v>65.400000000000006</v>
      </c>
      <c r="E334" s="18">
        <v>96.8</v>
      </c>
      <c r="F334" s="18">
        <v>76.900000000000006</v>
      </c>
      <c r="G334" s="18">
        <v>31.9</v>
      </c>
      <c r="H334" s="18">
        <v>5.2</v>
      </c>
    </row>
    <row r="335" spans="1:8" x14ac:dyDescent="0.25">
      <c r="A335" s="11">
        <v>2000</v>
      </c>
      <c r="B335" s="11" t="s">
        <v>258</v>
      </c>
      <c r="C335" s="18">
        <v>34.9</v>
      </c>
      <c r="D335" s="18">
        <v>71.8</v>
      </c>
      <c r="E335" s="18">
        <v>90.8</v>
      </c>
      <c r="F335" s="18">
        <v>85.9</v>
      </c>
      <c r="G335" s="18">
        <v>32.700000000000003</v>
      </c>
      <c r="H335" s="18">
        <v>5.0999999999999996</v>
      </c>
    </row>
    <row r="336" spans="1:8" x14ac:dyDescent="0.25">
      <c r="A336" s="11">
        <v>2001</v>
      </c>
      <c r="B336" s="11" t="s">
        <v>11</v>
      </c>
      <c r="C336" s="18">
        <v>28.4</v>
      </c>
      <c r="D336" s="18">
        <v>57.8</v>
      </c>
      <c r="E336" s="18">
        <v>85.1</v>
      </c>
      <c r="F336" s="18">
        <v>82.2</v>
      </c>
      <c r="G336" s="18">
        <v>36.9</v>
      </c>
      <c r="H336" s="18">
        <v>6.5</v>
      </c>
    </row>
    <row r="337" spans="1:8" x14ac:dyDescent="0.25">
      <c r="A337" s="11">
        <v>2001</v>
      </c>
      <c r="B337" s="11" t="s">
        <v>227</v>
      </c>
      <c r="C337" s="18">
        <v>24.2</v>
      </c>
      <c r="D337" s="18">
        <v>36</v>
      </c>
      <c r="E337" s="18">
        <v>67.400000000000006</v>
      </c>
      <c r="F337" s="18">
        <v>80</v>
      </c>
      <c r="G337" s="18">
        <v>38.1</v>
      </c>
      <c r="H337" s="18">
        <v>5.7</v>
      </c>
    </row>
    <row r="338" spans="1:8" x14ac:dyDescent="0.25">
      <c r="A338" s="11">
        <v>2001</v>
      </c>
      <c r="B338" s="11" t="s">
        <v>228</v>
      </c>
      <c r="C338" s="18">
        <v>11.5</v>
      </c>
      <c r="D338" s="18">
        <v>62.3</v>
      </c>
      <c r="E338" s="18">
        <v>114.3</v>
      </c>
      <c r="F338" s="18">
        <v>89.3</v>
      </c>
      <c r="G338" s="18">
        <v>38</v>
      </c>
      <c r="H338" s="18">
        <v>5.7</v>
      </c>
    </row>
    <row r="339" spans="1:8" x14ac:dyDescent="0.25">
      <c r="A339" s="11">
        <v>2001</v>
      </c>
      <c r="B339" s="11" t="s">
        <v>229</v>
      </c>
      <c r="C339" s="18">
        <v>28.4</v>
      </c>
      <c r="D339" s="18">
        <v>84.7</v>
      </c>
      <c r="E339" s="18">
        <v>107.9</v>
      </c>
      <c r="F339" s="18">
        <v>88.3</v>
      </c>
      <c r="G339" s="18">
        <v>34.1</v>
      </c>
      <c r="H339" s="18">
        <v>6.1</v>
      </c>
    </row>
    <row r="340" spans="1:8" x14ac:dyDescent="0.25">
      <c r="A340" s="11">
        <v>2001</v>
      </c>
      <c r="B340" s="11" t="s">
        <v>230</v>
      </c>
      <c r="C340" s="18">
        <v>21.3</v>
      </c>
      <c r="D340" s="18">
        <v>61.9</v>
      </c>
      <c r="E340" s="18">
        <v>87.1</v>
      </c>
      <c r="F340" s="18">
        <v>89.3</v>
      </c>
      <c r="G340" s="18">
        <v>35.799999999999997</v>
      </c>
      <c r="H340" s="18">
        <v>7.7</v>
      </c>
    </row>
    <row r="341" spans="1:8" x14ac:dyDescent="0.25">
      <c r="A341" s="11">
        <v>2001</v>
      </c>
      <c r="B341" s="11" t="s">
        <v>231</v>
      </c>
      <c r="C341" s="18">
        <v>23</v>
      </c>
      <c r="D341" s="18">
        <v>29.3</v>
      </c>
      <c r="E341" s="18">
        <v>50.9</v>
      </c>
      <c r="F341" s="18">
        <v>80.3</v>
      </c>
      <c r="G341" s="18">
        <v>46.4</v>
      </c>
      <c r="H341" s="18">
        <v>9.4</v>
      </c>
    </row>
    <row r="342" spans="1:8" x14ac:dyDescent="0.25">
      <c r="A342" s="11">
        <v>2001</v>
      </c>
      <c r="B342" s="11" t="s">
        <v>232</v>
      </c>
      <c r="C342" s="18">
        <v>35.5</v>
      </c>
      <c r="D342" s="18">
        <v>86.7</v>
      </c>
      <c r="E342" s="18">
        <v>108.2</v>
      </c>
      <c r="F342" s="18">
        <v>73.7</v>
      </c>
      <c r="G342" s="18">
        <v>35.700000000000003</v>
      </c>
      <c r="H342" s="18">
        <v>4.9000000000000004</v>
      </c>
    </row>
    <row r="343" spans="1:8" x14ac:dyDescent="0.25">
      <c r="A343" s="11">
        <v>2001</v>
      </c>
      <c r="B343" s="11" t="s">
        <v>233</v>
      </c>
      <c r="C343" s="18">
        <v>36.5</v>
      </c>
      <c r="D343" s="18">
        <v>77.2</v>
      </c>
      <c r="E343" s="18">
        <v>95.7</v>
      </c>
      <c r="F343" s="18">
        <v>72.5</v>
      </c>
      <c r="G343" s="18">
        <v>25.8</v>
      </c>
      <c r="H343" s="18">
        <v>6.2</v>
      </c>
    </row>
    <row r="344" spans="1:8" x14ac:dyDescent="0.25">
      <c r="A344" s="11">
        <v>2001</v>
      </c>
      <c r="B344" s="11" t="s">
        <v>234</v>
      </c>
      <c r="C344" s="18">
        <v>38.9</v>
      </c>
      <c r="D344" s="18">
        <v>52.1</v>
      </c>
      <c r="E344" s="18">
        <v>85.2</v>
      </c>
      <c r="F344" s="18">
        <v>62.8</v>
      </c>
      <c r="G344" s="18">
        <v>32.6</v>
      </c>
      <c r="H344" s="18">
        <v>6.2</v>
      </c>
    </row>
    <row r="345" spans="1:8" x14ac:dyDescent="0.25">
      <c r="A345" s="11">
        <v>2001</v>
      </c>
      <c r="B345" s="11" t="s">
        <v>235</v>
      </c>
      <c r="C345" s="18">
        <v>31.9</v>
      </c>
      <c r="D345" s="18">
        <v>74.599999999999994</v>
      </c>
      <c r="E345" s="18">
        <v>89.9</v>
      </c>
      <c r="F345" s="18">
        <v>76</v>
      </c>
      <c r="G345" s="18">
        <v>30.8</v>
      </c>
      <c r="H345" s="18">
        <v>4.0999999999999996</v>
      </c>
    </row>
    <row r="346" spans="1:8" x14ac:dyDescent="0.25">
      <c r="A346" s="11">
        <v>2001</v>
      </c>
      <c r="B346" s="11" t="s">
        <v>236</v>
      </c>
      <c r="C346" s="18">
        <v>10</v>
      </c>
      <c r="D346" s="18">
        <v>25.3</v>
      </c>
      <c r="E346" s="18">
        <v>92.2</v>
      </c>
      <c r="F346" s="18">
        <v>105.9</v>
      </c>
      <c r="G346" s="18">
        <v>51.1</v>
      </c>
      <c r="H346" s="18">
        <v>6.7</v>
      </c>
    </row>
    <row r="347" spans="1:8" x14ac:dyDescent="0.25">
      <c r="A347" s="11">
        <v>2001</v>
      </c>
      <c r="B347" s="11" t="s">
        <v>237</v>
      </c>
      <c r="C347" s="18">
        <v>28.6</v>
      </c>
      <c r="D347" s="18">
        <v>71.7</v>
      </c>
      <c r="E347" s="18">
        <v>99.2</v>
      </c>
      <c r="F347" s="18">
        <v>83.4</v>
      </c>
      <c r="G347" s="18">
        <v>45.9</v>
      </c>
      <c r="H347" s="18">
        <v>7.7</v>
      </c>
    </row>
    <row r="348" spans="1:8" x14ac:dyDescent="0.25">
      <c r="A348" s="11">
        <v>2001</v>
      </c>
      <c r="B348" s="11" t="s">
        <v>238</v>
      </c>
      <c r="C348" s="18">
        <v>9.3000000000000007</v>
      </c>
      <c r="D348" s="18">
        <v>37.9</v>
      </c>
      <c r="E348" s="18">
        <v>106.7</v>
      </c>
      <c r="F348" s="18">
        <v>129.30000000000001</v>
      </c>
      <c r="G348" s="18">
        <v>50</v>
      </c>
      <c r="H348" s="18">
        <v>8</v>
      </c>
    </row>
    <row r="349" spans="1:8" x14ac:dyDescent="0.25">
      <c r="A349" s="11">
        <v>2001</v>
      </c>
      <c r="B349" s="11" t="s">
        <v>239</v>
      </c>
      <c r="C349" s="18">
        <v>27.4</v>
      </c>
      <c r="D349" s="18">
        <v>62</v>
      </c>
      <c r="E349" s="18">
        <v>91.9</v>
      </c>
      <c r="F349" s="18">
        <v>71.900000000000006</v>
      </c>
      <c r="G349" s="18">
        <v>32.4</v>
      </c>
      <c r="H349" s="18">
        <v>4.5999999999999996</v>
      </c>
    </row>
    <row r="350" spans="1:8" x14ac:dyDescent="0.25">
      <c r="A350" s="11">
        <v>2001</v>
      </c>
      <c r="B350" s="11" t="s">
        <v>240</v>
      </c>
      <c r="C350" s="18">
        <v>31.8</v>
      </c>
      <c r="D350" s="18">
        <v>71.400000000000006</v>
      </c>
      <c r="E350" s="18">
        <v>96.4</v>
      </c>
      <c r="F350" s="18">
        <v>79.400000000000006</v>
      </c>
      <c r="G350" s="18">
        <v>31</v>
      </c>
      <c r="H350" s="18">
        <v>5.3</v>
      </c>
    </row>
    <row r="351" spans="1:8" x14ac:dyDescent="0.25">
      <c r="A351" s="11">
        <v>2001</v>
      </c>
      <c r="B351" s="11" t="s">
        <v>241</v>
      </c>
      <c r="C351" s="18">
        <v>35</v>
      </c>
      <c r="D351" s="18">
        <v>54.9</v>
      </c>
      <c r="E351" s="18">
        <v>68.900000000000006</v>
      </c>
      <c r="F351" s="18">
        <v>74.2</v>
      </c>
      <c r="G351" s="18">
        <v>38.200000000000003</v>
      </c>
      <c r="H351" s="18">
        <v>7.4</v>
      </c>
    </row>
    <row r="352" spans="1:8" x14ac:dyDescent="0.25">
      <c r="A352" s="11">
        <v>2001</v>
      </c>
      <c r="B352" s="11" t="s">
        <v>242</v>
      </c>
      <c r="C352" s="18">
        <v>31.6</v>
      </c>
      <c r="D352" s="18">
        <v>83.2</v>
      </c>
      <c r="E352" s="18">
        <v>103.2</v>
      </c>
      <c r="F352" s="18">
        <v>83.7</v>
      </c>
      <c r="G352" s="18">
        <v>36.9</v>
      </c>
      <c r="H352" s="18">
        <v>8.8000000000000007</v>
      </c>
    </row>
    <row r="353" spans="1:8" x14ac:dyDescent="0.25">
      <c r="A353" s="11">
        <v>2001</v>
      </c>
      <c r="B353" s="11" t="s">
        <v>243</v>
      </c>
      <c r="C353" s="18">
        <v>30.7</v>
      </c>
      <c r="D353" s="18">
        <v>67.2</v>
      </c>
      <c r="E353" s="18">
        <v>86.6</v>
      </c>
      <c r="F353" s="18">
        <v>83</v>
      </c>
      <c r="G353" s="18">
        <v>34.700000000000003</v>
      </c>
      <c r="H353" s="18">
        <v>4.5</v>
      </c>
    </row>
    <row r="354" spans="1:8" x14ac:dyDescent="0.25">
      <c r="A354" s="11">
        <v>2001</v>
      </c>
      <c r="B354" s="11" t="s">
        <v>244</v>
      </c>
      <c r="C354" s="18">
        <v>31.7</v>
      </c>
      <c r="D354" s="18">
        <v>73.7</v>
      </c>
      <c r="E354" s="18">
        <v>107.7</v>
      </c>
      <c r="F354" s="18">
        <v>88.3</v>
      </c>
      <c r="G354" s="18">
        <v>43.8</v>
      </c>
      <c r="H354" s="18">
        <v>4.3</v>
      </c>
    </row>
    <row r="355" spans="1:8" x14ac:dyDescent="0.25">
      <c r="A355" s="11">
        <v>2001</v>
      </c>
      <c r="B355" s="11" t="s">
        <v>245</v>
      </c>
      <c r="C355" s="18">
        <v>24.4</v>
      </c>
      <c r="D355" s="18">
        <v>80.7</v>
      </c>
      <c r="E355" s="18">
        <v>110.2</v>
      </c>
      <c r="F355" s="18">
        <v>74.099999999999994</v>
      </c>
      <c r="G355" s="18">
        <v>33.700000000000003</v>
      </c>
      <c r="H355" s="18">
        <v>5.5</v>
      </c>
    </row>
    <row r="356" spans="1:8" x14ac:dyDescent="0.25">
      <c r="A356" s="11">
        <v>2001</v>
      </c>
      <c r="B356" s="11" t="s">
        <v>246</v>
      </c>
      <c r="C356" s="18">
        <v>12.9</v>
      </c>
      <c r="D356" s="18">
        <v>70.7</v>
      </c>
      <c r="E356" s="18">
        <v>87.4</v>
      </c>
      <c r="F356" s="18">
        <v>96.8</v>
      </c>
      <c r="G356" s="18">
        <v>37.4</v>
      </c>
      <c r="H356" s="18">
        <v>8</v>
      </c>
    </row>
    <row r="357" spans="1:8" x14ac:dyDescent="0.25">
      <c r="A357" s="11">
        <v>2001</v>
      </c>
      <c r="B357" s="11" t="s">
        <v>247</v>
      </c>
      <c r="C357" s="18">
        <v>35.700000000000003</v>
      </c>
      <c r="D357" s="18">
        <v>88.6</v>
      </c>
      <c r="E357" s="18">
        <v>91.7</v>
      </c>
      <c r="F357" s="18">
        <v>75.5</v>
      </c>
      <c r="G357" s="18">
        <v>28.6</v>
      </c>
      <c r="H357" s="18">
        <v>4.5999999999999996</v>
      </c>
    </row>
    <row r="358" spans="1:8" x14ac:dyDescent="0.25">
      <c r="A358" s="11">
        <v>2001</v>
      </c>
      <c r="B358" s="11" t="s">
        <v>248</v>
      </c>
      <c r="C358" s="18">
        <v>36.700000000000003</v>
      </c>
      <c r="D358" s="18">
        <v>73.599999999999994</v>
      </c>
      <c r="E358" s="18">
        <v>88.3</v>
      </c>
      <c r="F358" s="18">
        <v>82.7</v>
      </c>
      <c r="G358" s="18">
        <v>31</v>
      </c>
      <c r="H358" s="18">
        <v>5.5</v>
      </c>
    </row>
    <row r="359" spans="1:8" x14ac:dyDescent="0.25">
      <c r="A359" s="11">
        <v>2001</v>
      </c>
      <c r="B359" s="11" t="s">
        <v>249</v>
      </c>
      <c r="C359" s="18">
        <v>11</v>
      </c>
      <c r="D359" s="18">
        <v>58</v>
      </c>
      <c r="E359" s="18">
        <v>100.8</v>
      </c>
      <c r="F359" s="18">
        <v>98.2</v>
      </c>
      <c r="G359" s="18">
        <v>34.799999999999997</v>
      </c>
      <c r="H359" s="18">
        <v>7.1</v>
      </c>
    </row>
    <row r="360" spans="1:8" x14ac:dyDescent="0.25">
      <c r="A360" s="11">
        <v>2001</v>
      </c>
      <c r="B360" s="11" t="s">
        <v>250</v>
      </c>
      <c r="C360" s="18">
        <v>21.2</v>
      </c>
      <c r="D360" s="18">
        <v>65.599999999999994</v>
      </c>
      <c r="E360" s="18">
        <v>102.9</v>
      </c>
      <c r="F360" s="18">
        <v>101.3</v>
      </c>
      <c r="G360" s="18">
        <v>37.200000000000003</v>
      </c>
      <c r="H360" s="18">
        <v>6.7</v>
      </c>
    </row>
    <row r="361" spans="1:8" x14ac:dyDescent="0.25">
      <c r="A361" s="11">
        <v>2001</v>
      </c>
      <c r="B361" s="11" t="s">
        <v>251</v>
      </c>
      <c r="C361" s="18">
        <v>31</v>
      </c>
      <c r="D361" s="18">
        <v>60.8</v>
      </c>
      <c r="E361" s="18">
        <v>85.6</v>
      </c>
      <c r="F361" s="18">
        <v>81.400000000000006</v>
      </c>
      <c r="G361" s="18">
        <v>34.9</v>
      </c>
      <c r="H361" s="18">
        <v>7</v>
      </c>
    </row>
    <row r="362" spans="1:8" x14ac:dyDescent="0.25">
      <c r="A362" s="11">
        <v>2001</v>
      </c>
      <c r="B362" s="11" t="s">
        <v>252</v>
      </c>
      <c r="C362" s="18">
        <v>25.7</v>
      </c>
      <c r="D362" s="18">
        <v>65.2</v>
      </c>
      <c r="E362" s="18">
        <v>95.2</v>
      </c>
      <c r="F362" s="18">
        <v>100.3</v>
      </c>
      <c r="G362" s="18">
        <v>42.4</v>
      </c>
      <c r="H362" s="18">
        <v>9</v>
      </c>
    </row>
    <row r="363" spans="1:8" x14ac:dyDescent="0.25">
      <c r="A363" s="11">
        <v>2001</v>
      </c>
      <c r="B363" s="11" t="s">
        <v>253</v>
      </c>
      <c r="C363" s="18">
        <v>29.5</v>
      </c>
      <c r="D363" s="18">
        <v>92.1</v>
      </c>
      <c r="E363" s="18">
        <v>97.5</v>
      </c>
      <c r="F363" s="18">
        <v>96.5</v>
      </c>
      <c r="G363" s="18">
        <v>43.9</v>
      </c>
      <c r="H363" s="18">
        <v>5.0999999999999996</v>
      </c>
    </row>
    <row r="364" spans="1:8" x14ac:dyDescent="0.25">
      <c r="A364" s="11">
        <v>2001</v>
      </c>
      <c r="B364" s="11" t="s">
        <v>254</v>
      </c>
      <c r="C364" s="18">
        <v>31.3</v>
      </c>
      <c r="D364" s="18">
        <v>61.7</v>
      </c>
      <c r="E364" s="18">
        <v>92.7</v>
      </c>
      <c r="F364" s="18">
        <v>87.2</v>
      </c>
      <c r="G364" s="18">
        <v>37.6</v>
      </c>
      <c r="H364" s="18">
        <v>6.4</v>
      </c>
    </row>
    <row r="365" spans="1:8" x14ac:dyDescent="0.25">
      <c r="A365" s="11">
        <v>2001</v>
      </c>
      <c r="B365" s="11" t="s">
        <v>255</v>
      </c>
      <c r="C365" s="18">
        <v>23.6</v>
      </c>
      <c r="D365" s="18">
        <v>60.8</v>
      </c>
      <c r="E365" s="18">
        <v>93.5</v>
      </c>
      <c r="F365" s="18">
        <v>88.1</v>
      </c>
      <c r="G365" s="18">
        <v>35.299999999999997</v>
      </c>
      <c r="H365" s="18">
        <v>5.3</v>
      </c>
    </row>
    <row r="366" spans="1:8" x14ac:dyDescent="0.25">
      <c r="A366" s="11">
        <v>2001</v>
      </c>
      <c r="B366" s="11" t="s">
        <v>256</v>
      </c>
      <c r="C366" s="18">
        <v>17.2</v>
      </c>
      <c r="D366" s="18">
        <v>37.4</v>
      </c>
      <c r="E366" s="18">
        <v>80.7</v>
      </c>
      <c r="F366" s="18">
        <v>91.4</v>
      </c>
      <c r="G366" s="18">
        <v>42.7</v>
      </c>
      <c r="H366" s="18">
        <v>8.1999999999999993</v>
      </c>
    </row>
    <row r="367" spans="1:8" x14ac:dyDescent="0.25">
      <c r="A367" s="11">
        <v>2001</v>
      </c>
      <c r="B367" s="11" t="s">
        <v>257</v>
      </c>
      <c r="C367" s="18">
        <v>34.799999999999997</v>
      </c>
      <c r="D367" s="18">
        <v>66.5</v>
      </c>
      <c r="E367" s="18">
        <v>87.7</v>
      </c>
      <c r="F367" s="18">
        <v>71</v>
      </c>
      <c r="G367" s="18">
        <v>36.299999999999997</v>
      </c>
      <c r="H367" s="18">
        <v>5.2</v>
      </c>
    </row>
    <row r="368" spans="1:8" x14ac:dyDescent="0.25">
      <c r="A368" s="11">
        <v>2001</v>
      </c>
      <c r="B368" s="11" t="s">
        <v>258</v>
      </c>
      <c r="C368" s="18">
        <v>34.4</v>
      </c>
      <c r="D368" s="18">
        <v>79.8</v>
      </c>
      <c r="E368" s="18">
        <v>107.9</v>
      </c>
      <c r="F368" s="18">
        <v>79</v>
      </c>
      <c r="G368" s="18">
        <v>33.9</v>
      </c>
      <c r="H368" s="18">
        <v>6</v>
      </c>
    </row>
    <row r="369" spans="1:8" x14ac:dyDescent="0.25">
      <c r="A369" s="11">
        <v>2002</v>
      </c>
      <c r="B369" s="11" t="s">
        <v>11</v>
      </c>
      <c r="C369" s="18">
        <v>26.7</v>
      </c>
      <c r="D369" s="18">
        <v>57.3</v>
      </c>
      <c r="E369" s="18">
        <v>82.6</v>
      </c>
      <c r="F369" s="18">
        <v>83.3</v>
      </c>
      <c r="G369" s="18">
        <v>37</v>
      </c>
      <c r="H369" s="18">
        <v>6.6</v>
      </c>
    </row>
    <row r="370" spans="1:8" x14ac:dyDescent="0.25">
      <c r="A370" s="11">
        <v>2002</v>
      </c>
      <c r="B370" s="11" t="s">
        <v>227</v>
      </c>
      <c r="C370" s="18">
        <v>26</v>
      </c>
      <c r="D370" s="18">
        <v>38.700000000000003</v>
      </c>
      <c r="E370" s="18">
        <v>65.7</v>
      </c>
      <c r="F370" s="18">
        <v>81.2</v>
      </c>
      <c r="G370" s="18">
        <v>40</v>
      </c>
      <c r="H370" s="18">
        <v>5.2</v>
      </c>
    </row>
    <row r="371" spans="1:8" x14ac:dyDescent="0.25">
      <c r="A371" s="11">
        <v>2002</v>
      </c>
      <c r="B371" s="11" t="s">
        <v>228</v>
      </c>
      <c r="C371" s="18">
        <v>15.2</v>
      </c>
      <c r="D371" s="18">
        <v>64.3</v>
      </c>
      <c r="E371" s="18">
        <v>116.8</v>
      </c>
      <c r="F371" s="18">
        <v>96.6</v>
      </c>
      <c r="G371" s="18">
        <v>35.9</v>
      </c>
      <c r="H371" s="18">
        <v>6.7</v>
      </c>
    </row>
    <row r="372" spans="1:8" x14ac:dyDescent="0.25">
      <c r="A372" s="11">
        <v>2002</v>
      </c>
      <c r="B372" s="11" t="s">
        <v>229</v>
      </c>
      <c r="C372" s="18">
        <v>23.3</v>
      </c>
      <c r="D372" s="18">
        <v>68.7</v>
      </c>
      <c r="E372" s="18">
        <v>101</v>
      </c>
      <c r="F372" s="18">
        <v>88.2</v>
      </c>
      <c r="G372" s="18">
        <v>35.4</v>
      </c>
      <c r="H372" s="18">
        <v>4.0999999999999996</v>
      </c>
    </row>
    <row r="373" spans="1:8" x14ac:dyDescent="0.25">
      <c r="A373" s="11">
        <v>2002</v>
      </c>
      <c r="B373" s="11" t="s">
        <v>230</v>
      </c>
      <c r="C373" s="18">
        <v>19.8</v>
      </c>
      <c r="D373" s="18">
        <v>74.099999999999994</v>
      </c>
      <c r="E373" s="18">
        <v>92.1</v>
      </c>
      <c r="F373" s="18">
        <v>82.6</v>
      </c>
      <c r="G373" s="18">
        <v>38.6</v>
      </c>
      <c r="H373" s="18">
        <v>7.5</v>
      </c>
    </row>
    <row r="374" spans="1:8" x14ac:dyDescent="0.25">
      <c r="A374" s="11">
        <v>2002</v>
      </c>
      <c r="B374" s="11" t="s">
        <v>231</v>
      </c>
      <c r="C374" s="18">
        <v>21.2</v>
      </c>
      <c r="D374" s="18">
        <v>28.3</v>
      </c>
      <c r="E374" s="18">
        <v>50.9</v>
      </c>
      <c r="F374" s="18">
        <v>81.5</v>
      </c>
      <c r="G374" s="18">
        <v>48.4</v>
      </c>
      <c r="H374" s="18">
        <v>10.3</v>
      </c>
    </row>
    <row r="375" spans="1:8" x14ac:dyDescent="0.25">
      <c r="A375" s="11">
        <v>2002</v>
      </c>
      <c r="B375" s="11" t="s">
        <v>232</v>
      </c>
      <c r="C375" s="18">
        <v>36.5</v>
      </c>
      <c r="D375" s="18">
        <v>81.5</v>
      </c>
      <c r="E375" s="18">
        <v>91.8</v>
      </c>
      <c r="F375" s="18">
        <v>66.7</v>
      </c>
      <c r="G375" s="18">
        <v>33.200000000000003</v>
      </c>
      <c r="H375" s="18">
        <v>5.3</v>
      </c>
    </row>
    <row r="376" spans="1:8" x14ac:dyDescent="0.25">
      <c r="A376" s="11">
        <v>2002</v>
      </c>
      <c r="B376" s="11" t="s">
        <v>233</v>
      </c>
      <c r="C376" s="18">
        <v>28.9</v>
      </c>
      <c r="D376" s="18">
        <v>89.3</v>
      </c>
      <c r="E376" s="18">
        <v>96.7</v>
      </c>
      <c r="F376" s="18">
        <v>84.4</v>
      </c>
      <c r="G376" s="18">
        <v>32.700000000000003</v>
      </c>
      <c r="H376" s="18">
        <v>4.4000000000000004</v>
      </c>
    </row>
    <row r="377" spans="1:8" x14ac:dyDescent="0.25">
      <c r="A377" s="11">
        <v>2002</v>
      </c>
      <c r="B377" s="11" t="s">
        <v>234</v>
      </c>
      <c r="C377" s="18">
        <v>38.1</v>
      </c>
      <c r="D377" s="18">
        <v>54.3</v>
      </c>
      <c r="E377" s="18">
        <v>80.5</v>
      </c>
      <c r="F377" s="18">
        <v>67.099999999999994</v>
      </c>
      <c r="G377" s="18">
        <v>30.8</v>
      </c>
      <c r="H377" s="18">
        <v>5.7</v>
      </c>
    </row>
    <row r="378" spans="1:8" x14ac:dyDescent="0.25">
      <c r="A378" s="11">
        <v>2002</v>
      </c>
      <c r="B378" s="11" t="s">
        <v>235</v>
      </c>
      <c r="C378" s="18">
        <v>30.1</v>
      </c>
      <c r="D378" s="18">
        <v>70</v>
      </c>
      <c r="E378" s="18">
        <v>94.7</v>
      </c>
      <c r="F378" s="18">
        <v>73.900000000000006</v>
      </c>
      <c r="G378" s="18">
        <v>29.9</v>
      </c>
      <c r="H378" s="18">
        <v>4.0999999999999996</v>
      </c>
    </row>
    <row r="379" spans="1:8" x14ac:dyDescent="0.25">
      <c r="A379" s="11">
        <v>2002</v>
      </c>
      <c r="B379" s="11" t="s">
        <v>236</v>
      </c>
      <c r="C379" s="18">
        <v>11</v>
      </c>
      <c r="D379" s="18">
        <v>30.3</v>
      </c>
      <c r="E379" s="18">
        <v>72.099999999999994</v>
      </c>
      <c r="F379" s="18">
        <v>112.6</v>
      </c>
      <c r="G379" s="18">
        <v>52.3</v>
      </c>
      <c r="H379" s="18">
        <v>7.5</v>
      </c>
    </row>
    <row r="380" spans="1:8" x14ac:dyDescent="0.25">
      <c r="A380" s="11">
        <v>2002</v>
      </c>
      <c r="B380" s="11" t="s">
        <v>237</v>
      </c>
      <c r="C380" s="18">
        <v>23.5</v>
      </c>
      <c r="D380" s="18">
        <v>72.099999999999994</v>
      </c>
      <c r="E380" s="18">
        <v>90.8</v>
      </c>
      <c r="F380" s="18">
        <v>89.6</v>
      </c>
      <c r="G380" s="18">
        <v>41.5</v>
      </c>
      <c r="H380" s="18">
        <v>8.6</v>
      </c>
    </row>
    <row r="381" spans="1:8" x14ac:dyDescent="0.25">
      <c r="A381" s="11">
        <v>2002</v>
      </c>
      <c r="B381" s="11" t="s">
        <v>238</v>
      </c>
      <c r="C381" s="18">
        <v>10.6</v>
      </c>
      <c r="D381" s="18">
        <v>29.8</v>
      </c>
      <c r="E381" s="18">
        <v>91.5</v>
      </c>
      <c r="F381" s="18">
        <v>129.5</v>
      </c>
      <c r="G381" s="18">
        <v>55.4</v>
      </c>
      <c r="H381" s="18">
        <v>8.8000000000000007</v>
      </c>
    </row>
    <row r="382" spans="1:8" x14ac:dyDescent="0.25">
      <c r="A382" s="11">
        <v>2002</v>
      </c>
      <c r="B382" s="11" t="s">
        <v>239</v>
      </c>
      <c r="C382" s="18">
        <v>29.9</v>
      </c>
      <c r="D382" s="18">
        <v>61.9</v>
      </c>
      <c r="E382" s="18">
        <v>93.1</v>
      </c>
      <c r="F382" s="18">
        <v>81.099999999999994</v>
      </c>
      <c r="G382" s="18">
        <v>29.9</v>
      </c>
      <c r="H382" s="18">
        <v>6.6</v>
      </c>
    </row>
    <row r="383" spans="1:8" x14ac:dyDescent="0.25">
      <c r="A383" s="11">
        <v>2002</v>
      </c>
      <c r="B383" s="11" t="s">
        <v>240</v>
      </c>
      <c r="C383" s="18">
        <v>29.4</v>
      </c>
      <c r="D383" s="18">
        <v>65.5</v>
      </c>
      <c r="E383" s="18">
        <v>92.7</v>
      </c>
      <c r="F383" s="18">
        <v>78.3</v>
      </c>
      <c r="G383" s="18">
        <v>34.799999999999997</v>
      </c>
      <c r="H383" s="18">
        <v>6.2</v>
      </c>
    </row>
    <row r="384" spans="1:8" x14ac:dyDescent="0.25">
      <c r="A384" s="11">
        <v>2002</v>
      </c>
      <c r="B384" s="11" t="s">
        <v>241</v>
      </c>
      <c r="C384" s="18">
        <v>30.3</v>
      </c>
      <c r="D384" s="18">
        <v>54.5</v>
      </c>
      <c r="E384" s="18">
        <v>67.3</v>
      </c>
      <c r="F384" s="18">
        <v>72.2</v>
      </c>
      <c r="G384" s="18">
        <v>36.9</v>
      </c>
      <c r="H384" s="18">
        <v>8.1999999999999993</v>
      </c>
    </row>
    <row r="385" spans="1:8" x14ac:dyDescent="0.25">
      <c r="A385" s="11">
        <v>2002</v>
      </c>
      <c r="B385" s="11" t="s">
        <v>242</v>
      </c>
      <c r="C385" s="18">
        <v>29.3</v>
      </c>
      <c r="D385" s="18">
        <v>78.2</v>
      </c>
      <c r="E385" s="18">
        <v>94.2</v>
      </c>
      <c r="F385" s="18">
        <v>76.2</v>
      </c>
      <c r="G385" s="18">
        <v>40</v>
      </c>
      <c r="H385" s="18">
        <v>7.6</v>
      </c>
    </row>
    <row r="386" spans="1:8" x14ac:dyDescent="0.25">
      <c r="A386" s="11">
        <v>2002</v>
      </c>
      <c r="B386" s="11" t="s">
        <v>243</v>
      </c>
      <c r="C386" s="18">
        <v>32.700000000000003</v>
      </c>
      <c r="D386" s="18">
        <v>58.3</v>
      </c>
      <c r="E386" s="18">
        <v>88.2</v>
      </c>
      <c r="F386" s="18">
        <v>77.599999999999994</v>
      </c>
      <c r="G386" s="18">
        <v>31.1</v>
      </c>
      <c r="H386" s="18">
        <v>3.8</v>
      </c>
    </row>
    <row r="387" spans="1:8" x14ac:dyDescent="0.25">
      <c r="A387" s="11">
        <v>2002</v>
      </c>
      <c r="B387" s="11" t="s">
        <v>244</v>
      </c>
      <c r="C387" s="18">
        <v>31.7</v>
      </c>
      <c r="D387" s="18">
        <v>70.400000000000006</v>
      </c>
      <c r="E387" s="18">
        <v>98</v>
      </c>
      <c r="F387" s="18">
        <v>90.9</v>
      </c>
      <c r="G387" s="18">
        <v>35.299999999999997</v>
      </c>
      <c r="H387" s="18">
        <v>6</v>
      </c>
    </row>
    <row r="388" spans="1:8" x14ac:dyDescent="0.25">
      <c r="A388" s="11">
        <v>2002</v>
      </c>
      <c r="B388" s="11" t="s">
        <v>245</v>
      </c>
      <c r="C388" s="18">
        <v>25</v>
      </c>
      <c r="D388" s="18">
        <v>81.3</v>
      </c>
      <c r="E388" s="18">
        <v>112.5</v>
      </c>
      <c r="F388" s="18">
        <v>80.7</v>
      </c>
      <c r="G388" s="18">
        <v>30.6</v>
      </c>
      <c r="H388" s="18">
        <v>5.0999999999999996</v>
      </c>
    </row>
    <row r="389" spans="1:8" x14ac:dyDescent="0.25">
      <c r="A389" s="11">
        <v>2002</v>
      </c>
      <c r="B389" s="11" t="s">
        <v>246</v>
      </c>
      <c r="C389" s="18">
        <v>17.3</v>
      </c>
      <c r="D389" s="18">
        <v>66.5</v>
      </c>
      <c r="E389" s="18">
        <v>97.7</v>
      </c>
      <c r="F389" s="18">
        <v>116.8</v>
      </c>
      <c r="G389" s="18">
        <v>33.700000000000003</v>
      </c>
      <c r="H389" s="18">
        <v>5.6</v>
      </c>
    </row>
    <row r="390" spans="1:8" x14ac:dyDescent="0.25">
      <c r="A390" s="11">
        <v>2002</v>
      </c>
      <c r="B390" s="11" t="s">
        <v>247</v>
      </c>
      <c r="C390" s="18">
        <v>37.1</v>
      </c>
      <c r="D390" s="18">
        <v>84.6</v>
      </c>
      <c r="E390" s="18">
        <v>93.6</v>
      </c>
      <c r="F390" s="18">
        <v>70</v>
      </c>
      <c r="G390" s="18">
        <v>31.1</v>
      </c>
      <c r="H390" s="18">
        <v>4.9000000000000004</v>
      </c>
    </row>
    <row r="391" spans="1:8" x14ac:dyDescent="0.25">
      <c r="A391" s="11">
        <v>2002</v>
      </c>
      <c r="B391" s="11" t="s">
        <v>248</v>
      </c>
      <c r="C391" s="18">
        <v>29.8</v>
      </c>
      <c r="D391" s="18">
        <v>73</v>
      </c>
      <c r="E391" s="18">
        <v>95.4</v>
      </c>
      <c r="F391" s="18">
        <v>87.1</v>
      </c>
      <c r="G391" s="18">
        <v>30.6</v>
      </c>
      <c r="H391" s="18">
        <v>4.2</v>
      </c>
    </row>
    <row r="392" spans="1:8" x14ac:dyDescent="0.25">
      <c r="A392" s="11">
        <v>2002</v>
      </c>
      <c r="B392" s="11" t="s">
        <v>249</v>
      </c>
      <c r="C392" s="18">
        <v>20.8</v>
      </c>
      <c r="D392" s="18">
        <v>92.8</v>
      </c>
      <c r="E392" s="18">
        <v>90.7</v>
      </c>
      <c r="F392" s="18">
        <v>79.599999999999994</v>
      </c>
      <c r="G392" s="18">
        <v>28</v>
      </c>
      <c r="H392" s="18">
        <v>7.1</v>
      </c>
    </row>
    <row r="393" spans="1:8" x14ac:dyDescent="0.25">
      <c r="A393" s="11">
        <v>2002</v>
      </c>
      <c r="B393" s="11" t="s">
        <v>250</v>
      </c>
      <c r="C393" s="18">
        <v>20.2</v>
      </c>
      <c r="D393" s="18">
        <v>61.8</v>
      </c>
      <c r="E393" s="18">
        <v>97.2</v>
      </c>
      <c r="F393" s="18">
        <v>91.5</v>
      </c>
      <c r="G393" s="18">
        <v>40.5</v>
      </c>
      <c r="H393" s="18">
        <v>7.1</v>
      </c>
    </row>
    <row r="394" spans="1:8" x14ac:dyDescent="0.25">
      <c r="A394" s="11">
        <v>2002</v>
      </c>
      <c r="B394" s="11" t="s">
        <v>251</v>
      </c>
      <c r="C394" s="18">
        <v>29.4</v>
      </c>
      <c r="D394" s="18">
        <v>60</v>
      </c>
      <c r="E394" s="18">
        <v>84.2</v>
      </c>
      <c r="F394" s="18">
        <v>90.6</v>
      </c>
      <c r="G394" s="18">
        <v>36.299999999999997</v>
      </c>
      <c r="H394" s="18">
        <v>6.6</v>
      </c>
    </row>
    <row r="395" spans="1:8" x14ac:dyDescent="0.25">
      <c r="A395" s="11">
        <v>2002</v>
      </c>
      <c r="B395" s="11" t="s">
        <v>252</v>
      </c>
      <c r="C395" s="18">
        <v>19.2</v>
      </c>
      <c r="D395" s="18">
        <v>67.3</v>
      </c>
      <c r="E395" s="18">
        <v>94.6</v>
      </c>
      <c r="F395" s="18">
        <v>96.6</v>
      </c>
      <c r="G395" s="18">
        <v>42.6</v>
      </c>
      <c r="H395" s="18">
        <v>9.1</v>
      </c>
    </row>
    <row r="396" spans="1:8" x14ac:dyDescent="0.25">
      <c r="A396" s="11">
        <v>2002</v>
      </c>
      <c r="B396" s="11" t="s">
        <v>253</v>
      </c>
      <c r="C396" s="18">
        <v>17.7</v>
      </c>
      <c r="D396" s="18">
        <v>79.5</v>
      </c>
      <c r="E396" s="18">
        <v>88.2</v>
      </c>
      <c r="F396" s="18">
        <v>73.099999999999994</v>
      </c>
      <c r="G396" s="18">
        <v>39.799999999999997</v>
      </c>
      <c r="H396" s="18">
        <v>12.5</v>
      </c>
    </row>
    <row r="397" spans="1:8" x14ac:dyDescent="0.25">
      <c r="A397" s="11">
        <v>2002</v>
      </c>
      <c r="B397" s="11" t="s">
        <v>254</v>
      </c>
      <c r="C397" s="18">
        <v>26.7</v>
      </c>
      <c r="D397" s="18">
        <v>62.1</v>
      </c>
      <c r="E397" s="18">
        <v>84.6</v>
      </c>
      <c r="F397" s="18">
        <v>82.6</v>
      </c>
      <c r="G397" s="18">
        <v>32.9</v>
      </c>
      <c r="H397" s="18">
        <v>5.4</v>
      </c>
    </row>
    <row r="398" spans="1:8" x14ac:dyDescent="0.25">
      <c r="A398" s="11">
        <v>2002</v>
      </c>
      <c r="B398" s="11" t="s">
        <v>255</v>
      </c>
      <c r="C398" s="18">
        <v>23.6</v>
      </c>
      <c r="D398" s="18">
        <v>62.8</v>
      </c>
      <c r="E398" s="18">
        <v>89.8</v>
      </c>
      <c r="F398" s="18">
        <v>88.4</v>
      </c>
      <c r="G398" s="18">
        <v>33.4</v>
      </c>
      <c r="H398" s="18">
        <v>5.6</v>
      </c>
    </row>
    <row r="399" spans="1:8" x14ac:dyDescent="0.25">
      <c r="A399" s="11">
        <v>2002</v>
      </c>
      <c r="B399" s="11" t="s">
        <v>256</v>
      </c>
      <c r="C399" s="18">
        <v>19.2</v>
      </c>
      <c r="D399" s="18">
        <v>37.799999999999997</v>
      </c>
      <c r="E399" s="18">
        <v>79.099999999999994</v>
      </c>
      <c r="F399" s="18">
        <v>88.6</v>
      </c>
      <c r="G399" s="18">
        <v>46.1</v>
      </c>
      <c r="H399" s="18">
        <v>7.7</v>
      </c>
    </row>
    <row r="400" spans="1:8" x14ac:dyDescent="0.25">
      <c r="A400" s="11">
        <v>2002</v>
      </c>
      <c r="B400" s="11" t="s">
        <v>257</v>
      </c>
      <c r="C400" s="18">
        <v>37.5</v>
      </c>
      <c r="D400" s="18">
        <v>73</v>
      </c>
      <c r="E400" s="18">
        <v>78.8</v>
      </c>
      <c r="F400" s="18">
        <v>71.5</v>
      </c>
      <c r="G400" s="18">
        <v>29.5</v>
      </c>
      <c r="H400" s="18">
        <v>6.8</v>
      </c>
    </row>
    <row r="401" spans="1:8" x14ac:dyDescent="0.25">
      <c r="A401" s="11">
        <v>2002</v>
      </c>
      <c r="B401" s="11" t="s">
        <v>258</v>
      </c>
      <c r="C401" s="18">
        <v>33.6</v>
      </c>
      <c r="D401" s="18">
        <v>80.400000000000006</v>
      </c>
      <c r="E401" s="18">
        <v>95.3</v>
      </c>
      <c r="F401" s="18">
        <v>88.3</v>
      </c>
      <c r="G401" s="18">
        <v>34.700000000000003</v>
      </c>
      <c r="H401" s="18">
        <v>4.9000000000000004</v>
      </c>
    </row>
    <row r="402" spans="1:8" x14ac:dyDescent="0.25">
      <c r="A402" s="11">
        <v>2003</v>
      </c>
      <c r="B402" s="11" t="s">
        <v>11</v>
      </c>
      <c r="C402" s="18">
        <v>26.3</v>
      </c>
      <c r="D402" s="18">
        <v>58.6</v>
      </c>
      <c r="E402" s="18">
        <v>85.3</v>
      </c>
      <c r="F402" s="18">
        <v>86.5</v>
      </c>
      <c r="G402" s="18">
        <v>40.1</v>
      </c>
      <c r="H402" s="18">
        <v>7.3</v>
      </c>
    </row>
    <row r="403" spans="1:8" x14ac:dyDescent="0.25">
      <c r="A403" s="11">
        <v>2003</v>
      </c>
      <c r="B403" s="11" t="s">
        <v>227</v>
      </c>
      <c r="C403" s="18">
        <v>25.6</v>
      </c>
      <c r="D403" s="18">
        <v>36</v>
      </c>
      <c r="E403" s="18">
        <v>66.3</v>
      </c>
      <c r="F403" s="18">
        <v>81.8</v>
      </c>
      <c r="G403" s="18">
        <v>36</v>
      </c>
      <c r="H403" s="18">
        <v>5.9</v>
      </c>
    </row>
    <row r="404" spans="1:8" x14ac:dyDescent="0.25">
      <c r="A404" s="11">
        <v>2003</v>
      </c>
      <c r="B404" s="11" t="s">
        <v>228</v>
      </c>
      <c r="C404" s="18">
        <v>15.6</v>
      </c>
      <c r="D404" s="18">
        <v>67.2</v>
      </c>
      <c r="E404" s="18">
        <v>116.4</v>
      </c>
      <c r="F404" s="18">
        <v>101.4</v>
      </c>
      <c r="G404" s="18">
        <v>35.9</v>
      </c>
      <c r="H404" s="18">
        <v>6.9</v>
      </c>
    </row>
    <row r="405" spans="1:8" x14ac:dyDescent="0.25">
      <c r="A405" s="11">
        <v>2003</v>
      </c>
      <c r="B405" s="11" t="s">
        <v>229</v>
      </c>
      <c r="C405" s="18">
        <v>26.8</v>
      </c>
      <c r="D405" s="18">
        <v>82.2</v>
      </c>
      <c r="E405" s="18">
        <v>107.1</v>
      </c>
      <c r="F405" s="18">
        <v>96.2</v>
      </c>
      <c r="G405" s="18">
        <v>33.200000000000003</v>
      </c>
      <c r="H405" s="18">
        <v>7.7</v>
      </c>
    </row>
    <row r="406" spans="1:8" x14ac:dyDescent="0.25">
      <c r="A406" s="11">
        <v>2003</v>
      </c>
      <c r="B406" s="11" t="s">
        <v>230</v>
      </c>
      <c r="C406" s="18">
        <v>20</v>
      </c>
      <c r="D406" s="18">
        <v>67.900000000000006</v>
      </c>
      <c r="E406" s="18">
        <v>95</v>
      </c>
      <c r="F406" s="18">
        <v>84</v>
      </c>
      <c r="G406" s="18">
        <v>38.200000000000003</v>
      </c>
      <c r="H406" s="18">
        <v>6.8</v>
      </c>
    </row>
    <row r="407" spans="1:8" x14ac:dyDescent="0.25">
      <c r="A407" s="11">
        <v>2003</v>
      </c>
      <c r="B407" s="11" t="s">
        <v>231</v>
      </c>
      <c r="C407" s="18">
        <v>21.8</v>
      </c>
      <c r="D407" s="18">
        <v>29.4</v>
      </c>
      <c r="E407" s="18">
        <v>49.1</v>
      </c>
      <c r="F407" s="18">
        <v>85.8</v>
      </c>
      <c r="G407" s="18">
        <v>53</v>
      </c>
      <c r="H407" s="18">
        <v>11</v>
      </c>
    </row>
    <row r="408" spans="1:8" x14ac:dyDescent="0.25">
      <c r="A408" s="11">
        <v>2003</v>
      </c>
      <c r="B408" s="11" t="s">
        <v>232</v>
      </c>
      <c r="C408" s="18">
        <v>36</v>
      </c>
      <c r="D408" s="18">
        <v>78.5</v>
      </c>
      <c r="E408" s="18">
        <v>84.9</v>
      </c>
      <c r="F408" s="18">
        <v>74.7</v>
      </c>
      <c r="G408" s="18">
        <v>33.9</v>
      </c>
      <c r="H408" s="18">
        <v>2.1</v>
      </c>
    </row>
    <row r="409" spans="1:8" x14ac:dyDescent="0.25">
      <c r="A409" s="11">
        <v>2003</v>
      </c>
      <c r="B409" s="11" t="s">
        <v>233</v>
      </c>
      <c r="C409" s="18">
        <v>26.6</v>
      </c>
      <c r="D409" s="18">
        <v>90.8</v>
      </c>
      <c r="E409" s="18">
        <v>99.2</v>
      </c>
      <c r="F409" s="18">
        <v>80.7</v>
      </c>
      <c r="G409" s="18">
        <v>32.799999999999997</v>
      </c>
      <c r="H409" s="18">
        <v>4.5</v>
      </c>
    </row>
    <row r="410" spans="1:8" x14ac:dyDescent="0.25">
      <c r="A410" s="11">
        <v>2003</v>
      </c>
      <c r="B410" s="11" t="s">
        <v>234</v>
      </c>
      <c r="C410" s="18">
        <v>35.700000000000003</v>
      </c>
      <c r="D410" s="18">
        <v>56.6</v>
      </c>
      <c r="E410" s="18">
        <v>96.1</v>
      </c>
      <c r="F410" s="18">
        <v>73.7</v>
      </c>
      <c r="G410" s="18">
        <v>33.299999999999997</v>
      </c>
      <c r="H410" s="18">
        <v>4.9000000000000004</v>
      </c>
    </row>
    <row r="411" spans="1:8" x14ac:dyDescent="0.25">
      <c r="A411" s="11">
        <v>2003</v>
      </c>
      <c r="B411" s="11" t="s">
        <v>235</v>
      </c>
      <c r="C411" s="18">
        <v>32.9</v>
      </c>
      <c r="D411" s="18">
        <v>80.900000000000006</v>
      </c>
      <c r="E411" s="18">
        <v>97.9</v>
      </c>
      <c r="F411" s="18">
        <v>80.099999999999994</v>
      </c>
      <c r="G411" s="18">
        <v>33.200000000000003</v>
      </c>
      <c r="H411" s="18">
        <v>5.0999999999999996</v>
      </c>
    </row>
    <row r="412" spans="1:8" x14ac:dyDescent="0.25">
      <c r="A412" s="11">
        <v>2003</v>
      </c>
      <c r="B412" s="11" t="s">
        <v>236</v>
      </c>
      <c r="C412" s="18">
        <v>12.3</v>
      </c>
      <c r="D412" s="18">
        <v>29.7</v>
      </c>
      <c r="E412" s="18">
        <v>83.4</v>
      </c>
      <c r="F412" s="18">
        <v>112.4</v>
      </c>
      <c r="G412" s="18">
        <v>53.1</v>
      </c>
      <c r="H412" s="18">
        <v>8.9</v>
      </c>
    </row>
    <row r="413" spans="1:8" x14ac:dyDescent="0.25">
      <c r="A413" s="11">
        <v>2003</v>
      </c>
      <c r="B413" s="11" t="s">
        <v>237</v>
      </c>
      <c r="C413" s="18">
        <v>20.399999999999999</v>
      </c>
      <c r="D413" s="18">
        <v>63.7</v>
      </c>
      <c r="E413" s="18">
        <v>105.8</v>
      </c>
      <c r="F413" s="18">
        <v>97.2</v>
      </c>
      <c r="G413" s="18">
        <v>46</v>
      </c>
      <c r="H413" s="18">
        <v>9.8000000000000007</v>
      </c>
    </row>
    <row r="414" spans="1:8" x14ac:dyDescent="0.25">
      <c r="A414" s="11">
        <v>2003</v>
      </c>
      <c r="B414" s="11" t="s">
        <v>238</v>
      </c>
      <c r="C414" s="18">
        <v>10.5</v>
      </c>
      <c r="D414" s="18">
        <v>36.200000000000003</v>
      </c>
      <c r="E414" s="18">
        <v>83.9</v>
      </c>
      <c r="F414" s="18">
        <v>126.4</v>
      </c>
      <c r="G414" s="18">
        <v>56.7</v>
      </c>
      <c r="H414" s="18">
        <v>9.6999999999999993</v>
      </c>
    </row>
    <row r="415" spans="1:8" x14ac:dyDescent="0.25">
      <c r="A415" s="11">
        <v>2003</v>
      </c>
      <c r="B415" s="11" t="s">
        <v>239</v>
      </c>
      <c r="C415" s="18">
        <v>28</v>
      </c>
      <c r="D415" s="18">
        <v>66.900000000000006</v>
      </c>
      <c r="E415" s="18">
        <v>98.2</v>
      </c>
      <c r="F415" s="18">
        <v>84.2</v>
      </c>
      <c r="G415" s="18">
        <v>37.9</v>
      </c>
      <c r="H415" s="18">
        <v>5.4</v>
      </c>
    </row>
    <row r="416" spans="1:8" x14ac:dyDescent="0.25">
      <c r="A416" s="11">
        <v>2003</v>
      </c>
      <c r="B416" s="11" t="s">
        <v>240</v>
      </c>
      <c r="C416" s="18">
        <v>29</v>
      </c>
      <c r="D416" s="18">
        <v>67</v>
      </c>
      <c r="E416" s="18">
        <v>98.1</v>
      </c>
      <c r="F416" s="18">
        <v>85.1</v>
      </c>
      <c r="G416" s="18">
        <v>34.799999999999997</v>
      </c>
      <c r="H416" s="18">
        <v>5.4</v>
      </c>
    </row>
    <row r="417" spans="1:8" x14ac:dyDescent="0.25">
      <c r="A417" s="11">
        <v>2003</v>
      </c>
      <c r="B417" s="11" t="s">
        <v>241</v>
      </c>
      <c r="C417" s="18">
        <v>30.9</v>
      </c>
      <c r="D417" s="18">
        <v>54.8</v>
      </c>
      <c r="E417" s="18">
        <v>72.5</v>
      </c>
      <c r="F417" s="18">
        <v>72.2</v>
      </c>
      <c r="G417" s="18">
        <v>43.3</v>
      </c>
      <c r="H417" s="18">
        <v>8.1999999999999993</v>
      </c>
    </row>
    <row r="418" spans="1:8" x14ac:dyDescent="0.25">
      <c r="A418" s="11">
        <v>2003</v>
      </c>
      <c r="B418" s="11" t="s">
        <v>242</v>
      </c>
      <c r="C418" s="18">
        <v>26.2</v>
      </c>
      <c r="D418" s="18">
        <v>85.8</v>
      </c>
      <c r="E418" s="18">
        <v>96.9</v>
      </c>
      <c r="F418" s="18">
        <v>84.4</v>
      </c>
      <c r="G418" s="18">
        <v>42.8</v>
      </c>
      <c r="H418" s="18">
        <v>8.6999999999999993</v>
      </c>
    </row>
    <row r="419" spans="1:8" x14ac:dyDescent="0.25">
      <c r="A419" s="11">
        <v>2003</v>
      </c>
      <c r="B419" s="11" t="s">
        <v>243</v>
      </c>
      <c r="C419" s="18">
        <v>37.9</v>
      </c>
      <c r="D419" s="18">
        <v>78.3</v>
      </c>
      <c r="E419" s="18">
        <v>79.099999999999994</v>
      </c>
      <c r="F419" s="18">
        <v>76.5</v>
      </c>
      <c r="G419" s="18">
        <v>34.5</v>
      </c>
      <c r="H419" s="18">
        <v>5.4</v>
      </c>
    </row>
    <row r="420" spans="1:8" x14ac:dyDescent="0.25">
      <c r="A420" s="11">
        <v>2003</v>
      </c>
      <c r="B420" s="11" t="s">
        <v>244</v>
      </c>
      <c r="C420" s="18">
        <v>28.4</v>
      </c>
      <c r="D420" s="18">
        <v>75.7</v>
      </c>
      <c r="E420" s="18">
        <v>99.7</v>
      </c>
      <c r="F420" s="18">
        <v>90</v>
      </c>
      <c r="G420" s="18">
        <v>34.200000000000003</v>
      </c>
      <c r="H420" s="18">
        <v>8.8000000000000007</v>
      </c>
    </row>
    <row r="421" spans="1:8" x14ac:dyDescent="0.25">
      <c r="A421" s="11">
        <v>2003</v>
      </c>
      <c r="B421" s="11" t="s">
        <v>245</v>
      </c>
      <c r="C421" s="18">
        <v>25.8</v>
      </c>
      <c r="D421" s="18">
        <v>75.7</v>
      </c>
      <c r="E421" s="18">
        <v>100.3</v>
      </c>
      <c r="F421" s="18">
        <v>73.2</v>
      </c>
      <c r="G421" s="18">
        <v>30</v>
      </c>
      <c r="H421" s="18">
        <v>9.6999999999999993</v>
      </c>
    </row>
    <row r="422" spans="1:8" x14ac:dyDescent="0.25">
      <c r="A422" s="11">
        <v>2003</v>
      </c>
      <c r="B422" s="11" t="s">
        <v>246</v>
      </c>
      <c r="C422" s="18">
        <v>12</v>
      </c>
      <c r="D422" s="18">
        <v>66.5</v>
      </c>
      <c r="E422" s="18">
        <v>101.4</v>
      </c>
      <c r="F422" s="18">
        <v>90.1</v>
      </c>
      <c r="G422" s="18">
        <v>72.900000000000006</v>
      </c>
      <c r="H422" s="18">
        <v>13</v>
      </c>
    </row>
    <row r="423" spans="1:8" x14ac:dyDescent="0.25">
      <c r="A423" s="11">
        <v>2003</v>
      </c>
      <c r="B423" s="11" t="s">
        <v>247</v>
      </c>
      <c r="C423" s="18">
        <v>27.4</v>
      </c>
      <c r="D423" s="18">
        <v>89.1</v>
      </c>
      <c r="E423" s="18">
        <v>101.8</v>
      </c>
      <c r="F423" s="18">
        <v>74.599999999999994</v>
      </c>
      <c r="G423" s="18">
        <v>30.3</v>
      </c>
      <c r="H423" s="18">
        <v>4.5999999999999996</v>
      </c>
    </row>
    <row r="424" spans="1:8" x14ac:dyDescent="0.25">
      <c r="A424" s="11">
        <v>2003</v>
      </c>
      <c r="B424" s="11" t="s">
        <v>248</v>
      </c>
      <c r="C424" s="18">
        <v>31.9</v>
      </c>
      <c r="D424" s="18">
        <v>73.900000000000006</v>
      </c>
      <c r="E424" s="18">
        <v>94.8</v>
      </c>
      <c r="F424" s="18">
        <v>89.2</v>
      </c>
      <c r="G424" s="18">
        <v>34.6</v>
      </c>
      <c r="H424" s="18">
        <v>6.8</v>
      </c>
    </row>
    <row r="425" spans="1:8" x14ac:dyDescent="0.25">
      <c r="A425" s="11">
        <v>2003</v>
      </c>
      <c r="B425" s="11" t="s">
        <v>249</v>
      </c>
      <c r="C425" s="18">
        <v>20.9</v>
      </c>
      <c r="D425" s="18">
        <v>68.099999999999994</v>
      </c>
      <c r="E425" s="18">
        <v>109.9</v>
      </c>
      <c r="F425" s="18">
        <v>81.2</v>
      </c>
      <c r="G425" s="18">
        <v>35.6</v>
      </c>
      <c r="H425" s="18">
        <v>8.1999999999999993</v>
      </c>
    </row>
    <row r="426" spans="1:8" x14ac:dyDescent="0.25">
      <c r="A426" s="11">
        <v>2003</v>
      </c>
      <c r="B426" s="11" t="s">
        <v>250</v>
      </c>
      <c r="C426" s="18">
        <v>18.600000000000001</v>
      </c>
      <c r="D426" s="18">
        <v>78.599999999999994</v>
      </c>
      <c r="E426" s="18">
        <v>92.2</v>
      </c>
      <c r="F426" s="18">
        <v>95.9</v>
      </c>
      <c r="G426" s="18">
        <v>43.3</v>
      </c>
      <c r="H426" s="18">
        <v>8.6999999999999993</v>
      </c>
    </row>
    <row r="427" spans="1:8" x14ac:dyDescent="0.25">
      <c r="A427" s="11">
        <v>2003</v>
      </c>
      <c r="B427" s="11" t="s">
        <v>251</v>
      </c>
      <c r="C427" s="18">
        <v>28.2</v>
      </c>
      <c r="D427" s="18">
        <v>58.3</v>
      </c>
      <c r="E427" s="18">
        <v>83.8</v>
      </c>
      <c r="F427" s="18">
        <v>91.9</v>
      </c>
      <c r="G427" s="18">
        <v>41.3</v>
      </c>
      <c r="H427" s="18">
        <v>5.7</v>
      </c>
    </row>
    <row r="428" spans="1:8" x14ac:dyDescent="0.25">
      <c r="A428" s="11">
        <v>2003</v>
      </c>
      <c r="B428" s="11" t="s">
        <v>252</v>
      </c>
      <c r="C428" s="18">
        <v>24.1</v>
      </c>
      <c r="D428" s="18">
        <v>68.7</v>
      </c>
      <c r="E428" s="18">
        <v>97.8</v>
      </c>
      <c r="F428" s="18">
        <v>90.7</v>
      </c>
      <c r="G428" s="18">
        <v>53.3</v>
      </c>
      <c r="H428" s="18">
        <v>8.8000000000000007</v>
      </c>
    </row>
    <row r="429" spans="1:8" x14ac:dyDescent="0.25">
      <c r="A429" s="11">
        <v>2003</v>
      </c>
      <c r="B429" s="11" t="s">
        <v>253</v>
      </c>
      <c r="C429" s="18">
        <v>16</v>
      </c>
      <c r="D429" s="18">
        <v>80</v>
      </c>
      <c r="E429" s="18">
        <v>107.2</v>
      </c>
      <c r="F429" s="18">
        <v>100.5</v>
      </c>
      <c r="G429" s="18">
        <v>53.6</v>
      </c>
      <c r="H429" s="18">
        <v>14.9</v>
      </c>
    </row>
    <row r="430" spans="1:8" x14ac:dyDescent="0.25">
      <c r="A430" s="11">
        <v>2003</v>
      </c>
      <c r="B430" s="11" t="s">
        <v>254</v>
      </c>
      <c r="C430" s="18">
        <v>26.6</v>
      </c>
      <c r="D430" s="18">
        <v>57.2</v>
      </c>
      <c r="E430" s="18">
        <v>99.7</v>
      </c>
      <c r="F430" s="18">
        <v>83.3</v>
      </c>
      <c r="G430" s="18">
        <v>37.299999999999997</v>
      </c>
      <c r="H430" s="18">
        <v>4.8</v>
      </c>
    </row>
    <row r="431" spans="1:8" x14ac:dyDescent="0.25">
      <c r="A431" s="11">
        <v>2003</v>
      </c>
      <c r="B431" s="11" t="s">
        <v>255</v>
      </c>
      <c r="C431" s="18">
        <v>23.7</v>
      </c>
      <c r="D431" s="18">
        <v>55.7</v>
      </c>
      <c r="E431" s="18">
        <v>86.6</v>
      </c>
      <c r="F431" s="18">
        <v>94.5</v>
      </c>
      <c r="G431" s="18">
        <v>38.1</v>
      </c>
      <c r="H431" s="18">
        <v>6.4</v>
      </c>
    </row>
    <row r="432" spans="1:8" x14ac:dyDescent="0.25">
      <c r="A432" s="11">
        <v>2003</v>
      </c>
      <c r="B432" s="11" t="s">
        <v>256</v>
      </c>
      <c r="C432" s="18">
        <v>13.1</v>
      </c>
      <c r="D432" s="18">
        <v>40.299999999999997</v>
      </c>
      <c r="E432" s="18">
        <v>81.3</v>
      </c>
      <c r="F432" s="18">
        <v>105</v>
      </c>
      <c r="G432" s="18">
        <v>45</v>
      </c>
      <c r="H432" s="18">
        <v>8.4</v>
      </c>
    </row>
    <row r="433" spans="1:8" x14ac:dyDescent="0.25">
      <c r="A433" s="11">
        <v>2003</v>
      </c>
      <c r="B433" s="11" t="s">
        <v>257</v>
      </c>
      <c r="C433" s="18">
        <v>30.6</v>
      </c>
      <c r="D433" s="18">
        <v>69</v>
      </c>
      <c r="E433" s="18">
        <v>90</v>
      </c>
      <c r="F433" s="18">
        <v>79.900000000000006</v>
      </c>
      <c r="G433" s="18">
        <v>38.700000000000003</v>
      </c>
      <c r="H433" s="18">
        <v>6.4</v>
      </c>
    </row>
    <row r="434" spans="1:8" x14ac:dyDescent="0.25">
      <c r="A434" s="11">
        <v>2003</v>
      </c>
      <c r="B434" s="11" t="s">
        <v>258</v>
      </c>
      <c r="C434" s="18">
        <v>35.200000000000003</v>
      </c>
      <c r="D434" s="18">
        <v>80.7</v>
      </c>
      <c r="E434" s="18">
        <v>107</v>
      </c>
      <c r="F434" s="18">
        <v>94.6</v>
      </c>
      <c r="G434" s="18">
        <v>33.4</v>
      </c>
      <c r="H434" s="18">
        <v>7.6</v>
      </c>
    </row>
    <row r="435" spans="1:8" x14ac:dyDescent="0.25">
      <c r="A435" s="11">
        <v>2004</v>
      </c>
      <c r="B435" s="11" t="s">
        <v>11</v>
      </c>
      <c r="C435" s="18">
        <v>26.3</v>
      </c>
      <c r="D435" s="18">
        <v>60</v>
      </c>
      <c r="E435" s="18">
        <v>87.8</v>
      </c>
      <c r="F435" s="18">
        <v>90</v>
      </c>
      <c r="G435" s="18">
        <v>43.4</v>
      </c>
      <c r="H435" s="18">
        <v>8.1999999999999993</v>
      </c>
    </row>
    <row r="436" spans="1:8" x14ac:dyDescent="0.25">
      <c r="A436" s="11">
        <v>2004</v>
      </c>
      <c r="B436" s="11" t="s">
        <v>227</v>
      </c>
      <c r="C436" s="18">
        <v>19.399999999999999</v>
      </c>
      <c r="D436" s="18">
        <v>40.5</v>
      </c>
      <c r="E436" s="18">
        <v>64.900000000000006</v>
      </c>
      <c r="F436" s="18">
        <v>88.8</v>
      </c>
      <c r="G436" s="18">
        <v>43.1</v>
      </c>
      <c r="H436" s="18">
        <v>7.5</v>
      </c>
    </row>
    <row r="437" spans="1:8" x14ac:dyDescent="0.25">
      <c r="A437" s="11">
        <v>2004</v>
      </c>
      <c r="B437" s="11" t="s">
        <v>228</v>
      </c>
      <c r="C437" s="18">
        <v>13.9</v>
      </c>
      <c r="D437" s="18">
        <v>58.3</v>
      </c>
      <c r="E437" s="18">
        <v>121.6</v>
      </c>
      <c r="F437" s="18">
        <v>100.9</v>
      </c>
      <c r="G437" s="18">
        <v>42</v>
      </c>
      <c r="H437" s="18">
        <v>7.2</v>
      </c>
    </row>
    <row r="438" spans="1:8" x14ac:dyDescent="0.25">
      <c r="A438" s="11">
        <v>2004</v>
      </c>
      <c r="B438" s="11" t="s">
        <v>229</v>
      </c>
      <c r="C438" s="18">
        <v>32.799999999999997</v>
      </c>
      <c r="D438" s="18">
        <v>72.599999999999994</v>
      </c>
      <c r="E438" s="18">
        <v>108.3</v>
      </c>
      <c r="F438" s="18">
        <v>92.4</v>
      </c>
      <c r="G438" s="18">
        <v>35</v>
      </c>
      <c r="H438" s="18">
        <v>5.4</v>
      </c>
    </row>
    <row r="439" spans="1:8" x14ac:dyDescent="0.25">
      <c r="A439" s="11">
        <v>2004</v>
      </c>
      <c r="B439" s="11" t="s">
        <v>230</v>
      </c>
      <c r="C439" s="18">
        <v>20.5</v>
      </c>
      <c r="D439" s="18">
        <v>79.599999999999994</v>
      </c>
      <c r="E439" s="18">
        <v>103.8</v>
      </c>
      <c r="F439" s="18">
        <v>91.4</v>
      </c>
      <c r="G439" s="18">
        <v>47.6</v>
      </c>
      <c r="H439" s="18">
        <v>5.8</v>
      </c>
    </row>
    <row r="440" spans="1:8" x14ac:dyDescent="0.25">
      <c r="A440" s="11">
        <v>2004</v>
      </c>
      <c r="B440" s="11" t="s">
        <v>231</v>
      </c>
      <c r="C440" s="18">
        <v>21.2</v>
      </c>
      <c r="D440" s="18">
        <v>30.3</v>
      </c>
      <c r="E440" s="18">
        <v>47.8</v>
      </c>
      <c r="F440" s="18">
        <v>83.9</v>
      </c>
      <c r="G440" s="18">
        <v>54.3</v>
      </c>
      <c r="H440" s="18">
        <v>12.8</v>
      </c>
    </row>
    <row r="441" spans="1:8" x14ac:dyDescent="0.25">
      <c r="A441" s="11">
        <v>2004</v>
      </c>
      <c r="B441" s="11" t="s">
        <v>232</v>
      </c>
      <c r="C441" s="18">
        <v>30</v>
      </c>
      <c r="D441" s="18">
        <v>69.900000000000006</v>
      </c>
      <c r="E441" s="18">
        <v>98.2</v>
      </c>
      <c r="F441" s="18">
        <v>88</v>
      </c>
      <c r="G441" s="18">
        <v>34.700000000000003</v>
      </c>
      <c r="H441" s="18">
        <v>8.6</v>
      </c>
    </row>
    <row r="442" spans="1:8" x14ac:dyDescent="0.25">
      <c r="A442" s="11">
        <v>2004</v>
      </c>
      <c r="B442" s="11" t="s">
        <v>233</v>
      </c>
      <c r="C442" s="18">
        <v>29.6</v>
      </c>
      <c r="D442" s="18">
        <v>94.7</v>
      </c>
      <c r="E442" s="18">
        <v>114.8</v>
      </c>
      <c r="F442" s="18">
        <v>87.1</v>
      </c>
      <c r="G442" s="18">
        <v>39.200000000000003</v>
      </c>
      <c r="H442" s="18">
        <v>6.4</v>
      </c>
    </row>
    <row r="443" spans="1:8" x14ac:dyDescent="0.25">
      <c r="A443" s="11">
        <v>2004</v>
      </c>
      <c r="B443" s="11" t="s">
        <v>234</v>
      </c>
      <c r="C443" s="18">
        <v>37.9</v>
      </c>
      <c r="D443" s="18">
        <v>59.4</v>
      </c>
      <c r="E443" s="18">
        <v>85.7</v>
      </c>
      <c r="F443" s="18">
        <v>78.5</v>
      </c>
      <c r="G443" s="18">
        <v>31.6</v>
      </c>
      <c r="H443" s="18">
        <v>7.3</v>
      </c>
    </row>
    <row r="444" spans="1:8" x14ac:dyDescent="0.25">
      <c r="A444" s="11">
        <v>2004</v>
      </c>
      <c r="B444" s="11" t="s">
        <v>235</v>
      </c>
      <c r="C444" s="18">
        <v>36.1</v>
      </c>
      <c r="D444" s="18">
        <v>82.5</v>
      </c>
      <c r="E444" s="18">
        <v>99.5</v>
      </c>
      <c r="F444" s="18">
        <v>83.8</v>
      </c>
      <c r="G444" s="18">
        <v>33.700000000000003</v>
      </c>
      <c r="H444" s="18">
        <v>5.8</v>
      </c>
    </row>
    <row r="445" spans="1:8" x14ac:dyDescent="0.25">
      <c r="A445" s="11">
        <v>2004</v>
      </c>
      <c r="B445" s="11" t="s">
        <v>236</v>
      </c>
      <c r="C445" s="18">
        <v>11.8</v>
      </c>
      <c r="D445" s="18">
        <v>32.6</v>
      </c>
      <c r="E445" s="18">
        <v>78.900000000000006</v>
      </c>
      <c r="F445" s="18">
        <v>102.6</v>
      </c>
      <c r="G445" s="18">
        <v>55.6</v>
      </c>
      <c r="H445" s="18">
        <v>8.4</v>
      </c>
    </row>
    <row r="446" spans="1:8" x14ac:dyDescent="0.25">
      <c r="A446" s="11">
        <v>2004</v>
      </c>
      <c r="B446" s="11" t="s">
        <v>237</v>
      </c>
      <c r="C446" s="18">
        <v>20.6</v>
      </c>
      <c r="D446" s="18">
        <v>72.599999999999994</v>
      </c>
      <c r="E446" s="18">
        <v>95.4</v>
      </c>
      <c r="F446" s="18">
        <v>103</v>
      </c>
      <c r="G446" s="18">
        <v>49.7</v>
      </c>
      <c r="H446" s="18">
        <v>8.3000000000000007</v>
      </c>
    </row>
    <row r="447" spans="1:8" x14ac:dyDescent="0.25">
      <c r="A447" s="11">
        <v>2004</v>
      </c>
      <c r="B447" s="11" t="s">
        <v>238</v>
      </c>
      <c r="C447" s="18">
        <v>8.6</v>
      </c>
      <c r="D447" s="18">
        <v>33.1</v>
      </c>
      <c r="E447" s="18">
        <v>106</v>
      </c>
      <c r="F447" s="18">
        <v>130.9</v>
      </c>
      <c r="G447" s="18">
        <v>66.5</v>
      </c>
      <c r="H447" s="18">
        <v>11.8</v>
      </c>
    </row>
    <row r="448" spans="1:8" x14ac:dyDescent="0.25">
      <c r="A448" s="11">
        <v>2004</v>
      </c>
      <c r="B448" s="11" t="s">
        <v>239</v>
      </c>
      <c r="C448" s="18">
        <v>32.299999999999997</v>
      </c>
      <c r="D448" s="18">
        <v>73.099999999999994</v>
      </c>
      <c r="E448" s="18">
        <v>100.2</v>
      </c>
      <c r="F448" s="18">
        <v>97.2</v>
      </c>
      <c r="G448" s="18">
        <v>38.700000000000003</v>
      </c>
      <c r="H448" s="18">
        <v>5.4</v>
      </c>
    </row>
    <row r="449" spans="1:8" x14ac:dyDescent="0.25">
      <c r="A449" s="11">
        <v>2004</v>
      </c>
      <c r="B449" s="11" t="s">
        <v>240</v>
      </c>
      <c r="C449" s="18">
        <v>30</v>
      </c>
      <c r="D449" s="18">
        <v>67.900000000000006</v>
      </c>
      <c r="E449" s="18">
        <v>102</v>
      </c>
      <c r="F449" s="18">
        <v>86</v>
      </c>
      <c r="G449" s="18">
        <v>37.6</v>
      </c>
      <c r="H449" s="18">
        <v>5.8</v>
      </c>
    </row>
    <row r="450" spans="1:8" x14ac:dyDescent="0.25">
      <c r="A450" s="11">
        <v>2004</v>
      </c>
      <c r="B450" s="11" t="s">
        <v>241</v>
      </c>
      <c r="C450" s="18">
        <v>31.2</v>
      </c>
      <c r="D450" s="18">
        <v>55</v>
      </c>
      <c r="E450" s="18">
        <v>72.3</v>
      </c>
      <c r="F450" s="18">
        <v>75.7</v>
      </c>
      <c r="G450" s="18">
        <v>43.9</v>
      </c>
      <c r="H450" s="18">
        <v>9.6</v>
      </c>
    </row>
    <row r="451" spans="1:8" x14ac:dyDescent="0.25">
      <c r="A451" s="11">
        <v>2004</v>
      </c>
      <c r="B451" s="11" t="s">
        <v>242</v>
      </c>
      <c r="C451" s="18">
        <v>23.1</v>
      </c>
      <c r="D451" s="18">
        <v>86.1</v>
      </c>
      <c r="E451" s="18">
        <v>97.6</v>
      </c>
      <c r="F451" s="18">
        <v>93.1</v>
      </c>
      <c r="G451" s="18">
        <v>46.2</v>
      </c>
      <c r="H451" s="18">
        <v>9.9</v>
      </c>
    </row>
    <row r="452" spans="1:8" x14ac:dyDescent="0.25">
      <c r="A452" s="11">
        <v>2004</v>
      </c>
      <c r="B452" s="11" t="s">
        <v>243</v>
      </c>
      <c r="C452" s="18">
        <v>34.1</v>
      </c>
      <c r="D452" s="18">
        <v>77.599999999999994</v>
      </c>
      <c r="E452" s="18">
        <v>96.4</v>
      </c>
      <c r="F452" s="18">
        <v>96.2</v>
      </c>
      <c r="G452" s="18">
        <v>35.9</v>
      </c>
      <c r="H452" s="18">
        <v>7.1</v>
      </c>
    </row>
    <row r="453" spans="1:8" x14ac:dyDescent="0.25">
      <c r="A453" s="11">
        <v>2004</v>
      </c>
      <c r="B453" s="11" t="s">
        <v>244</v>
      </c>
      <c r="C453" s="18">
        <v>28.2</v>
      </c>
      <c r="D453" s="18">
        <v>71.3</v>
      </c>
      <c r="E453" s="18">
        <v>110.8</v>
      </c>
      <c r="F453" s="18">
        <v>98.9</v>
      </c>
      <c r="G453" s="18">
        <v>40.5</v>
      </c>
      <c r="H453" s="18">
        <v>7</v>
      </c>
    </row>
    <row r="454" spans="1:8" x14ac:dyDescent="0.25">
      <c r="A454" s="11">
        <v>2004</v>
      </c>
      <c r="B454" s="11" t="s">
        <v>245</v>
      </c>
      <c r="C454" s="18">
        <v>20.9</v>
      </c>
      <c r="D454" s="18">
        <v>81.2</v>
      </c>
      <c r="E454" s="18">
        <v>106.7</v>
      </c>
      <c r="F454" s="18">
        <v>75.2</v>
      </c>
      <c r="G454" s="18">
        <v>35.5</v>
      </c>
      <c r="H454" s="18">
        <v>6.9</v>
      </c>
    </row>
    <row r="455" spans="1:8" x14ac:dyDescent="0.25">
      <c r="A455" s="11">
        <v>2004</v>
      </c>
      <c r="B455" s="11" t="s">
        <v>246</v>
      </c>
      <c r="C455" s="18">
        <v>12.8</v>
      </c>
      <c r="D455" s="18">
        <v>42.1</v>
      </c>
      <c r="E455" s="18">
        <v>93.8</v>
      </c>
      <c r="F455" s="18">
        <v>97.1</v>
      </c>
      <c r="G455" s="18">
        <v>51.4</v>
      </c>
      <c r="H455" s="18">
        <v>10.4</v>
      </c>
    </row>
    <row r="456" spans="1:8" x14ac:dyDescent="0.25">
      <c r="A456" s="11">
        <v>2004</v>
      </c>
      <c r="B456" s="11" t="s">
        <v>247</v>
      </c>
      <c r="C456" s="18">
        <v>30.9</v>
      </c>
      <c r="D456" s="18">
        <v>87.1</v>
      </c>
      <c r="E456" s="18">
        <v>99.6</v>
      </c>
      <c r="F456" s="18">
        <v>77.5</v>
      </c>
      <c r="G456" s="18">
        <v>34</v>
      </c>
      <c r="H456" s="18">
        <v>6</v>
      </c>
    </row>
    <row r="457" spans="1:8" x14ac:dyDescent="0.25">
      <c r="A457" s="11">
        <v>2004</v>
      </c>
      <c r="B457" s="11" t="s">
        <v>248</v>
      </c>
      <c r="C457" s="18">
        <v>30.7</v>
      </c>
      <c r="D457" s="18">
        <v>79.599999999999994</v>
      </c>
      <c r="E457" s="18">
        <v>101.5</v>
      </c>
      <c r="F457" s="18">
        <v>95.1</v>
      </c>
      <c r="G457" s="18">
        <v>40</v>
      </c>
      <c r="H457" s="18">
        <v>8</v>
      </c>
    </row>
    <row r="458" spans="1:8" x14ac:dyDescent="0.25">
      <c r="A458" s="11">
        <v>2004</v>
      </c>
      <c r="B458" s="11" t="s">
        <v>249</v>
      </c>
      <c r="C458" s="18">
        <v>23.1</v>
      </c>
      <c r="D458" s="18">
        <v>93.8</v>
      </c>
      <c r="E458" s="18">
        <v>97.1</v>
      </c>
      <c r="F458" s="18">
        <v>67.099999999999994</v>
      </c>
      <c r="G458" s="18">
        <v>32.9</v>
      </c>
      <c r="H458" s="18">
        <v>13.4</v>
      </c>
    </row>
    <row r="459" spans="1:8" x14ac:dyDescent="0.25">
      <c r="A459" s="11">
        <v>2004</v>
      </c>
      <c r="B459" s="11" t="s">
        <v>250</v>
      </c>
      <c r="C459" s="18">
        <v>19.600000000000001</v>
      </c>
      <c r="D459" s="18">
        <v>58.1</v>
      </c>
      <c r="E459" s="18">
        <v>96.9</v>
      </c>
      <c r="F459" s="18">
        <v>105</v>
      </c>
      <c r="G459" s="18">
        <v>43.5</v>
      </c>
      <c r="H459" s="18">
        <v>10.1</v>
      </c>
    </row>
    <row r="460" spans="1:8" x14ac:dyDescent="0.25">
      <c r="A460" s="11">
        <v>2004</v>
      </c>
      <c r="B460" s="11" t="s">
        <v>251</v>
      </c>
      <c r="C460" s="18">
        <v>28.5</v>
      </c>
      <c r="D460" s="18">
        <v>65.400000000000006</v>
      </c>
      <c r="E460" s="18">
        <v>93.8</v>
      </c>
      <c r="F460" s="18">
        <v>91.4</v>
      </c>
      <c r="G460" s="18">
        <v>45.6</v>
      </c>
      <c r="H460" s="18">
        <v>7.7</v>
      </c>
    </row>
    <row r="461" spans="1:8" x14ac:dyDescent="0.25">
      <c r="A461" s="11">
        <v>2004</v>
      </c>
      <c r="B461" s="11" t="s">
        <v>252</v>
      </c>
      <c r="C461" s="18">
        <v>19.8</v>
      </c>
      <c r="D461" s="18">
        <v>64</v>
      </c>
      <c r="E461" s="18">
        <v>102.3</v>
      </c>
      <c r="F461" s="18">
        <v>107.6</v>
      </c>
      <c r="G461" s="18">
        <v>43.7</v>
      </c>
      <c r="H461" s="18">
        <v>12.2</v>
      </c>
    </row>
    <row r="462" spans="1:8" x14ac:dyDescent="0.25">
      <c r="A462" s="11">
        <v>2004</v>
      </c>
      <c r="B462" s="11" t="s">
        <v>253</v>
      </c>
      <c r="C462" s="18">
        <v>13.3</v>
      </c>
      <c r="D462" s="18">
        <v>72.7</v>
      </c>
      <c r="E462" s="18">
        <v>120.5</v>
      </c>
      <c r="F462" s="18">
        <v>96.6</v>
      </c>
      <c r="G462" s="18">
        <v>39.200000000000003</v>
      </c>
      <c r="H462" s="18">
        <v>9.3000000000000007</v>
      </c>
    </row>
    <row r="463" spans="1:8" x14ac:dyDescent="0.25">
      <c r="A463" s="11">
        <v>2004</v>
      </c>
      <c r="B463" s="11" t="s">
        <v>254</v>
      </c>
      <c r="C463" s="18">
        <v>26.3</v>
      </c>
      <c r="D463" s="18">
        <v>67</v>
      </c>
      <c r="E463" s="18">
        <v>92.4</v>
      </c>
      <c r="F463" s="18">
        <v>83.2</v>
      </c>
      <c r="G463" s="18">
        <v>46.5</v>
      </c>
      <c r="H463" s="18">
        <v>7.4</v>
      </c>
    </row>
    <row r="464" spans="1:8" x14ac:dyDescent="0.25">
      <c r="A464" s="11">
        <v>2004</v>
      </c>
      <c r="B464" s="11" t="s">
        <v>255</v>
      </c>
      <c r="C464" s="18">
        <v>25.4</v>
      </c>
      <c r="D464" s="18">
        <v>60.6</v>
      </c>
      <c r="E464" s="18">
        <v>100.9</v>
      </c>
      <c r="F464" s="18">
        <v>95.2</v>
      </c>
      <c r="G464" s="18">
        <v>45.5</v>
      </c>
      <c r="H464" s="18">
        <v>7.3</v>
      </c>
    </row>
    <row r="465" spans="1:8" x14ac:dyDescent="0.25">
      <c r="A465" s="11">
        <v>2004</v>
      </c>
      <c r="B465" s="11" t="s">
        <v>256</v>
      </c>
      <c r="C465" s="18">
        <v>18.100000000000001</v>
      </c>
      <c r="D465" s="18">
        <v>38.700000000000003</v>
      </c>
      <c r="E465" s="18">
        <v>86</v>
      </c>
      <c r="F465" s="18">
        <v>116</v>
      </c>
      <c r="G465" s="18">
        <v>55.5</v>
      </c>
      <c r="H465" s="18">
        <v>8.1999999999999993</v>
      </c>
    </row>
    <row r="466" spans="1:8" x14ac:dyDescent="0.25">
      <c r="A466" s="11">
        <v>2004</v>
      </c>
      <c r="B466" s="11" t="s">
        <v>257</v>
      </c>
      <c r="C466" s="18">
        <v>29.6</v>
      </c>
      <c r="D466" s="18">
        <v>73.3</v>
      </c>
      <c r="E466" s="18">
        <v>91.2</v>
      </c>
      <c r="F466" s="18">
        <v>80.400000000000006</v>
      </c>
      <c r="G466" s="18">
        <v>40.9</v>
      </c>
      <c r="H466" s="18">
        <v>6.6</v>
      </c>
    </row>
    <row r="467" spans="1:8" x14ac:dyDescent="0.25">
      <c r="A467" s="11">
        <v>2004</v>
      </c>
      <c r="B467" s="11" t="s">
        <v>258</v>
      </c>
      <c r="C467" s="18">
        <v>33.4</v>
      </c>
      <c r="D467" s="18">
        <v>83.5</v>
      </c>
      <c r="E467" s="18">
        <v>102</v>
      </c>
      <c r="F467" s="18">
        <v>93.2</v>
      </c>
      <c r="G467" s="18">
        <v>41.8</v>
      </c>
      <c r="H467" s="18">
        <v>6.7</v>
      </c>
    </row>
    <row r="468" spans="1:8" x14ac:dyDescent="0.25">
      <c r="A468" s="11">
        <v>2005</v>
      </c>
      <c r="B468" s="11" t="s">
        <v>11</v>
      </c>
      <c r="C468" s="18">
        <v>26.2</v>
      </c>
      <c r="D468" s="18">
        <v>59.1</v>
      </c>
      <c r="E468" s="18">
        <v>86.7</v>
      </c>
      <c r="F468" s="18">
        <v>92.3</v>
      </c>
      <c r="G468" s="18">
        <v>45.4</v>
      </c>
      <c r="H468" s="18">
        <v>8.4</v>
      </c>
    </row>
    <row r="469" spans="1:8" x14ac:dyDescent="0.25">
      <c r="A469" s="11">
        <v>2005</v>
      </c>
      <c r="B469" s="11" t="s">
        <v>227</v>
      </c>
      <c r="C469" s="18">
        <v>22.6</v>
      </c>
      <c r="D469" s="18">
        <v>35.6</v>
      </c>
      <c r="E469" s="18">
        <v>65.900000000000006</v>
      </c>
      <c r="F469" s="18">
        <v>87.9</v>
      </c>
      <c r="G469" s="18">
        <v>44.3</v>
      </c>
      <c r="H469" s="18">
        <v>7.9</v>
      </c>
    </row>
    <row r="470" spans="1:8" x14ac:dyDescent="0.25">
      <c r="A470" s="11">
        <v>2005</v>
      </c>
      <c r="B470" s="11" t="s">
        <v>228</v>
      </c>
      <c r="C470" s="18">
        <v>12.6</v>
      </c>
      <c r="D470" s="18">
        <v>57.9</v>
      </c>
      <c r="E470" s="18">
        <v>115.5</v>
      </c>
      <c r="F470" s="18">
        <v>109.1</v>
      </c>
      <c r="G470" s="18">
        <v>45.9</v>
      </c>
      <c r="H470" s="18">
        <v>9.1</v>
      </c>
    </row>
    <row r="471" spans="1:8" x14ac:dyDescent="0.25">
      <c r="A471" s="11">
        <v>2005</v>
      </c>
      <c r="B471" s="11" t="s">
        <v>229</v>
      </c>
      <c r="C471" s="18">
        <v>28.7</v>
      </c>
      <c r="D471" s="18">
        <v>88.1</v>
      </c>
      <c r="E471" s="18">
        <v>100.7</v>
      </c>
      <c r="F471" s="18">
        <v>87.7</v>
      </c>
      <c r="G471" s="18">
        <v>39.5</v>
      </c>
      <c r="H471" s="18">
        <v>7</v>
      </c>
    </row>
    <row r="472" spans="1:8" x14ac:dyDescent="0.25">
      <c r="A472" s="11">
        <v>2005</v>
      </c>
      <c r="B472" s="11" t="s">
        <v>230</v>
      </c>
      <c r="C472" s="18">
        <v>18.899999999999999</v>
      </c>
      <c r="D472" s="18">
        <v>66</v>
      </c>
      <c r="E472" s="18">
        <v>93.6</v>
      </c>
      <c r="F472" s="18">
        <v>90.7</v>
      </c>
      <c r="G472" s="18">
        <v>53.4</v>
      </c>
      <c r="H472" s="18">
        <v>9.1</v>
      </c>
    </row>
    <row r="473" spans="1:8" x14ac:dyDescent="0.25">
      <c r="A473" s="11">
        <v>2005</v>
      </c>
      <c r="B473" s="11" t="s">
        <v>231</v>
      </c>
      <c r="C473" s="18">
        <v>21.5</v>
      </c>
      <c r="D473" s="18">
        <v>29.3</v>
      </c>
      <c r="E473" s="18">
        <v>49.4</v>
      </c>
      <c r="F473" s="18">
        <v>84.3</v>
      </c>
      <c r="G473" s="18">
        <v>56.9</v>
      </c>
      <c r="H473" s="18">
        <v>13</v>
      </c>
    </row>
    <row r="474" spans="1:8" x14ac:dyDescent="0.25">
      <c r="A474" s="11">
        <v>2005</v>
      </c>
      <c r="B474" s="11" t="s">
        <v>232</v>
      </c>
      <c r="C474" s="18">
        <v>28.9</v>
      </c>
      <c r="D474" s="18">
        <v>93.2</v>
      </c>
      <c r="E474" s="18">
        <v>97.9</v>
      </c>
      <c r="F474" s="18">
        <v>77.2</v>
      </c>
      <c r="G474" s="18">
        <v>39.200000000000003</v>
      </c>
      <c r="H474" s="18">
        <v>5.9</v>
      </c>
    </row>
    <row r="475" spans="1:8" x14ac:dyDescent="0.25">
      <c r="A475" s="11">
        <v>2005</v>
      </c>
      <c r="B475" s="11" t="s">
        <v>233</v>
      </c>
      <c r="C475" s="18">
        <v>34.9</v>
      </c>
      <c r="D475" s="18">
        <v>100.6</v>
      </c>
      <c r="E475" s="18">
        <v>94.8</v>
      </c>
      <c r="F475" s="18">
        <v>92.8</v>
      </c>
      <c r="G475" s="18">
        <v>35.299999999999997</v>
      </c>
      <c r="H475" s="18">
        <v>7.2</v>
      </c>
    </row>
    <row r="476" spans="1:8" x14ac:dyDescent="0.25">
      <c r="A476" s="11">
        <v>2005</v>
      </c>
      <c r="B476" s="11" t="s">
        <v>234</v>
      </c>
      <c r="C476" s="18">
        <v>35.700000000000003</v>
      </c>
      <c r="D476" s="18">
        <v>55.5</v>
      </c>
      <c r="E476" s="18">
        <v>86.3</v>
      </c>
      <c r="F476" s="18">
        <v>75.400000000000006</v>
      </c>
      <c r="G476" s="18">
        <v>38.299999999999997</v>
      </c>
      <c r="H476" s="18">
        <v>5.6</v>
      </c>
    </row>
    <row r="477" spans="1:8" x14ac:dyDescent="0.25">
      <c r="A477" s="11">
        <v>2005</v>
      </c>
      <c r="B477" s="11" t="s">
        <v>235</v>
      </c>
      <c r="C477" s="18">
        <v>34.1</v>
      </c>
      <c r="D477" s="18">
        <v>79.599999999999994</v>
      </c>
      <c r="E477" s="18">
        <v>93.2</v>
      </c>
      <c r="F477" s="18">
        <v>85.4</v>
      </c>
      <c r="G477" s="18">
        <v>36.299999999999997</v>
      </c>
      <c r="H477" s="18">
        <v>8.6</v>
      </c>
    </row>
    <row r="478" spans="1:8" x14ac:dyDescent="0.25">
      <c r="A478" s="11">
        <v>2005</v>
      </c>
      <c r="B478" s="11" t="s">
        <v>236</v>
      </c>
      <c r="C478" s="18">
        <v>10.3</v>
      </c>
      <c r="D478" s="18">
        <v>35.6</v>
      </c>
      <c r="E478" s="18">
        <v>76.3</v>
      </c>
      <c r="F478" s="18">
        <v>120.6</v>
      </c>
      <c r="G478" s="18">
        <v>57.3</v>
      </c>
      <c r="H478" s="18">
        <v>11.2</v>
      </c>
    </row>
    <row r="479" spans="1:8" x14ac:dyDescent="0.25">
      <c r="A479" s="11">
        <v>2005</v>
      </c>
      <c r="B479" s="11" t="s">
        <v>237</v>
      </c>
      <c r="C479" s="18">
        <v>28.4</v>
      </c>
      <c r="D479" s="18">
        <v>74.099999999999994</v>
      </c>
      <c r="E479" s="18">
        <v>101.9</v>
      </c>
      <c r="F479" s="18">
        <v>118.9</v>
      </c>
      <c r="G479" s="18">
        <v>57.5</v>
      </c>
      <c r="H479" s="18">
        <v>9.1</v>
      </c>
    </row>
    <row r="480" spans="1:8" x14ac:dyDescent="0.25">
      <c r="A480" s="11">
        <v>2005</v>
      </c>
      <c r="B480" s="11" t="s">
        <v>238</v>
      </c>
      <c r="C480" s="18">
        <v>11.7</v>
      </c>
      <c r="D480" s="18">
        <v>29.6</v>
      </c>
      <c r="E480" s="18">
        <v>88.4</v>
      </c>
      <c r="F480" s="18">
        <v>132</v>
      </c>
      <c r="G480" s="18">
        <v>69.5</v>
      </c>
      <c r="H480" s="18">
        <v>10.6</v>
      </c>
    </row>
    <row r="481" spans="1:8" x14ac:dyDescent="0.25">
      <c r="A481" s="11">
        <v>2005</v>
      </c>
      <c r="B481" s="11" t="s">
        <v>239</v>
      </c>
      <c r="C481" s="18">
        <v>28.2</v>
      </c>
      <c r="D481" s="18">
        <v>71.099999999999994</v>
      </c>
      <c r="E481" s="18">
        <v>99.7</v>
      </c>
      <c r="F481" s="18">
        <v>95.3</v>
      </c>
      <c r="G481" s="18">
        <v>42.6</v>
      </c>
      <c r="H481" s="18">
        <v>6.2</v>
      </c>
    </row>
    <row r="482" spans="1:8" x14ac:dyDescent="0.25">
      <c r="A482" s="11">
        <v>2005</v>
      </c>
      <c r="B482" s="11" t="s">
        <v>240</v>
      </c>
      <c r="C482" s="18">
        <v>27.4</v>
      </c>
      <c r="D482" s="18">
        <v>68.900000000000006</v>
      </c>
      <c r="E482" s="18">
        <v>99</v>
      </c>
      <c r="F482" s="18">
        <v>95.6</v>
      </c>
      <c r="G482" s="18">
        <v>40.700000000000003</v>
      </c>
      <c r="H482" s="18">
        <v>5.4</v>
      </c>
    </row>
    <row r="483" spans="1:8" x14ac:dyDescent="0.25">
      <c r="A483" s="11">
        <v>2005</v>
      </c>
      <c r="B483" s="11" t="s">
        <v>241</v>
      </c>
      <c r="C483" s="18">
        <v>31.5</v>
      </c>
      <c r="D483" s="18">
        <v>54.1</v>
      </c>
      <c r="E483" s="18">
        <v>75.7</v>
      </c>
      <c r="F483" s="18">
        <v>81.099999999999994</v>
      </c>
      <c r="G483" s="18">
        <v>46.4</v>
      </c>
      <c r="H483" s="18">
        <v>9.6999999999999993</v>
      </c>
    </row>
    <row r="484" spans="1:8" x14ac:dyDescent="0.25">
      <c r="A484" s="11">
        <v>2005</v>
      </c>
      <c r="B484" s="11" t="s">
        <v>242</v>
      </c>
      <c r="C484" s="18">
        <v>28.3</v>
      </c>
      <c r="D484" s="18">
        <v>79</v>
      </c>
      <c r="E484" s="18">
        <v>107</v>
      </c>
      <c r="F484" s="18">
        <v>88.4</v>
      </c>
      <c r="G484" s="18">
        <v>46.4</v>
      </c>
      <c r="H484" s="18">
        <v>11.8</v>
      </c>
    </row>
    <row r="485" spans="1:8" x14ac:dyDescent="0.25">
      <c r="A485" s="11">
        <v>2005</v>
      </c>
      <c r="B485" s="11" t="s">
        <v>243</v>
      </c>
      <c r="C485" s="18">
        <v>33.6</v>
      </c>
      <c r="D485" s="18">
        <v>89</v>
      </c>
      <c r="E485" s="18">
        <v>86.9</v>
      </c>
      <c r="F485" s="18">
        <v>93.7</v>
      </c>
      <c r="G485" s="18">
        <v>38.700000000000003</v>
      </c>
      <c r="H485" s="18">
        <v>7.2</v>
      </c>
    </row>
    <row r="486" spans="1:8" x14ac:dyDescent="0.25">
      <c r="A486" s="11">
        <v>2005</v>
      </c>
      <c r="B486" s="11" t="s">
        <v>244</v>
      </c>
      <c r="C486" s="18">
        <v>24.6</v>
      </c>
      <c r="D486" s="18">
        <v>71.900000000000006</v>
      </c>
      <c r="E486" s="18">
        <v>92.2</v>
      </c>
      <c r="F486" s="18">
        <v>114.9</v>
      </c>
      <c r="G486" s="18">
        <v>42.2</v>
      </c>
      <c r="H486" s="18">
        <v>6.1</v>
      </c>
    </row>
    <row r="487" spans="1:8" x14ac:dyDescent="0.25">
      <c r="A487" s="11">
        <v>2005</v>
      </c>
      <c r="B487" s="11" t="s">
        <v>245</v>
      </c>
      <c r="C487" s="18">
        <v>26</v>
      </c>
      <c r="D487" s="18">
        <v>81.400000000000006</v>
      </c>
      <c r="E487" s="18">
        <v>100.5</v>
      </c>
      <c r="F487" s="18">
        <v>81.099999999999994</v>
      </c>
      <c r="G487" s="18">
        <v>36</v>
      </c>
      <c r="H487" s="18">
        <v>7.4</v>
      </c>
    </row>
    <row r="488" spans="1:8" x14ac:dyDescent="0.25">
      <c r="A488" s="11">
        <v>2005</v>
      </c>
      <c r="B488" s="11" t="s">
        <v>246</v>
      </c>
      <c r="C488" s="18">
        <v>13.2</v>
      </c>
      <c r="D488" s="18">
        <v>57.2</v>
      </c>
      <c r="E488" s="18">
        <v>98.6</v>
      </c>
      <c r="F488" s="18">
        <v>94.2</v>
      </c>
      <c r="G488" s="18">
        <v>57.7</v>
      </c>
      <c r="H488" s="18">
        <v>8.1999999999999993</v>
      </c>
    </row>
    <row r="489" spans="1:8" x14ac:dyDescent="0.25">
      <c r="A489" s="11">
        <v>2005</v>
      </c>
      <c r="B489" s="11" t="s">
        <v>247</v>
      </c>
      <c r="C489" s="18">
        <v>30.3</v>
      </c>
      <c r="D489" s="18">
        <v>79.400000000000006</v>
      </c>
      <c r="E489" s="18">
        <v>98.2</v>
      </c>
      <c r="F489" s="18">
        <v>82.3</v>
      </c>
      <c r="G489" s="18">
        <v>33.1</v>
      </c>
      <c r="H489" s="18">
        <v>7.9</v>
      </c>
    </row>
    <row r="490" spans="1:8" x14ac:dyDescent="0.25">
      <c r="A490" s="11">
        <v>2005</v>
      </c>
      <c r="B490" s="11" t="s">
        <v>248</v>
      </c>
      <c r="C490" s="18">
        <v>30.7</v>
      </c>
      <c r="D490" s="18">
        <v>71</v>
      </c>
      <c r="E490" s="18">
        <v>101.7</v>
      </c>
      <c r="F490" s="18">
        <v>93.1</v>
      </c>
      <c r="G490" s="18">
        <v>39</v>
      </c>
      <c r="H490" s="18">
        <v>6.4</v>
      </c>
    </row>
    <row r="491" spans="1:8" x14ac:dyDescent="0.25">
      <c r="A491" s="11">
        <v>2005</v>
      </c>
      <c r="B491" s="11" t="s">
        <v>249</v>
      </c>
      <c r="C491" s="18">
        <v>23.1</v>
      </c>
      <c r="D491" s="18">
        <v>73.900000000000006</v>
      </c>
      <c r="E491" s="18">
        <v>103.7</v>
      </c>
      <c r="F491" s="18">
        <v>86.3</v>
      </c>
      <c r="G491" s="18">
        <v>40.9</v>
      </c>
      <c r="H491" s="18">
        <v>9</v>
      </c>
    </row>
    <row r="492" spans="1:8" x14ac:dyDescent="0.25">
      <c r="A492" s="11">
        <v>2005</v>
      </c>
      <c r="B492" s="11" t="s">
        <v>250</v>
      </c>
      <c r="C492" s="18">
        <v>24.6</v>
      </c>
      <c r="D492" s="18">
        <v>59.6</v>
      </c>
      <c r="E492" s="18">
        <v>95.4</v>
      </c>
      <c r="F492" s="18">
        <v>106.8</v>
      </c>
      <c r="G492" s="18">
        <v>53.2</v>
      </c>
      <c r="H492" s="18">
        <v>7.4</v>
      </c>
    </row>
    <row r="493" spans="1:8" x14ac:dyDescent="0.25">
      <c r="A493" s="11">
        <v>2005</v>
      </c>
      <c r="B493" s="11" t="s">
        <v>251</v>
      </c>
      <c r="C493" s="18">
        <v>26.8</v>
      </c>
      <c r="D493" s="18">
        <v>69.5</v>
      </c>
      <c r="E493" s="18">
        <v>95.1</v>
      </c>
      <c r="F493" s="18">
        <v>93.7</v>
      </c>
      <c r="G493" s="18">
        <v>44</v>
      </c>
      <c r="H493" s="18">
        <v>7.3</v>
      </c>
    </row>
    <row r="494" spans="1:8" x14ac:dyDescent="0.25">
      <c r="A494" s="11">
        <v>2005</v>
      </c>
      <c r="B494" s="11" t="s">
        <v>252</v>
      </c>
      <c r="C494" s="18">
        <v>21.8</v>
      </c>
      <c r="D494" s="18">
        <v>73.3</v>
      </c>
      <c r="E494" s="18">
        <v>104.1</v>
      </c>
      <c r="F494" s="18">
        <v>98.8</v>
      </c>
      <c r="G494" s="18">
        <v>45.9</v>
      </c>
      <c r="H494" s="18">
        <v>9.6</v>
      </c>
    </row>
    <row r="495" spans="1:8" x14ac:dyDescent="0.25">
      <c r="A495" s="11">
        <v>2005</v>
      </c>
      <c r="B495" s="11" t="s">
        <v>253</v>
      </c>
      <c r="C495" s="18">
        <v>20.399999999999999</v>
      </c>
      <c r="D495" s="18">
        <v>98.6</v>
      </c>
      <c r="E495" s="18">
        <v>87.9</v>
      </c>
      <c r="F495" s="18">
        <v>89.9</v>
      </c>
      <c r="G495" s="18">
        <v>41.2</v>
      </c>
      <c r="H495" s="18">
        <v>9.3000000000000007</v>
      </c>
    </row>
    <row r="496" spans="1:8" x14ac:dyDescent="0.25">
      <c r="A496" s="11">
        <v>2005</v>
      </c>
      <c r="B496" s="11" t="s">
        <v>254</v>
      </c>
      <c r="C496" s="18">
        <v>30.1</v>
      </c>
      <c r="D496" s="18">
        <v>56.7</v>
      </c>
      <c r="E496" s="18">
        <v>84.2</v>
      </c>
      <c r="F496" s="18">
        <v>85.4</v>
      </c>
      <c r="G496" s="18">
        <v>41.2</v>
      </c>
      <c r="H496" s="18">
        <v>9</v>
      </c>
    </row>
    <row r="497" spans="1:8" x14ac:dyDescent="0.25">
      <c r="A497" s="11">
        <v>2005</v>
      </c>
      <c r="B497" s="11" t="s">
        <v>255</v>
      </c>
      <c r="C497" s="18">
        <v>23.1</v>
      </c>
      <c r="D497" s="18">
        <v>60.9</v>
      </c>
      <c r="E497" s="18">
        <v>100</v>
      </c>
      <c r="F497" s="18">
        <v>94.8</v>
      </c>
      <c r="G497" s="18">
        <v>47.9</v>
      </c>
      <c r="H497" s="18">
        <v>6.3</v>
      </c>
    </row>
    <row r="498" spans="1:8" x14ac:dyDescent="0.25">
      <c r="A498" s="11">
        <v>2005</v>
      </c>
      <c r="B498" s="11" t="s">
        <v>256</v>
      </c>
      <c r="C498" s="18">
        <v>16</v>
      </c>
      <c r="D498" s="18">
        <v>39.4</v>
      </c>
      <c r="E498" s="18">
        <v>72.3</v>
      </c>
      <c r="F498" s="18">
        <v>113.8</v>
      </c>
      <c r="G498" s="18">
        <v>53.1</v>
      </c>
      <c r="H498" s="18">
        <v>9.3000000000000007</v>
      </c>
    </row>
    <row r="499" spans="1:8" x14ac:dyDescent="0.25">
      <c r="A499" s="11">
        <v>2005</v>
      </c>
      <c r="B499" s="11" t="s">
        <v>257</v>
      </c>
      <c r="C499" s="18">
        <v>34.6</v>
      </c>
      <c r="D499" s="18">
        <v>73.599999999999994</v>
      </c>
      <c r="E499" s="18">
        <v>94.5</v>
      </c>
      <c r="F499" s="18">
        <v>80.099999999999994</v>
      </c>
      <c r="G499" s="18">
        <v>39.200000000000003</v>
      </c>
      <c r="H499" s="18">
        <v>7.3</v>
      </c>
    </row>
    <row r="500" spans="1:8" x14ac:dyDescent="0.25">
      <c r="A500" s="11">
        <v>2005</v>
      </c>
      <c r="B500" s="11" t="s">
        <v>258</v>
      </c>
      <c r="C500" s="18">
        <v>27.1</v>
      </c>
      <c r="D500" s="18">
        <v>76.7</v>
      </c>
      <c r="E500" s="18">
        <v>110.7</v>
      </c>
      <c r="F500" s="18">
        <v>99</v>
      </c>
      <c r="G500" s="18">
        <v>44.1</v>
      </c>
      <c r="H500" s="18">
        <v>8.6</v>
      </c>
    </row>
    <row r="501" spans="1:8" x14ac:dyDescent="0.25">
      <c r="A501" s="11">
        <v>2006</v>
      </c>
      <c r="B501" s="11" t="s">
        <v>11</v>
      </c>
      <c r="C501" s="18">
        <v>25.8</v>
      </c>
      <c r="D501" s="18">
        <v>60.9</v>
      </c>
      <c r="E501" s="18">
        <v>88.3</v>
      </c>
      <c r="F501" s="18">
        <v>95.9</v>
      </c>
      <c r="G501" s="18">
        <v>47.6</v>
      </c>
      <c r="H501" s="18">
        <v>8.6999999999999993</v>
      </c>
    </row>
    <row r="502" spans="1:8" x14ac:dyDescent="0.25">
      <c r="A502" s="11">
        <v>2006</v>
      </c>
      <c r="B502" s="11" t="s">
        <v>227</v>
      </c>
      <c r="C502" s="18">
        <v>20.8</v>
      </c>
      <c r="D502" s="18">
        <v>40.6</v>
      </c>
      <c r="E502" s="18">
        <v>69.3</v>
      </c>
      <c r="F502" s="18">
        <v>90.4</v>
      </c>
      <c r="G502" s="18">
        <v>49.6</v>
      </c>
      <c r="H502" s="18">
        <v>8.6</v>
      </c>
    </row>
    <row r="503" spans="1:8" x14ac:dyDescent="0.25">
      <c r="A503" s="11">
        <v>2006</v>
      </c>
      <c r="B503" s="11" t="s">
        <v>228</v>
      </c>
      <c r="C503" s="18">
        <v>13.5</v>
      </c>
      <c r="D503" s="18">
        <v>62</v>
      </c>
      <c r="E503" s="18">
        <v>120.9</v>
      </c>
      <c r="F503" s="18">
        <v>115.1</v>
      </c>
      <c r="G503" s="18">
        <v>49.7</v>
      </c>
      <c r="H503" s="18">
        <v>7.5</v>
      </c>
    </row>
    <row r="504" spans="1:8" x14ac:dyDescent="0.25">
      <c r="A504" s="11">
        <v>2006</v>
      </c>
      <c r="B504" s="11" t="s">
        <v>229</v>
      </c>
      <c r="C504" s="18">
        <v>28.7</v>
      </c>
      <c r="D504" s="18">
        <v>72.8</v>
      </c>
      <c r="E504" s="18">
        <v>105.8</v>
      </c>
      <c r="F504" s="18">
        <v>99.4</v>
      </c>
      <c r="G504" s="18">
        <v>40.4</v>
      </c>
      <c r="H504" s="18">
        <v>6.7</v>
      </c>
    </row>
    <row r="505" spans="1:8" x14ac:dyDescent="0.25">
      <c r="A505" s="11">
        <v>2006</v>
      </c>
      <c r="B505" s="11" t="s">
        <v>230</v>
      </c>
      <c r="C505" s="18">
        <v>20.2</v>
      </c>
      <c r="D505" s="18">
        <v>72.900000000000006</v>
      </c>
      <c r="E505" s="18">
        <v>88.7</v>
      </c>
      <c r="F505" s="18">
        <v>96.6</v>
      </c>
      <c r="G505" s="18">
        <v>53.6</v>
      </c>
      <c r="H505" s="18">
        <v>10.5</v>
      </c>
    </row>
    <row r="506" spans="1:8" x14ac:dyDescent="0.25">
      <c r="A506" s="11">
        <v>2006</v>
      </c>
      <c r="B506" s="11" t="s">
        <v>231</v>
      </c>
      <c r="C506" s="18">
        <v>19.100000000000001</v>
      </c>
      <c r="D506" s="18">
        <v>30.9</v>
      </c>
      <c r="E506" s="18">
        <v>49.8</v>
      </c>
      <c r="F506" s="18">
        <v>90.2</v>
      </c>
      <c r="G506" s="18">
        <v>61.7</v>
      </c>
      <c r="H506" s="18">
        <v>12.9</v>
      </c>
    </row>
    <row r="507" spans="1:8" x14ac:dyDescent="0.25">
      <c r="A507" s="11">
        <v>2006</v>
      </c>
      <c r="B507" s="11" t="s">
        <v>232</v>
      </c>
      <c r="C507" s="18">
        <v>30.7</v>
      </c>
      <c r="D507" s="18">
        <v>87.8</v>
      </c>
      <c r="E507" s="18">
        <v>98.2</v>
      </c>
      <c r="F507" s="18">
        <v>81.900000000000006</v>
      </c>
      <c r="G507" s="18">
        <v>40.5</v>
      </c>
      <c r="H507" s="18">
        <v>9.6999999999999993</v>
      </c>
    </row>
    <row r="508" spans="1:8" x14ac:dyDescent="0.25">
      <c r="A508" s="11">
        <v>2006</v>
      </c>
      <c r="B508" s="11" t="s">
        <v>233</v>
      </c>
      <c r="C508" s="18">
        <v>33.1</v>
      </c>
      <c r="D508" s="18">
        <v>96.3</v>
      </c>
      <c r="E508" s="18">
        <v>109</v>
      </c>
      <c r="F508" s="18">
        <v>100.9</v>
      </c>
      <c r="G508" s="18">
        <v>38.9</v>
      </c>
      <c r="H508" s="18">
        <v>6.6</v>
      </c>
    </row>
    <row r="509" spans="1:8" x14ac:dyDescent="0.25">
      <c r="A509" s="11">
        <v>2006</v>
      </c>
      <c r="B509" s="11" t="s">
        <v>234</v>
      </c>
      <c r="C509" s="18">
        <v>37.799999999999997</v>
      </c>
      <c r="D509" s="18">
        <v>59.4</v>
      </c>
      <c r="E509" s="18">
        <v>78.5</v>
      </c>
      <c r="F509" s="18">
        <v>84.6</v>
      </c>
      <c r="G509" s="18">
        <v>35.700000000000003</v>
      </c>
      <c r="H509" s="18">
        <v>7.6</v>
      </c>
    </row>
    <row r="510" spans="1:8" x14ac:dyDescent="0.25">
      <c r="A510" s="11">
        <v>2006</v>
      </c>
      <c r="B510" s="11" t="s">
        <v>235</v>
      </c>
      <c r="C510" s="18">
        <v>30.9</v>
      </c>
      <c r="D510" s="18">
        <v>80.5</v>
      </c>
      <c r="E510" s="18">
        <v>119</v>
      </c>
      <c r="F510" s="18">
        <v>96.7</v>
      </c>
      <c r="G510" s="18">
        <v>31.2</v>
      </c>
      <c r="H510" s="18">
        <v>4.4000000000000004</v>
      </c>
    </row>
    <row r="511" spans="1:8" x14ac:dyDescent="0.25">
      <c r="A511" s="11">
        <v>2006</v>
      </c>
      <c r="B511" s="11" t="s">
        <v>236</v>
      </c>
      <c r="C511" s="18">
        <v>12.1</v>
      </c>
      <c r="D511" s="18">
        <v>31.9</v>
      </c>
      <c r="E511" s="18">
        <v>87.9</v>
      </c>
      <c r="F511" s="18">
        <v>114.2</v>
      </c>
      <c r="G511" s="18">
        <v>64.5</v>
      </c>
      <c r="H511" s="18">
        <v>8.5</v>
      </c>
    </row>
    <row r="512" spans="1:8" x14ac:dyDescent="0.25">
      <c r="A512" s="11">
        <v>2006</v>
      </c>
      <c r="B512" s="11" t="s">
        <v>237</v>
      </c>
      <c r="C512" s="18">
        <v>30.9</v>
      </c>
      <c r="D512" s="18">
        <v>68</v>
      </c>
      <c r="E512" s="18">
        <v>108.7</v>
      </c>
      <c r="F512" s="18">
        <v>114.1</v>
      </c>
      <c r="G512" s="18">
        <v>56.9</v>
      </c>
      <c r="H512" s="18">
        <v>13.1</v>
      </c>
    </row>
    <row r="513" spans="1:8" x14ac:dyDescent="0.25">
      <c r="A513" s="11">
        <v>2006</v>
      </c>
      <c r="B513" s="11" t="s">
        <v>238</v>
      </c>
      <c r="C513" s="18">
        <v>9.4</v>
      </c>
      <c r="D513" s="18">
        <v>36.1</v>
      </c>
      <c r="E513" s="18">
        <v>88.8</v>
      </c>
      <c r="F513" s="18">
        <v>125.7</v>
      </c>
      <c r="G513" s="18">
        <v>67.5</v>
      </c>
      <c r="H513" s="18">
        <v>10.7</v>
      </c>
    </row>
    <row r="514" spans="1:8" x14ac:dyDescent="0.25">
      <c r="A514" s="11">
        <v>2006</v>
      </c>
      <c r="B514" s="11" t="s">
        <v>239</v>
      </c>
      <c r="C514" s="18">
        <v>31.3</v>
      </c>
      <c r="D514" s="18">
        <v>70.8</v>
      </c>
      <c r="E514" s="18">
        <v>95.9</v>
      </c>
      <c r="F514" s="18">
        <v>100.9</v>
      </c>
      <c r="G514" s="18">
        <v>41.8</v>
      </c>
      <c r="H514" s="18">
        <v>7.3</v>
      </c>
    </row>
    <row r="515" spans="1:8" x14ac:dyDescent="0.25">
      <c r="A515" s="11">
        <v>2006</v>
      </c>
      <c r="B515" s="11" t="s">
        <v>240</v>
      </c>
      <c r="C515" s="18">
        <v>30.2</v>
      </c>
      <c r="D515" s="18">
        <v>70.900000000000006</v>
      </c>
      <c r="E515" s="18">
        <v>105.6</v>
      </c>
      <c r="F515" s="18">
        <v>96.8</v>
      </c>
      <c r="G515" s="18">
        <v>43.4</v>
      </c>
      <c r="H515" s="18">
        <v>6.6</v>
      </c>
    </row>
    <row r="516" spans="1:8" x14ac:dyDescent="0.25">
      <c r="A516" s="11">
        <v>2006</v>
      </c>
      <c r="B516" s="11" t="s">
        <v>241</v>
      </c>
      <c r="C516" s="18">
        <v>29.2</v>
      </c>
      <c r="D516" s="18">
        <v>54.4</v>
      </c>
      <c r="E516" s="18">
        <v>69.7</v>
      </c>
      <c r="F516" s="18">
        <v>79.2</v>
      </c>
      <c r="G516" s="18">
        <v>47.8</v>
      </c>
      <c r="H516" s="18">
        <v>9.6999999999999993</v>
      </c>
    </row>
    <row r="517" spans="1:8" x14ac:dyDescent="0.25">
      <c r="A517" s="11">
        <v>2006</v>
      </c>
      <c r="B517" s="11" t="s">
        <v>242</v>
      </c>
      <c r="C517" s="18">
        <v>23.6</v>
      </c>
      <c r="D517" s="18">
        <v>77.8</v>
      </c>
      <c r="E517" s="18">
        <v>96.6</v>
      </c>
      <c r="F517" s="18">
        <v>94.1</v>
      </c>
      <c r="G517" s="18">
        <v>43.6</v>
      </c>
      <c r="H517" s="18">
        <v>10.4</v>
      </c>
    </row>
    <row r="518" spans="1:8" x14ac:dyDescent="0.25">
      <c r="A518" s="11">
        <v>2006</v>
      </c>
      <c r="B518" s="11" t="s">
        <v>243</v>
      </c>
      <c r="C518" s="18">
        <v>31</v>
      </c>
      <c r="D518" s="18">
        <v>71.8</v>
      </c>
      <c r="E518" s="18">
        <v>92</v>
      </c>
      <c r="F518" s="18">
        <v>94.9</v>
      </c>
      <c r="G518" s="18">
        <v>38.799999999999997</v>
      </c>
      <c r="H518" s="18">
        <v>7.2</v>
      </c>
    </row>
    <row r="519" spans="1:8" x14ac:dyDescent="0.25">
      <c r="A519" s="11">
        <v>2006</v>
      </c>
      <c r="B519" s="11" t="s">
        <v>244</v>
      </c>
      <c r="C519" s="18">
        <v>23.3</v>
      </c>
      <c r="D519" s="18">
        <v>66.900000000000006</v>
      </c>
      <c r="E519" s="18">
        <v>112.9</v>
      </c>
      <c r="F519" s="18">
        <v>108.5</v>
      </c>
      <c r="G519" s="18">
        <v>45.6</v>
      </c>
      <c r="H519" s="18">
        <v>9</v>
      </c>
    </row>
    <row r="520" spans="1:8" x14ac:dyDescent="0.25">
      <c r="A520" s="11">
        <v>2006</v>
      </c>
      <c r="B520" s="11" t="s">
        <v>245</v>
      </c>
      <c r="C520" s="18">
        <v>25.4</v>
      </c>
      <c r="D520" s="18">
        <v>75</v>
      </c>
      <c r="E520" s="18">
        <v>115.4</v>
      </c>
      <c r="F520" s="18">
        <v>82.2</v>
      </c>
      <c r="G520" s="18">
        <v>35.5</v>
      </c>
      <c r="H520" s="18">
        <v>9.5</v>
      </c>
    </row>
    <row r="521" spans="1:8" x14ac:dyDescent="0.25">
      <c r="A521" s="11">
        <v>2006</v>
      </c>
      <c r="B521" s="11" t="s">
        <v>246</v>
      </c>
      <c r="C521" s="18">
        <v>25.3</v>
      </c>
      <c r="D521" s="18">
        <v>60.6</v>
      </c>
      <c r="E521" s="18">
        <v>109.9</v>
      </c>
      <c r="F521" s="18">
        <v>101.9</v>
      </c>
      <c r="G521" s="18">
        <v>71.7</v>
      </c>
      <c r="H521" s="18">
        <v>12.2</v>
      </c>
    </row>
    <row r="522" spans="1:8" x14ac:dyDescent="0.25">
      <c r="A522" s="11">
        <v>2006</v>
      </c>
      <c r="B522" s="11" t="s">
        <v>247</v>
      </c>
      <c r="C522" s="18">
        <v>35.5</v>
      </c>
      <c r="D522" s="18">
        <v>82.9</v>
      </c>
      <c r="E522" s="18">
        <v>103.6</v>
      </c>
      <c r="F522" s="18">
        <v>95</v>
      </c>
      <c r="G522" s="18">
        <v>40.299999999999997</v>
      </c>
      <c r="H522" s="18">
        <v>5.8</v>
      </c>
    </row>
    <row r="523" spans="1:8" x14ac:dyDescent="0.25">
      <c r="A523" s="11">
        <v>2006</v>
      </c>
      <c r="B523" s="11" t="s">
        <v>248</v>
      </c>
      <c r="C523" s="18">
        <v>28.8</v>
      </c>
      <c r="D523" s="18">
        <v>80.7</v>
      </c>
      <c r="E523" s="18">
        <v>102.9</v>
      </c>
      <c r="F523" s="18">
        <v>95.4</v>
      </c>
      <c r="G523" s="18">
        <v>41.9</v>
      </c>
      <c r="H523" s="18">
        <v>7.6</v>
      </c>
    </row>
    <row r="524" spans="1:8" x14ac:dyDescent="0.25">
      <c r="A524" s="11">
        <v>2006</v>
      </c>
      <c r="B524" s="11" t="s">
        <v>249</v>
      </c>
      <c r="C524" s="18">
        <v>12.6</v>
      </c>
      <c r="D524" s="18">
        <v>94.1</v>
      </c>
      <c r="E524" s="18">
        <v>121</v>
      </c>
      <c r="F524" s="18">
        <v>127.9</v>
      </c>
      <c r="G524" s="18">
        <v>42.7</v>
      </c>
      <c r="H524" s="18">
        <v>5</v>
      </c>
    </row>
    <row r="525" spans="1:8" x14ac:dyDescent="0.25">
      <c r="A525" s="11">
        <v>2006</v>
      </c>
      <c r="B525" s="11" t="s">
        <v>250</v>
      </c>
      <c r="C525" s="18">
        <v>20</v>
      </c>
      <c r="D525" s="18">
        <v>67.2</v>
      </c>
      <c r="E525" s="18">
        <v>96</v>
      </c>
      <c r="F525" s="18">
        <v>98.5</v>
      </c>
      <c r="G525" s="18">
        <v>50.2</v>
      </c>
      <c r="H525" s="18">
        <v>10.199999999999999</v>
      </c>
    </row>
    <row r="526" spans="1:8" x14ac:dyDescent="0.25">
      <c r="A526" s="11">
        <v>2006</v>
      </c>
      <c r="B526" s="11" t="s">
        <v>251</v>
      </c>
      <c r="C526" s="18">
        <v>26.4</v>
      </c>
      <c r="D526" s="18">
        <v>62.7</v>
      </c>
      <c r="E526" s="18">
        <v>92.9</v>
      </c>
      <c r="F526" s="18">
        <v>93.8</v>
      </c>
      <c r="G526" s="18">
        <v>48.2</v>
      </c>
      <c r="H526" s="18">
        <v>9.1</v>
      </c>
    </row>
    <row r="527" spans="1:8" x14ac:dyDescent="0.25">
      <c r="A527" s="11">
        <v>2006</v>
      </c>
      <c r="B527" s="11" t="s">
        <v>252</v>
      </c>
      <c r="C527" s="18">
        <v>24.4</v>
      </c>
      <c r="D527" s="18">
        <v>68.5</v>
      </c>
      <c r="E527" s="18">
        <v>104.8</v>
      </c>
      <c r="F527" s="18">
        <v>106.6</v>
      </c>
      <c r="G527" s="18">
        <v>58</v>
      </c>
      <c r="H527" s="18">
        <v>11.9</v>
      </c>
    </row>
    <row r="528" spans="1:8" x14ac:dyDescent="0.25">
      <c r="A528" s="11">
        <v>2006</v>
      </c>
      <c r="B528" s="11" t="s">
        <v>253</v>
      </c>
      <c r="C528" s="18">
        <v>22.3</v>
      </c>
      <c r="D528" s="18">
        <v>82.3</v>
      </c>
      <c r="E528" s="18">
        <v>130.19999999999999</v>
      </c>
      <c r="F528" s="18">
        <v>103.6</v>
      </c>
      <c r="G528" s="18">
        <v>60.8</v>
      </c>
      <c r="H528" s="18">
        <v>11.3</v>
      </c>
    </row>
    <row r="529" spans="1:8" x14ac:dyDescent="0.25">
      <c r="A529" s="11">
        <v>2006</v>
      </c>
      <c r="B529" s="11" t="s">
        <v>254</v>
      </c>
      <c r="C529" s="18">
        <v>28.4</v>
      </c>
      <c r="D529" s="18">
        <v>70.5</v>
      </c>
      <c r="E529" s="18">
        <v>86.9</v>
      </c>
      <c r="F529" s="18">
        <v>93.1</v>
      </c>
      <c r="G529" s="18">
        <v>38.4</v>
      </c>
      <c r="H529" s="18">
        <v>8.8000000000000007</v>
      </c>
    </row>
    <row r="530" spans="1:8" x14ac:dyDescent="0.25">
      <c r="A530" s="11">
        <v>2006</v>
      </c>
      <c r="B530" s="11" t="s">
        <v>255</v>
      </c>
      <c r="C530" s="18">
        <v>24.5</v>
      </c>
      <c r="D530" s="18">
        <v>63.3</v>
      </c>
      <c r="E530" s="18">
        <v>103.9</v>
      </c>
      <c r="F530" s="18">
        <v>106.1</v>
      </c>
      <c r="G530" s="18">
        <v>49.1</v>
      </c>
      <c r="H530" s="18">
        <v>7.8</v>
      </c>
    </row>
    <row r="531" spans="1:8" x14ac:dyDescent="0.25">
      <c r="A531" s="11">
        <v>2006</v>
      </c>
      <c r="B531" s="11" t="s">
        <v>256</v>
      </c>
      <c r="C531" s="18">
        <v>15.7</v>
      </c>
      <c r="D531" s="18">
        <v>43.5</v>
      </c>
      <c r="E531" s="18">
        <v>91</v>
      </c>
      <c r="F531" s="18">
        <v>103.9</v>
      </c>
      <c r="G531" s="18">
        <v>57.9</v>
      </c>
      <c r="H531" s="18">
        <v>9.1999999999999993</v>
      </c>
    </row>
    <row r="532" spans="1:8" x14ac:dyDescent="0.25">
      <c r="A532" s="11">
        <v>2006</v>
      </c>
      <c r="B532" s="11" t="s">
        <v>257</v>
      </c>
      <c r="C532" s="18">
        <v>35.6</v>
      </c>
      <c r="D532" s="18">
        <v>89.4</v>
      </c>
      <c r="E532" s="18">
        <v>84.3</v>
      </c>
      <c r="F532" s="18">
        <v>86</v>
      </c>
      <c r="G532" s="18">
        <v>41.2</v>
      </c>
      <c r="H532" s="18">
        <v>6.2</v>
      </c>
    </row>
    <row r="533" spans="1:8" x14ac:dyDescent="0.25">
      <c r="A533" s="11">
        <v>2006</v>
      </c>
      <c r="B533" s="11" t="s">
        <v>258</v>
      </c>
      <c r="C533" s="18">
        <v>27.9</v>
      </c>
      <c r="D533" s="18">
        <v>82.7</v>
      </c>
      <c r="E533" s="18">
        <v>113.6</v>
      </c>
      <c r="F533" s="18">
        <v>103.2</v>
      </c>
      <c r="G533" s="18">
        <v>46.9</v>
      </c>
      <c r="H533" s="18">
        <v>6.9</v>
      </c>
    </row>
    <row r="534" spans="1:8" x14ac:dyDescent="0.25">
      <c r="A534" s="11">
        <v>2007</v>
      </c>
      <c r="B534" s="11" t="s">
        <v>11</v>
      </c>
      <c r="C534" s="18">
        <v>26.5</v>
      </c>
      <c r="D534" s="18">
        <v>63.3</v>
      </c>
      <c r="E534" s="18">
        <v>90.6</v>
      </c>
      <c r="F534" s="18">
        <v>98.1</v>
      </c>
      <c r="G534" s="18">
        <v>50.9</v>
      </c>
      <c r="H534" s="18">
        <v>9.1999999999999993</v>
      </c>
    </row>
    <row r="535" spans="1:8" x14ac:dyDescent="0.25">
      <c r="A535" s="11">
        <v>2007</v>
      </c>
      <c r="B535" s="11" t="s">
        <v>227</v>
      </c>
      <c r="C535" s="18">
        <v>23.3</v>
      </c>
      <c r="D535" s="18">
        <v>45</v>
      </c>
      <c r="E535" s="18">
        <v>72.7</v>
      </c>
      <c r="F535" s="18">
        <v>103.1</v>
      </c>
      <c r="G535" s="18">
        <v>48.8</v>
      </c>
      <c r="H535" s="18">
        <v>8.6</v>
      </c>
    </row>
    <row r="536" spans="1:8" x14ac:dyDescent="0.25">
      <c r="A536" s="11">
        <v>2007</v>
      </c>
      <c r="B536" s="11" t="s">
        <v>228</v>
      </c>
      <c r="C536" s="18">
        <v>16.399999999999999</v>
      </c>
      <c r="D536" s="18">
        <v>62.1</v>
      </c>
      <c r="E536" s="18">
        <v>124.3</v>
      </c>
      <c r="F536" s="18">
        <v>112.1</v>
      </c>
      <c r="G536" s="18">
        <v>53</v>
      </c>
      <c r="H536" s="18">
        <v>9.1999999999999993</v>
      </c>
    </row>
    <row r="537" spans="1:8" x14ac:dyDescent="0.25">
      <c r="A537" s="11">
        <v>2007</v>
      </c>
      <c r="B537" s="11" t="s">
        <v>229</v>
      </c>
      <c r="C537" s="18">
        <v>25</v>
      </c>
      <c r="D537" s="18">
        <v>77.7</v>
      </c>
      <c r="E537" s="18">
        <v>115.1</v>
      </c>
      <c r="F537" s="18">
        <v>98.6</v>
      </c>
      <c r="G537" s="18">
        <v>43.5</v>
      </c>
      <c r="H537" s="18">
        <v>6.9</v>
      </c>
    </row>
    <row r="538" spans="1:8" x14ac:dyDescent="0.25">
      <c r="A538" s="11">
        <v>2007</v>
      </c>
      <c r="B538" s="11" t="s">
        <v>230</v>
      </c>
      <c r="C538" s="18">
        <v>21.1</v>
      </c>
      <c r="D538" s="18">
        <v>69.900000000000006</v>
      </c>
      <c r="E538" s="18">
        <v>99.7</v>
      </c>
      <c r="F538" s="18">
        <v>88</v>
      </c>
      <c r="G538" s="18">
        <v>48.5</v>
      </c>
      <c r="H538" s="18">
        <v>8.5</v>
      </c>
    </row>
    <row r="539" spans="1:8" x14ac:dyDescent="0.25">
      <c r="A539" s="11">
        <v>2007</v>
      </c>
      <c r="B539" s="11" t="s">
        <v>231</v>
      </c>
      <c r="C539" s="18">
        <v>19.600000000000001</v>
      </c>
      <c r="D539" s="18">
        <v>33.700000000000003</v>
      </c>
      <c r="E539" s="18">
        <v>50.2</v>
      </c>
      <c r="F539" s="18">
        <v>89.7</v>
      </c>
      <c r="G539" s="18">
        <v>64.599999999999994</v>
      </c>
      <c r="H539" s="18">
        <v>14.2</v>
      </c>
    </row>
    <row r="540" spans="1:8" x14ac:dyDescent="0.25">
      <c r="A540" s="11">
        <v>2007</v>
      </c>
      <c r="B540" s="11" t="s">
        <v>232</v>
      </c>
      <c r="C540" s="18">
        <v>35.6</v>
      </c>
      <c r="D540" s="18">
        <v>84.9</v>
      </c>
      <c r="E540" s="18">
        <v>115.5</v>
      </c>
      <c r="F540" s="18">
        <v>108.5</v>
      </c>
      <c r="G540" s="18">
        <v>44.4</v>
      </c>
      <c r="H540" s="18">
        <v>10.199999999999999</v>
      </c>
    </row>
    <row r="541" spans="1:8" x14ac:dyDescent="0.25">
      <c r="A541" s="11">
        <v>2007</v>
      </c>
      <c r="B541" s="11" t="s">
        <v>233</v>
      </c>
      <c r="C541" s="18">
        <v>33.6</v>
      </c>
      <c r="D541" s="18">
        <v>90.2</v>
      </c>
      <c r="E541" s="18">
        <v>114.4</v>
      </c>
      <c r="F541" s="18">
        <v>97.6</v>
      </c>
      <c r="G541" s="18">
        <v>45</v>
      </c>
      <c r="H541" s="18">
        <v>9.1999999999999993</v>
      </c>
    </row>
    <row r="542" spans="1:8" x14ac:dyDescent="0.25">
      <c r="A542" s="11">
        <v>2007</v>
      </c>
      <c r="B542" s="11" t="s">
        <v>234</v>
      </c>
      <c r="C542" s="18">
        <v>32.6</v>
      </c>
      <c r="D542" s="18">
        <v>62.9</v>
      </c>
      <c r="E542" s="18">
        <v>92.5</v>
      </c>
      <c r="F542" s="18">
        <v>83.4</v>
      </c>
      <c r="G542" s="18">
        <v>40.1</v>
      </c>
      <c r="H542" s="18">
        <v>7.3</v>
      </c>
    </row>
    <row r="543" spans="1:8" x14ac:dyDescent="0.25">
      <c r="A543" s="11">
        <v>2007</v>
      </c>
      <c r="B543" s="11" t="s">
        <v>235</v>
      </c>
      <c r="C543" s="18">
        <v>33.9</v>
      </c>
      <c r="D543" s="18">
        <v>86.8</v>
      </c>
      <c r="E543" s="18">
        <v>91.3</v>
      </c>
      <c r="F543" s="18">
        <v>96.7</v>
      </c>
      <c r="G543" s="18">
        <v>39.4</v>
      </c>
      <c r="H543" s="18">
        <v>5.7</v>
      </c>
    </row>
    <row r="544" spans="1:8" x14ac:dyDescent="0.25">
      <c r="A544" s="11">
        <v>2007</v>
      </c>
      <c r="B544" s="11" t="s">
        <v>236</v>
      </c>
      <c r="C544" s="18">
        <v>9.4</v>
      </c>
      <c r="D544" s="18">
        <v>32.200000000000003</v>
      </c>
      <c r="E544" s="18">
        <v>84</v>
      </c>
      <c r="F544" s="18">
        <v>124.1</v>
      </c>
      <c r="G544" s="18">
        <v>62.7</v>
      </c>
      <c r="H544" s="18">
        <v>7.5</v>
      </c>
    </row>
    <row r="545" spans="1:8" x14ac:dyDescent="0.25">
      <c r="A545" s="11">
        <v>2007</v>
      </c>
      <c r="B545" s="11" t="s">
        <v>237</v>
      </c>
      <c r="C545" s="18">
        <v>23.5</v>
      </c>
      <c r="D545" s="18">
        <v>74.5</v>
      </c>
      <c r="E545" s="18">
        <v>99.8</v>
      </c>
      <c r="F545" s="18">
        <v>118.1</v>
      </c>
      <c r="G545" s="18">
        <v>68.2</v>
      </c>
      <c r="H545" s="18">
        <v>11.6</v>
      </c>
    </row>
    <row r="546" spans="1:8" x14ac:dyDescent="0.25">
      <c r="A546" s="11">
        <v>2007</v>
      </c>
      <c r="B546" s="11" t="s">
        <v>238</v>
      </c>
      <c r="C546" s="18">
        <v>11</v>
      </c>
      <c r="D546" s="18">
        <v>37.299999999999997</v>
      </c>
      <c r="E546" s="18">
        <v>102.9</v>
      </c>
      <c r="F546" s="18">
        <v>131.5</v>
      </c>
      <c r="G546" s="18">
        <v>68</v>
      </c>
      <c r="H546" s="18">
        <v>10.9</v>
      </c>
    </row>
    <row r="547" spans="1:8" x14ac:dyDescent="0.25">
      <c r="A547" s="11">
        <v>2007</v>
      </c>
      <c r="B547" s="11" t="s">
        <v>239</v>
      </c>
      <c r="C547" s="18">
        <v>34.299999999999997</v>
      </c>
      <c r="D547" s="18">
        <v>84.1</v>
      </c>
      <c r="E547" s="18">
        <v>96.6</v>
      </c>
      <c r="F547" s="18">
        <v>101.3</v>
      </c>
      <c r="G547" s="18">
        <v>53.3</v>
      </c>
      <c r="H547" s="18">
        <v>6.9</v>
      </c>
    </row>
    <row r="548" spans="1:8" x14ac:dyDescent="0.25">
      <c r="A548" s="11">
        <v>2007</v>
      </c>
      <c r="B548" s="11" t="s">
        <v>240</v>
      </c>
      <c r="C548" s="18">
        <v>28.2</v>
      </c>
      <c r="D548" s="18">
        <v>70.8</v>
      </c>
      <c r="E548" s="18">
        <v>110.7</v>
      </c>
      <c r="F548" s="18">
        <v>98.8</v>
      </c>
      <c r="G548" s="18">
        <v>44.7</v>
      </c>
      <c r="H548" s="18">
        <v>8.1</v>
      </c>
    </row>
    <row r="549" spans="1:8" x14ac:dyDescent="0.25">
      <c r="A549" s="11">
        <v>2007</v>
      </c>
      <c r="B549" s="11" t="s">
        <v>241</v>
      </c>
      <c r="C549" s="18">
        <v>29.2</v>
      </c>
      <c r="D549" s="18">
        <v>60.2</v>
      </c>
      <c r="E549" s="18">
        <v>76</v>
      </c>
      <c r="F549" s="18">
        <v>85.7</v>
      </c>
      <c r="G549" s="18">
        <v>49.6</v>
      </c>
      <c r="H549" s="18">
        <v>9.8000000000000007</v>
      </c>
    </row>
    <row r="550" spans="1:8" x14ac:dyDescent="0.25">
      <c r="A550" s="11">
        <v>2007</v>
      </c>
      <c r="B550" s="11" t="s">
        <v>242</v>
      </c>
      <c r="C550" s="18">
        <v>27.8</v>
      </c>
      <c r="D550" s="18">
        <v>81</v>
      </c>
      <c r="E550" s="18">
        <v>105.5</v>
      </c>
      <c r="F550" s="18">
        <v>94.2</v>
      </c>
      <c r="G550" s="18">
        <v>51.4</v>
      </c>
      <c r="H550" s="18">
        <v>10</v>
      </c>
    </row>
    <row r="551" spans="1:8" x14ac:dyDescent="0.25">
      <c r="A551" s="11">
        <v>2007</v>
      </c>
      <c r="B551" s="11" t="s">
        <v>243</v>
      </c>
      <c r="C551" s="18">
        <v>25.6</v>
      </c>
      <c r="D551" s="18">
        <v>76.8</v>
      </c>
      <c r="E551" s="18">
        <v>92.7</v>
      </c>
      <c r="F551" s="18">
        <v>98.9</v>
      </c>
      <c r="G551" s="18">
        <v>40.299999999999997</v>
      </c>
      <c r="H551" s="18">
        <v>9</v>
      </c>
    </row>
    <row r="552" spans="1:8" x14ac:dyDescent="0.25">
      <c r="A552" s="11">
        <v>2007</v>
      </c>
      <c r="B552" s="11" t="s">
        <v>244</v>
      </c>
      <c r="C552" s="18">
        <v>24.8</v>
      </c>
      <c r="D552" s="18">
        <v>76.400000000000006</v>
      </c>
      <c r="E552" s="18">
        <v>113.2</v>
      </c>
      <c r="F552" s="18">
        <v>102.8</v>
      </c>
      <c r="G552" s="18">
        <v>55.1</v>
      </c>
      <c r="H552" s="18">
        <v>12</v>
      </c>
    </row>
    <row r="553" spans="1:8" x14ac:dyDescent="0.25">
      <c r="A553" s="11">
        <v>2007</v>
      </c>
      <c r="B553" s="11" t="s">
        <v>245</v>
      </c>
      <c r="C553" s="18">
        <v>28.5</v>
      </c>
      <c r="D553" s="18">
        <v>86.8</v>
      </c>
      <c r="E553" s="18">
        <v>113.5</v>
      </c>
      <c r="F553" s="18">
        <v>87.7</v>
      </c>
      <c r="G553" s="18">
        <v>51.7</v>
      </c>
      <c r="H553" s="18">
        <v>9</v>
      </c>
    </row>
    <row r="554" spans="1:8" x14ac:dyDescent="0.25">
      <c r="A554" s="11">
        <v>2007</v>
      </c>
      <c r="B554" s="11" t="s">
        <v>246</v>
      </c>
      <c r="C554" s="18">
        <v>14.4</v>
      </c>
      <c r="D554" s="18">
        <v>75.5</v>
      </c>
      <c r="E554" s="18">
        <v>106</v>
      </c>
      <c r="F554" s="18">
        <v>115.1</v>
      </c>
      <c r="G554" s="18">
        <v>58.7</v>
      </c>
      <c r="H554" s="18">
        <v>8.1999999999999993</v>
      </c>
    </row>
    <row r="555" spans="1:8" x14ac:dyDescent="0.25">
      <c r="A555" s="11">
        <v>2007</v>
      </c>
      <c r="B555" s="11" t="s">
        <v>247</v>
      </c>
      <c r="C555" s="18">
        <v>39.5</v>
      </c>
      <c r="D555" s="18">
        <v>84</v>
      </c>
      <c r="E555" s="18">
        <v>106.8</v>
      </c>
      <c r="F555" s="18">
        <v>89.7</v>
      </c>
      <c r="G555" s="18">
        <v>43.1</v>
      </c>
      <c r="H555" s="18">
        <v>7.6</v>
      </c>
    </row>
    <row r="556" spans="1:8" x14ac:dyDescent="0.25">
      <c r="A556" s="11">
        <v>2007</v>
      </c>
      <c r="B556" s="11" t="s">
        <v>248</v>
      </c>
      <c r="C556" s="18">
        <v>35.6</v>
      </c>
      <c r="D556" s="18">
        <v>76.7</v>
      </c>
      <c r="E556" s="18">
        <v>105.1</v>
      </c>
      <c r="F556" s="18">
        <v>94.1</v>
      </c>
      <c r="G556" s="18">
        <v>42.9</v>
      </c>
      <c r="H556" s="18">
        <v>7</v>
      </c>
    </row>
    <row r="557" spans="1:8" x14ac:dyDescent="0.25">
      <c r="A557" s="11">
        <v>2007</v>
      </c>
      <c r="B557" s="11" t="s">
        <v>249</v>
      </c>
      <c r="C557" s="18">
        <v>24</v>
      </c>
      <c r="D557" s="18">
        <v>41.2</v>
      </c>
      <c r="E557" s="18">
        <v>94.8</v>
      </c>
      <c r="F557" s="18">
        <v>122.2</v>
      </c>
      <c r="G557" s="18">
        <v>49.5</v>
      </c>
      <c r="H557" s="18">
        <v>10.8</v>
      </c>
    </row>
    <row r="558" spans="1:8" x14ac:dyDescent="0.25">
      <c r="A558" s="11">
        <v>2007</v>
      </c>
      <c r="B558" s="11" t="s">
        <v>250</v>
      </c>
      <c r="C558" s="18">
        <v>22.7</v>
      </c>
      <c r="D558" s="18">
        <v>66</v>
      </c>
      <c r="E558" s="18">
        <v>94.1</v>
      </c>
      <c r="F558" s="18">
        <v>106.8</v>
      </c>
      <c r="G558" s="18">
        <v>55.5</v>
      </c>
      <c r="H558" s="18">
        <v>9.1</v>
      </c>
    </row>
    <row r="559" spans="1:8" x14ac:dyDescent="0.25">
      <c r="A559" s="11">
        <v>2007</v>
      </c>
      <c r="B559" s="11" t="s">
        <v>251</v>
      </c>
      <c r="C559" s="18">
        <v>26.2</v>
      </c>
      <c r="D559" s="18">
        <v>71</v>
      </c>
      <c r="E559" s="18">
        <v>93</v>
      </c>
      <c r="F559" s="18">
        <v>99.6</v>
      </c>
      <c r="G559" s="18">
        <v>46.8</v>
      </c>
      <c r="H559" s="18">
        <v>9.6</v>
      </c>
    </row>
    <row r="560" spans="1:8" x14ac:dyDescent="0.25">
      <c r="A560" s="11">
        <v>2007</v>
      </c>
      <c r="B560" s="11" t="s">
        <v>252</v>
      </c>
      <c r="C560" s="18">
        <v>25.5</v>
      </c>
      <c r="D560" s="18">
        <v>73.2</v>
      </c>
      <c r="E560" s="18">
        <v>118.7</v>
      </c>
      <c r="F560" s="18">
        <v>114.5</v>
      </c>
      <c r="G560" s="18">
        <v>57.1</v>
      </c>
      <c r="H560" s="18">
        <v>10.5</v>
      </c>
    </row>
    <row r="561" spans="1:8" x14ac:dyDescent="0.25">
      <c r="A561" s="11">
        <v>2007</v>
      </c>
      <c r="B561" s="11" t="s">
        <v>253</v>
      </c>
      <c r="C561" s="18">
        <v>15.3</v>
      </c>
      <c r="D561" s="18">
        <v>55.3</v>
      </c>
      <c r="E561" s="18">
        <v>111.9</v>
      </c>
      <c r="F561" s="18">
        <v>107.4</v>
      </c>
      <c r="G561" s="18">
        <v>66.2</v>
      </c>
      <c r="H561" s="18">
        <v>9.4</v>
      </c>
    </row>
    <row r="562" spans="1:8" x14ac:dyDescent="0.25">
      <c r="A562" s="11">
        <v>2007</v>
      </c>
      <c r="B562" s="11" t="s">
        <v>254</v>
      </c>
      <c r="C562" s="18">
        <v>28.4</v>
      </c>
      <c r="D562" s="18">
        <v>67.400000000000006</v>
      </c>
      <c r="E562" s="18">
        <v>91.6</v>
      </c>
      <c r="F562" s="18">
        <v>97.5</v>
      </c>
      <c r="G562" s="18">
        <v>45.1</v>
      </c>
      <c r="H562" s="18">
        <v>4.7</v>
      </c>
    </row>
    <row r="563" spans="1:8" x14ac:dyDescent="0.25">
      <c r="A563" s="11">
        <v>2007</v>
      </c>
      <c r="B563" s="11" t="s">
        <v>255</v>
      </c>
      <c r="C563" s="18">
        <v>23.8</v>
      </c>
      <c r="D563" s="18">
        <v>64.8</v>
      </c>
      <c r="E563" s="18">
        <v>95.7</v>
      </c>
      <c r="F563" s="18">
        <v>103.8</v>
      </c>
      <c r="G563" s="18">
        <v>51.4</v>
      </c>
      <c r="H563" s="18">
        <v>8.1999999999999993</v>
      </c>
    </row>
    <row r="564" spans="1:8" x14ac:dyDescent="0.25">
      <c r="A564" s="11">
        <v>2007</v>
      </c>
      <c r="B564" s="11" t="s">
        <v>256</v>
      </c>
      <c r="C564" s="18">
        <v>12.5</v>
      </c>
      <c r="D564" s="18">
        <v>41.9</v>
      </c>
      <c r="E564" s="18">
        <v>80.3</v>
      </c>
      <c r="F564" s="18">
        <v>107.3</v>
      </c>
      <c r="G564" s="18">
        <v>59.3</v>
      </c>
      <c r="H564" s="18">
        <v>10.6</v>
      </c>
    </row>
    <row r="565" spans="1:8" x14ac:dyDescent="0.25">
      <c r="A565" s="11">
        <v>2007</v>
      </c>
      <c r="B565" s="11" t="s">
        <v>257</v>
      </c>
      <c r="C565" s="18">
        <v>33.5</v>
      </c>
      <c r="D565" s="18">
        <v>82.6</v>
      </c>
      <c r="E565" s="18">
        <v>106.4</v>
      </c>
      <c r="F565" s="18">
        <v>94.8</v>
      </c>
      <c r="G565" s="18">
        <v>44</v>
      </c>
      <c r="H565" s="18">
        <v>8.4</v>
      </c>
    </row>
    <row r="566" spans="1:8" x14ac:dyDescent="0.25">
      <c r="A566" s="11">
        <v>2007</v>
      </c>
      <c r="B566" s="11" t="s">
        <v>258</v>
      </c>
      <c r="C566" s="18">
        <v>34.200000000000003</v>
      </c>
      <c r="D566" s="18">
        <v>80.900000000000006</v>
      </c>
      <c r="E566" s="18">
        <v>109.9</v>
      </c>
      <c r="F566" s="18">
        <v>105</v>
      </c>
      <c r="G566" s="18">
        <v>53.4</v>
      </c>
      <c r="H566" s="18">
        <v>10.199999999999999</v>
      </c>
    </row>
    <row r="567" spans="1:8" x14ac:dyDescent="0.25">
      <c r="A567" s="11">
        <v>2008</v>
      </c>
      <c r="B567" s="11" t="s">
        <v>11</v>
      </c>
      <c r="C567" s="18">
        <v>26.3</v>
      </c>
      <c r="D567" s="18">
        <v>65.2</v>
      </c>
      <c r="E567" s="18">
        <v>95.1</v>
      </c>
      <c r="F567" s="18">
        <v>102.6</v>
      </c>
      <c r="G567" s="18">
        <v>52.4</v>
      </c>
      <c r="H567" s="18">
        <v>10.199999999999999</v>
      </c>
    </row>
    <row r="568" spans="1:8" x14ac:dyDescent="0.25">
      <c r="A568" s="11">
        <v>2008</v>
      </c>
      <c r="B568" s="11" t="s">
        <v>227</v>
      </c>
      <c r="C568" s="18">
        <v>17.5</v>
      </c>
      <c r="D568" s="18">
        <v>51</v>
      </c>
      <c r="E568" s="18">
        <v>82.1</v>
      </c>
      <c r="F568" s="18">
        <v>102.8</v>
      </c>
      <c r="G568" s="18">
        <v>51.2</v>
      </c>
      <c r="H568" s="18">
        <v>10.4</v>
      </c>
    </row>
    <row r="569" spans="1:8" x14ac:dyDescent="0.25">
      <c r="A569" s="11">
        <v>2008</v>
      </c>
      <c r="B569" s="11" t="s">
        <v>228</v>
      </c>
      <c r="C569" s="18">
        <v>15.2</v>
      </c>
      <c r="D569" s="18">
        <v>62</v>
      </c>
      <c r="E569" s="18">
        <v>121.4</v>
      </c>
      <c r="F569" s="18">
        <v>120.2</v>
      </c>
      <c r="G569" s="18">
        <v>55.6</v>
      </c>
      <c r="H569" s="18">
        <v>11.1</v>
      </c>
    </row>
    <row r="570" spans="1:8" x14ac:dyDescent="0.25">
      <c r="A570" s="11">
        <v>2008</v>
      </c>
      <c r="B570" s="11" t="s">
        <v>229</v>
      </c>
      <c r="C570" s="18">
        <v>27</v>
      </c>
      <c r="D570" s="18">
        <v>72.3</v>
      </c>
      <c r="E570" s="18">
        <v>114.1</v>
      </c>
      <c r="F570" s="18">
        <v>109.2</v>
      </c>
      <c r="G570" s="18">
        <v>48.7</v>
      </c>
      <c r="H570" s="18">
        <v>7.4</v>
      </c>
    </row>
    <row r="571" spans="1:8" x14ac:dyDescent="0.25">
      <c r="A571" s="11">
        <v>2008</v>
      </c>
      <c r="B571" s="11" t="s">
        <v>230</v>
      </c>
      <c r="C571" s="18">
        <v>24.2</v>
      </c>
      <c r="D571" s="18">
        <v>81.5</v>
      </c>
      <c r="E571" s="18">
        <v>98</v>
      </c>
      <c r="F571" s="18">
        <v>101.7</v>
      </c>
      <c r="G571" s="18">
        <v>53.7</v>
      </c>
      <c r="H571" s="18">
        <v>12.3</v>
      </c>
    </row>
    <row r="572" spans="1:8" x14ac:dyDescent="0.25">
      <c r="A572" s="11">
        <v>2008</v>
      </c>
      <c r="B572" s="11" t="s">
        <v>231</v>
      </c>
      <c r="C572" s="18">
        <v>20.399999999999999</v>
      </c>
      <c r="D572" s="18">
        <v>35.200000000000003</v>
      </c>
      <c r="E572" s="18">
        <v>55.7</v>
      </c>
      <c r="F572" s="18">
        <v>96</v>
      </c>
      <c r="G572" s="18">
        <v>70.7</v>
      </c>
      <c r="H572" s="18">
        <v>15.4</v>
      </c>
    </row>
    <row r="573" spans="1:8" x14ac:dyDescent="0.25">
      <c r="A573" s="11">
        <v>2008</v>
      </c>
      <c r="B573" s="11" t="s">
        <v>232</v>
      </c>
      <c r="C573" s="18">
        <v>39.799999999999997</v>
      </c>
      <c r="D573" s="18">
        <v>99.7</v>
      </c>
      <c r="E573" s="18">
        <v>106.2</v>
      </c>
      <c r="F573" s="18">
        <v>120.4</v>
      </c>
      <c r="G573" s="18">
        <v>36.6</v>
      </c>
      <c r="H573" s="18">
        <v>6.5</v>
      </c>
    </row>
    <row r="574" spans="1:8" x14ac:dyDescent="0.25">
      <c r="A574" s="11">
        <v>2008</v>
      </c>
      <c r="B574" s="11" t="s">
        <v>233</v>
      </c>
      <c r="C574" s="18">
        <v>29.3</v>
      </c>
      <c r="D574" s="18">
        <v>84.2</v>
      </c>
      <c r="E574" s="18">
        <v>118.6</v>
      </c>
      <c r="F574" s="18">
        <v>93.7</v>
      </c>
      <c r="G574" s="18">
        <v>41.7</v>
      </c>
      <c r="H574" s="18">
        <v>6.1</v>
      </c>
    </row>
    <row r="575" spans="1:8" x14ac:dyDescent="0.25">
      <c r="A575" s="11">
        <v>2008</v>
      </c>
      <c r="B575" s="11" t="s">
        <v>234</v>
      </c>
      <c r="C575" s="18">
        <v>37.4</v>
      </c>
      <c r="D575" s="18">
        <v>66.3</v>
      </c>
      <c r="E575" s="18">
        <v>91.2</v>
      </c>
      <c r="F575" s="18">
        <v>95.9</v>
      </c>
      <c r="G575" s="18">
        <v>44</v>
      </c>
      <c r="H575" s="18">
        <v>7.9</v>
      </c>
    </row>
    <row r="576" spans="1:8" x14ac:dyDescent="0.25">
      <c r="A576" s="11">
        <v>2008</v>
      </c>
      <c r="B576" s="11" t="s">
        <v>235</v>
      </c>
      <c r="C576" s="18">
        <v>32.6</v>
      </c>
      <c r="D576" s="18">
        <v>89.3</v>
      </c>
      <c r="E576" s="18">
        <v>111.9</v>
      </c>
      <c r="F576" s="18">
        <v>91.9</v>
      </c>
      <c r="G576" s="18">
        <v>41</v>
      </c>
      <c r="H576" s="18">
        <v>6.1</v>
      </c>
    </row>
    <row r="577" spans="1:8" x14ac:dyDescent="0.25">
      <c r="A577" s="11">
        <v>2008</v>
      </c>
      <c r="B577" s="11" t="s">
        <v>236</v>
      </c>
      <c r="C577" s="18">
        <v>14.2</v>
      </c>
      <c r="D577" s="18">
        <v>36.9</v>
      </c>
      <c r="E577" s="18">
        <v>92.9</v>
      </c>
      <c r="F577" s="18">
        <v>141.9</v>
      </c>
      <c r="G577" s="18">
        <v>63.4</v>
      </c>
      <c r="H577" s="18">
        <v>9</v>
      </c>
    </row>
    <row r="578" spans="1:8" x14ac:dyDescent="0.25">
      <c r="A578" s="11">
        <v>2008</v>
      </c>
      <c r="B578" s="11" t="s">
        <v>237</v>
      </c>
      <c r="C578" s="18">
        <v>22</v>
      </c>
      <c r="D578" s="18">
        <v>74.7</v>
      </c>
      <c r="E578" s="18">
        <v>110.1</v>
      </c>
      <c r="F578" s="18">
        <v>128.30000000000001</v>
      </c>
      <c r="G578" s="18">
        <v>66.8</v>
      </c>
      <c r="H578" s="18">
        <v>15.6</v>
      </c>
    </row>
    <row r="579" spans="1:8" x14ac:dyDescent="0.25">
      <c r="A579" s="11">
        <v>2008</v>
      </c>
      <c r="B579" s="11" t="s">
        <v>238</v>
      </c>
      <c r="C579" s="18">
        <v>14</v>
      </c>
      <c r="D579" s="18">
        <v>37.700000000000003</v>
      </c>
      <c r="E579" s="18">
        <v>91.9</v>
      </c>
      <c r="F579" s="18">
        <v>134</v>
      </c>
      <c r="G579" s="18">
        <v>70.099999999999994</v>
      </c>
      <c r="H579" s="18">
        <v>12</v>
      </c>
    </row>
    <row r="580" spans="1:8" x14ac:dyDescent="0.25">
      <c r="A580" s="11">
        <v>2008</v>
      </c>
      <c r="B580" s="11" t="s">
        <v>239</v>
      </c>
      <c r="C580" s="18">
        <v>34.700000000000003</v>
      </c>
      <c r="D580" s="18">
        <v>84.3</v>
      </c>
      <c r="E580" s="18">
        <v>108.5</v>
      </c>
      <c r="F580" s="18">
        <v>105.3</v>
      </c>
      <c r="G580" s="18">
        <v>48.4</v>
      </c>
      <c r="H580" s="18">
        <v>9.1</v>
      </c>
    </row>
    <row r="581" spans="1:8" x14ac:dyDescent="0.25">
      <c r="A581" s="11">
        <v>2008</v>
      </c>
      <c r="B581" s="11" t="s">
        <v>240</v>
      </c>
      <c r="C581" s="18">
        <v>33.5</v>
      </c>
      <c r="D581" s="18">
        <v>74.5</v>
      </c>
      <c r="E581" s="18">
        <v>115.7</v>
      </c>
      <c r="F581" s="18">
        <v>106.7</v>
      </c>
      <c r="G581" s="18">
        <v>46.9</v>
      </c>
      <c r="H581" s="18">
        <v>10.3</v>
      </c>
    </row>
    <row r="582" spans="1:8" x14ac:dyDescent="0.25">
      <c r="A582" s="11">
        <v>2008</v>
      </c>
      <c r="B582" s="11" t="s">
        <v>241</v>
      </c>
      <c r="C582" s="18">
        <v>27.4</v>
      </c>
      <c r="D582" s="18">
        <v>59.2</v>
      </c>
      <c r="E582" s="18">
        <v>81.8</v>
      </c>
      <c r="F582" s="18">
        <v>85.9</v>
      </c>
      <c r="G582" s="18">
        <v>49.6</v>
      </c>
      <c r="H582" s="18">
        <v>11.1</v>
      </c>
    </row>
    <row r="583" spans="1:8" x14ac:dyDescent="0.25">
      <c r="A583" s="11">
        <v>2008</v>
      </c>
      <c r="B583" s="11" t="s">
        <v>242</v>
      </c>
      <c r="C583" s="18">
        <v>27.6</v>
      </c>
      <c r="D583" s="18">
        <v>88</v>
      </c>
      <c r="E583" s="18">
        <v>110.7</v>
      </c>
      <c r="F583" s="18">
        <v>101.2</v>
      </c>
      <c r="G583" s="18">
        <v>51.3</v>
      </c>
      <c r="H583" s="18">
        <v>12.2</v>
      </c>
    </row>
    <row r="584" spans="1:8" x14ac:dyDescent="0.25">
      <c r="A584" s="11">
        <v>2008</v>
      </c>
      <c r="B584" s="11" t="s">
        <v>243</v>
      </c>
      <c r="C584" s="18">
        <v>35.6</v>
      </c>
      <c r="D584" s="18">
        <v>71.400000000000006</v>
      </c>
      <c r="E584" s="18">
        <v>98.9</v>
      </c>
      <c r="F584" s="18">
        <v>94.7</v>
      </c>
      <c r="G584" s="18">
        <v>42.1</v>
      </c>
      <c r="H584" s="18">
        <v>6.4</v>
      </c>
    </row>
    <row r="585" spans="1:8" x14ac:dyDescent="0.25">
      <c r="A585" s="11">
        <v>2008</v>
      </c>
      <c r="B585" s="11" t="s">
        <v>244</v>
      </c>
      <c r="C585" s="18">
        <v>24.2</v>
      </c>
      <c r="D585" s="18">
        <v>86.5</v>
      </c>
      <c r="E585" s="18">
        <v>109.6</v>
      </c>
      <c r="F585" s="18">
        <v>102.8</v>
      </c>
      <c r="G585" s="18">
        <v>52.2</v>
      </c>
      <c r="H585" s="18">
        <v>8.8000000000000007</v>
      </c>
    </row>
    <row r="586" spans="1:8" x14ac:dyDescent="0.25">
      <c r="A586" s="11">
        <v>2008</v>
      </c>
      <c r="B586" s="11" t="s">
        <v>245</v>
      </c>
      <c r="C586" s="18">
        <v>19.5</v>
      </c>
      <c r="D586" s="18">
        <v>84.1</v>
      </c>
      <c r="E586" s="18">
        <v>103.5</v>
      </c>
      <c r="F586" s="18">
        <v>100</v>
      </c>
      <c r="G586" s="18">
        <v>46.6</v>
      </c>
      <c r="H586" s="18">
        <v>7.8</v>
      </c>
    </row>
    <row r="587" spans="1:8" x14ac:dyDescent="0.25">
      <c r="A587" s="11">
        <v>2008</v>
      </c>
      <c r="B587" s="11" t="s">
        <v>246</v>
      </c>
      <c r="C587" s="18">
        <v>27.1</v>
      </c>
      <c r="D587" s="18">
        <v>63.2</v>
      </c>
      <c r="E587" s="18">
        <v>94.8</v>
      </c>
      <c r="F587" s="18">
        <v>105.6</v>
      </c>
      <c r="G587" s="18">
        <v>61.8</v>
      </c>
      <c r="H587" s="18">
        <v>11.9</v>
      </c>
    </row>
    <row r="588" spans="1:8" x14ac:dyDescent="0.25">
      <c r="A588" s="11">
        <v>2008</v>
      </c>
      <c r="B588" s="11" t="s">
        <v>247</v>
      </c>
      <c r="C588" s="18">
        <v>33.799999999999997</v>
      </c>
      <c r="D588" s="18">
        <v>79.099999999999994</v>
      </c>
      <c r="E588" s="18">
        <v>111.4</v>
      </c>
      <c r="F588" s="18">
        <v>89.1</v>
      </c>
      <c r="G588" s="18">
        <v>40.200000000000003</v>
      </c>
      <c r="H588" s="18">
        <v>8</v>
      </c>
    </row>
    <row r="589" spans="1:8" x14ac:dyDescent="0.25">
      <c r="A589" s="11">
        <v>2008</v>
      </c>
      <c r="B589" s="11" t="s">
        <v>248</v>
      </c>
      <c r="C589" s="18">
        <v>30.4</v>
      </c>
      <c r="D589" s="18">
        <v>81.3</v>
      </c>
      <c r="E589" s="18">
        <v>103.9</v>
      </c>
      <c r="F589" s="18">
        <v>103.1</v>
      </c>
      <c r="G589" s="18">
        <v>45.5</v>
      </c>
      <c r="H589" s="18">
        <v>9</v>
      </c>
    </row>
    <row r="590" spans="1:8" x14ac:dyDescent="0.25">
      <c r="A590" s="11">
        <v>2008</v>
      </c>
      <c r="B590" s="11" t="s">
        <v>249</v>
      </c>
      <c r="C590" s="18">
        <v>23.1</v>
      </c>
      <c r="D590" s="18">
        <v>86.9</v>
      </c>
      <c r="E590" s="18">
        <v>113.3</v>
      </c>
      <c r="F590" s="18">
        <v>93.6</v>
      </c>
      <c r="G590" s="18">
        <v>60.1</v>
      </c>
      <c r="H590" s="18">
        <v>13</v>
      </c>
    </row>
    <row r="591" spans="1:8" x14ac:dyDescent="0.25">
      <c r="A591" s="11">
        <v>2008</v>
      </c>
      <c r="B591" s="11" t="s">
        <v>250</v>
      </c>
      <c r="C591" s="18">
        <v>25.1</v>
      </c>
      <c r="D591" s="18">
        <v>65.099999999999994</v>
      </c>
      <c r="E591" s="18">
        <v>104.7</v>
      </c>
      <c r="F591" s="18">
        <v>108.9</v>
      </c>
      <c r="G591" s="18">
        <v>53.9</v>
      </c>
      <c r="H591" s="18">
        <v>10.4</v>
      </c>
    </row>
    <row r="592" spans="1:8" x14ac:dyDescent="0.25">
      <c r="A592" s="11">
        <v>2008</v>
      </c>
      <c r="B592" s="11" t="s">
        <v>251</v>
      </c>
      <c r="C592" s="18">
        <v>27.1</v>
      </c>
      <c r="D592" s="18">
        <v>72.5</v>
      </c>
      <c r="E592" s="18">
        <v>99.5</v>
      </c>
      <c r="F592" s="18">
        <v>104.5</v>
      </c>
      <c r="G592" s="18">
        <v>53.5</v>
      </c>
      <c r="H592" s="18">
        <v>10</v>
      </c>
    </row>
    <row r="593" spans="1:8" x14ac:dyDescent="0.25">
      <c r="A593" s="11">
        <v>2008</v>
      </c>
      <c r="B593" s="11" t="s">
        <v>252</v>
      </c>
      <c r="C593" s="18">
        <v>18.899999999999999</v>
      </c>
      <c r="D593" s="18">
        <v>68.5</v>
      </c>
      <c r="E593" s="18">
        <v>108.7</v>
      </c>
      <c r="F593" s="18">
        <v>119.7</v>
      </c>
      <c r="G593" s="18">
        <v>59.8</v>
      </c>
      <c r="H593" s="18">
        <v>10.3</v>
      </c>
    </row>
    <row r="594" spans="1:8" x14ac:dyDescent="0.25">
      <c r="A594" s="11">
        <v>2008</v>
      </c>
      <c r="B594" s="11" t="s">
        <v>253</v>
      </c>
      <c r="C594" s="18">
        <v>16.899999999999999</v>
      </c>
      <c r="D594" s="18">
        <v>89.3</v>
      </c>
      <c r="E594" s="18">
        <v>111.3</v>
      </c>
      <c r="F594" s="18">
        <v>137.9</v>
      </c>
      <c r="G594" s="18">
        <v>68.2</v>
      </c>
      <c r="H594" s="18">
        <v>7.1</v>
      </c>
    </row>
    <row r="595" spans="1:8" x14ac:dyDescent="0.25">
      <c r="A595" s="11">
        <v>2008</v>
      </c>
      <c r="B595" s="11" t="s">
        <v>254</v>
      </c>
      <c r="C595" s="18">
        <v>30</v>
      </c>
      <c r="D595" s="18">
        <v>65.400000000000006</v>
      </c>
      <c r="E595" s="18">
        <v>98.7</v>
      </c>
      <c r="F595" s="18">
        <v>92.8</v>
      </c>
      <c r="G595" s="18">
        <v>51.5</v>
      </c>
      <c r="H595" s="18">
        <v>8.1999999999999993</v>
      </c>
    </row>
    <row r="596" spans="1:8" x14ac:dyDescent="0.25">
      <c r="A596" s="11">
        <v>2008</v>
      </c>
      <c r="B596" s="11" t="s">
        <v>255</v>
      </c>
      <c r="C596" s="18">
        <v>26.4</v>
      </c>
      <c r="D596" s="18">
        <v>72.8</v>
      </c>
      <c r="E596" s="18">
        <v>108.2</v>
      </c>
      <c r="F596" s="18">
        <v>106.3</v>
      </c>
      <c r="G596" s="18">
        <v>53.1</v>
      </c>
      <c r="H596" s="18">
        <v>8.9</v>
      </c>
    </row>
    <row r="597" spans="1:8" x14ac:dyDescent="0.25">
      <c r="A597" s="11">
        <v>2008</v>
      </c>
      <c r="B597" s="11" t="s">
        <v>256</v>
      </c>
      <c r="C597" s="18">
        <v>12.1</v>
      </c>
      <c r="D597" s="18">
        <v>34.799999999999997</v>
      </c>
      <c r="E597" s="18">
        <v>82.7</v>
      </c>
      <c r="F597" s="18">
        <v>106</v>
      </c>
      <c r="G597" s="18">
        <v>65.8</v>
      </c>
      <c r="H597" s="18">
        <v>10.9</v>
      </c>
    </row>
    <row r="598" spans="1:8" x14ac:dyDescent="0.25">
      <c r="A598" s="11">
        <v>2008</v>
      </c>
      <c r="B598" s="11" t="s">
        <v>257</v>
      </c>
      <c r="C598" s="18">
        <v>37.4</v>
      </c>
      <c r="D598" s="18">
        <v>78.900000000000006</v>
      </c>
      <c r="E598" s="18">
        <v>110.7</v>
      </c>
      <c r="F598" s="18">
        <v>96.6</v>
      </c>
      <c r="G598" s="18">
        <v>40</v>
      </c>
      <c r="H598" s="18">
        <v>7.7</v>
      </c>
    </row>
    <row r="599" spans="1:8" x14ac:dyDescent="0.25">
      <c r="A599" s="11">
        <v>2008</v>
      </c>
      <c r="B599" s="11" t="s">
        <v>258</v>
      </c>
      <c r="C599" s="18">
        <v>28.4</v>
      </c>
      <c r="D599" s="18">
        <v>85.8</v>
      </c>
      <c r="E599" s="18">
        <v>113.4</v>
      </c>
      <c r="F599" s="18">
        <v>114.9</v>
      </c>
      <c r="G599" s="18">
        <v>52.5</v>
      </c>
      <c r="H599" s="18">
        <v>10.3</v>
      </c>
    </row>
    <row r="600" spans="1:8" x14ac:dyDescent="0.25">
      <c r="A600" s="11">
        <v>2009</v>
      </c>
      <c r="B600" s="11" t="s">
        <v>11</v>
      </c>
      <c r="C600" s="18">
        <v>24.3</v>
      </c>
      <c r="D600" s="18">
        <v>63.8</v>
      </c>
      <c r="E600" s="18">
        <v>93.8</v>
      </c>
      <c r="F600" s="18">
        <v>100.7</v>
      </c>
      <c r="G600" s="18">
        <v>52.6</v>
      </c>
      <c r="H600" s="18">
        <v>10.3</v>
      </c>
    </row>
    <row r="601" spans="1:8" x14ac:dyDescent="0.25">
      <c r="A601" s="11">
        <v>2009</v>
      </c>
      <c r="B601" s="11" t="s">
        <v>227</v>
      </c>
      <c r="C601" s="18">
        <v>17.899999999999999</v>
      </c>
      <c r="D601" s="18">
        <v>41.7</v>
      </c>
      <c r="E601" s="18">
        <v>76.8</v>
      </c>
      <c r="F601" s="18">
        <v>104.7</v>
      </c>
      <c r="G601" s="18">
        <v>57.5</v>
      </c>
      <c r="H601" s="18">
        <v>7.5</v>
      </c>
    </row>
    <row r="602" spans="1:8" x14ac:dyDescent="0.25">
      <c r="A602" s="11">
        <v>2009</v>
      </c>
      <c r="B602" s="11" t="s">
        <v>228</v>
      </c>
      <c r="C602" s="18">
        <v>15.9</v>
      </c>
      <c r="D602" s="18">
        <v>62.1</v>
      </c>
      <c r="E602" s="18">
        <v>127</v>
      </c>
      <c r="F602" s="18">
        <v>128.4</v>
      </c>
      <c r="G602" s="18">
        <v>59.2</v>
      </c>
      <c r="H602" s="18">
        <v>11.6</v>
      </c>
    </row>
    <row r="603" spans="1:8" x14ac:dyDescent="0.25">
      <c r="A603" s="11">
        <v>2009</v>
      </c>
      <c r="B603" s="11" t="s">
        <v>229</v>
      </c>
      <c r="C603" s="18">
        <v>25.3</v>
      </c>
      <c r="D603" s="18">
        <v>80.3</v>
      </c>
      <c r="E603" s="18">
        <v>113.5</v>
      </c>
      <c r="F603" s="18">
        <v>99.6</v>
      </c>
      <c r="G603" s="18">
        <v>44.2</v>
      </c>
      <c r="H603" s="18">
        <v>9.3000000000000007</v>
      </c>
    </row>
    <row r="604" spans="1:8" x14ac:dyDescent="0.25">
      <c r="A604" s="11">
        <v>2009</v>
      </c>
      <c r="B604" s="11" t="s">
        <v>230</v>
      </c>
      <c r="C604" s="18">
        <v>21.4</v>
      </c>
      <c r="D604" s="18">
        <v>75.400000000000006</v>
      </c>
      <c r="E604" s="18">
        <v>110.5</v>
      </c>
      <c r="F604" s="18">
        <v>107.8</v>
      </c>
      <c r="G604" s="18">
        <v>54.7</v>
      </c>
      <c r="H604" s="18">
        <v>12.8</v>
      </c>
    </row>
    <row r="605" spans="1:8" x14ac:dyDescent="0.25">
      <c r="A605" s="11">
        <v>2009</v>
      </c>
      <c r="B605" s="11" t="s">
        <v>231</v>
      </c>
      <c r="C605" s="18">
        <v>17.600000000000001</v>
      </c>
      <c r="D605" s="18">
        <v>33.9</v>
      </c>
      <c r="E605" s="18">
        <v>57</v>
      </c>
      <c r="F605" s="18">
        <v>96.1</v>
      </c>
      <c r="G605" s="18">
        <v>72.8</v>
      </c>
      <c r="H605" s="18">
        <v>14.5</v>
      </c>
    </row>
    <row r="606" spans="1:8" x14ac:dyDescent="0.25">
      <c r="A606" s="11">
        <v>2009</v>
      </c>
      <c r="B606" s="11" t="s">
        <v>232</v>
      </c>
      <c r="C606" s="18">
        <v>44.6</v>
      </c>
      <c r="D606" s="18">
        <v>94.9</v>
      </c>
      <c r="E606" s="18">
        <v>107.8</v>
      </c>
      <c r="F606" s="18">
        <v>87.7</v>
      </c>
      <c r="G606" s="18">
        <v>47.3</v>
      </c>
      <c r="H606" s="18">
        <v>7.9</v>
      </c>
    </row>
    <row r="607" spans="1:8" x14ac:dyDescent="0.25">
      <c r="A607" s="11">
        <v>2009</v>
      </c>
      <c r="B607" s="11" t="s">
        <v>233</v>
      </c>
      <c r="C607" s="18">
        <v>31</v>
      </c>
      <c r="D607" s="18">
        <v>95.2</v>
      </c>
      <c r="E607" s="18">
        <v>117</v>
      </c>
      <c r="F607" s="18">
        <v>93.5</v>
      </c>
      <c r="G607" s="18">
        <v>44.9</v>
      </c>
      <c r="H607" s="18">
        <v>9.9</v>
      </c>
    </row>
    <row r="608" spans="1:8" x14ac:dyDescent="0.25">
      <c r="A608" s="11">
        <v>2009</v>
      </c>
      <c r="B608" s="11" t="s">
        <v>234</v>
      </c>
      <c r="C608" s="18">
        <v>30.6</v>
      </c>
      <c r="D608" s="18">
        <v>63.4</v>
      </c>
      <c r="E608" s="18">
        <v>93.4</v>
      </c>
      <c r="F608" s="18">
        <v>86.6</v>
      </c>
      <c r="G608" s="18">
        <v>45</v>
      </c>
      <c r="H608" s="18">
        <v>10.3</v>
      </c>
    </row>
    <row r="609" spans="1:8" x14ac:dyDescent="0.25">
      <c r="A609" s="11">
        <v>2009</v>
      </c>
      <c r="B609" s="11" t="s">
        <v>235</v>
      </c>
      <c r="C609" s="18">
        <v>30.1</v>
      </c>
      <c r="D609" s="18">
        <v>88.5</v>
      </c>
      <c r="E609" s="18">
        <v>104.2</v>
      </c>
      <c r="F609" s="18">
        <v>98.3</v>
      </c>
      <c r="G609" s="18">
        <v>40.299999999999997</v>
      </c>
      <c r="H609" s="18">
        <v>6.3</v>
      </c>
    </row>
    <row r="610" spans="1:8" x14ac:dyDescent="0.25">
      <c r="A610" s="11">
        <v>2009</v>
      </c>
      <c r="B610" s="11" t="s">
        <v>236</v>
      </c>
      <c r="C610" s="18">
        <v>14</v>
      </c>
      <c r="D610" s="18">
        <v>40.6</v>
      </c>
      <c r="E610" s="18">
        <v>91.8</v>
      </c>
      <c r="F610" s="18">
        <v>125.5</v>
      </c>
      <c r="G610" s="18">
        <v>61.8</v>
      </c>
      <c r="H610" s="18">
        <v>12.5</v>
      </c>
    </row>
    <row r="611" spans="1:8" x14ac:dyDescent="0.25">
      <c r="A611" s="11">
        <v>2009</v>
      </c>
      <c r="B611" s="11" t="s">
        <v>237</v>
      </c>
      <c r="C611" s="18">
        <v>22.5</v>
      </c>
      <c r="D611" s="18">
        <v>67.5</v>
      </c>
      <c r="E611" s="18">
        <v>101.4</v>
      </c>
      <c r="F611" s="18">
        <v>106.8</v>
      </c>
      <c r="G611" s="18">
        <v>62.2</v>
      </c>
      <c r="H611" s="18">
        <v>13.7</v>
      </c>
    </row>
    <row r="612" spans="1:8" x14ac:dyDescent="0.25">
      <c r="A612" s="11">
        <v>2009</v>
      </c>
      <c r="B612" s="11" t="s">
        <v>238</v>
      </c>
      <c r="C612" s="18">
        <v>6.2</v>
      </c>
      <c r="D612" s="18">
        <v>39.299999999999997</v>
      </c>
      <c r="E612" s="18">
        <v>96.1</v>
      </c>
      <c r="F612" s="18">
        <v>131.69999999999999</v>
      </c>
      <c r="G612" s="18">
        <v>72.8</v>
      </c>
      <c r="H612" s="18">
        <v>12.9</v>
      </c>
    </row>
    <row r="613" spans="1:8" x14ac:dyDescent="0.25">
      <c r="A613" s="11">
        <v>2009</v>
      </c>
      <c r="B613" s="11" t="s">
        <v>239</v>
      </c>
      <c r="C613" s="18">
        <v>29.2</v>
      </c>
      <c r="D613" s="18">
        <v>81.400000000000006</v>
      </c>
      <c r="E613" s="18">
        <v>105.3</v>
      </c>
      <c r="F613" s="18">
        <v>98.9</v>
      </c>
      <c r="G613" s="18">
        <v>53.1</v>
      </c>
      <c r="H613" s="18">
        <v>10.5</v>
      </c>
    </row>
    <row r="614" spans="1:8" x14ac:dyDescent="0.25">
      <c r="A614" s="11">
        <v>2009</v>
      </c>
      <c r="B614" s="11" t="s">
        <v>240</v>
      </c>
      <c r="C614" s="18">
        <v>30.7</v>
      </c>
      <c r="D614" s="18">
        <v>72</v>
      </c>
      <c r="E614" s="18">
        <v>112</v>
      </c>
      <c r="F614" s="18">
        <v>101.9</v>
      </c>
      <c r="G614" s="18">
        <v>43.9</v>
      </c>
      <c r="H614" s="18">
        <v>8.8000000000000007</v>
      </c>
    </row>
    <row r="615" spans="1:8" x14ac:dyDescent="0.25">
      <c r="A615" s="11">
        <v>2009</v>
      </c>
      <c r="B615" s="11" t="s">
        <v>241</v>
      </c>
      <c r="C615" s="18">
        <v>25.5</v>
      </c>
      <c r="D615" s="18">
        <v>57.8</v>
      </c>
      <c r="E615" s="18">
        <v>80.2</v>
      </c>
      <c r="F615" s="18">
        <v>91</v>
      </c>
      <c r="G615" s="18">
        <v>51.2</v>
      </c>
      <c r="H615" s="18">
        <v>12.2</v>
      </c>
    </row>
    <row r="616" spans="1:8" x14ac:dyDescent="0.25">
      <c r="A616" s="11">
        <v>2009</v>
      </c>
      <c r="B616" s="11" t="s">
        <v>242</v>
      </c>
      <c r="C616" s="18">
        <v>26.1</v>
      </c>
      <c r="D616" s="18">
        <v>81.7</v>
      </c>
      <c r="E616" s="18">
        <v>108</v>
      </c>
      <c r="F616" s="18">
        <v>94.9</v>
      </c>
      <c r="G616" s="18">
        <v>50.1</v>
      </c>
      <c r="H616" s="18">
        <v>10.9</v>
      </c>
    </row>
    <row r="617" spans="1:8" x14ac:dyDescent="0.25">
      <c r="A617" s="11">
        <v>2009</v>
      </c>
      <c r="B617" s="11" t="s">
        <v>243</v>
      </c>
      <c r="C617" s="18">
        <v>23.2</v>
      </c>
      <c r="D617" s="18">
        <v>76.599999999999994</v>
      </c>
      <c r="E617" s="18">
        <v>87.9</v>
      </c>
      <c r="F617" s="18">
        <v>94</v>
      </c>
      <c r="G617" s="18">
        <v>42.7</v>
      </c>
      <c r="H617" s="18">
        <v>8.9</v>
      </c>
    </row>
    <row r="618" spans="1:8" x14ac:dyDescent="0.25">
      <c r="A618" s="11">
        <v>2009</v>
      </c>
      <c r="B618" s="11" t="s">
        <v>244</v>
      </c>
      <c r="C618" s="18">
        <v>24.3</v>
      </c>
      <c r="D618" s="18">
        <v>74.8</v>
      </c>
      <c r="E618" s="18">
        <v>111.1</v>
      </c>
      <c r="F618" s="18">
        <v>109.2</v>
      </c>
      <c r="G618" s="18">
        <v>56.5</v>
      </c>
      <c r="H618" s="18">
        <v>9.6999999999999993</v>
      </c>
    </row>
    <row r="619" spans="1:8" x14ac:dyDescent="0.25">
      <c r="A619" s="11">
        <v>2009</v>
      </c>
      <c r="B619" s="11" t="s">
        <v>245</v>
      </c>
      <c r="C619" s="18">
        <v>28.1</v>
      </c>
      <c r="D619" s="18">
        <v>76.599999999999994</v>
      </c>
      <c r="E619" s="18">
        <v>101.8</v>
      </c>
      <c r="F619" s="18">
        <v>99.4</v>
      </c>
      <c r="G619" s="18">
        <v>48.2</v>
      </c>
      <c r="H619" s="18">
        <v>9.1</v>
      </c>
    </row>
    <row r="620" spans="1:8" x14ac:dyDescent="0.25">
      <c r="A620" s="11">
        <v>2009</v>
      </c>
      <c r="B620" s="11" t="s">
        <v>246</v>
      </c>
      <c r="C620" s="18">
        <v>18.5</v>
      </c>
      <c r="D620" s="18">
        <v>68.599999999999994</v>
      </c>
      <c r="E620" s="18">
        <v>100.8</v>
      </c>
      <c r="F620" s="18">
        <v>80.8</v>
      </c>
      <c r="G620" s="18">
        <v>48.7</v>
      </c>
      <c r="H620" s="18">
        <v>14.8</v>
      </c>
    </row>
    <row r="621" spans="1:8" x14ac:dyDescent="0.25">
      <c r="A621" s="11">
        <v>2009</v>
      </c>
      <c r="B621" s="11" t="s">
        <v>247</v>
      </c>
      <c r="C621" s="18">
        <v>37.700000000000003</v>
      </c>
      <c r="D621" s="18">
        <v>85.2</v>
      </c>
      <c r="E621" s="18">
        <v>108.3</v>
      </c>
      <c r="F621" s="18">
        <v>91.7</v>
      </c>
      <c r="G621" s="18">
        <v>39.200000000000003</v>
      </c>
      <c r="H621" s="18">
        <v>7.4</v>
      </c>
    </row>
    <row r="622" spans="1:8" x14ac:dyDescent="0.25">
      <c r="A622" s="11">
        <v>2009</v>
      </c>
      <c r="B622" s="11" t="s">
        <v>248</v>
      </c>
      <c r="C622" s="18">
        <v>30.1</v>
      </c>
      <c r="D622" s="18">
        <v>80.099999999999994</v>
      </c>
      <c r="E622" s="18">
        <v>105.6</v>
      </c>
      <c r="F622" s="18">
        <v>94.6</v>
      </c>
      <c r="G622" s="18">
        <v>45</v>
      </c>
      <c r="H622" s="18">
        <v>8.3000000000000007</v>
      </c>
    </row>
    <row r="623" spans="1:8" x14ac:dyDescent="0.25">
      <c r="A623" s="11">
        <v>2009</v>
      </c>
      <c r="B623" s="11" t="s">
        <v>249</v>
      </c>
      <c r="C623" s="18">
        <v>10.5</v>
      </c>
      <c r="D623" s="18">
        <v>88.4</v>
      </c>
      <c r="E623" s="18">
        <v>110</v>
      </c>
      <c r="F623" s="18">
        <v>92.8</v>
      </c>
      <c r="G623" s="18">
        <v>51.6</v>
      </c>
      <c r="H623" s="18">
        <v>9.6</v>
      </c>
    </row>
    <row r="624" spans="1:8" x14ac:dyDescent="0.25">
      <c r="A624" s="11">
        <v>2009</v>
      </c>
      <c r="B624" s="11" t="s">
        <v>250</v>
      </c>
      <c r="C624" s="18">
        <v>22.5</v>
      </c>
      <c r="D624" s="18">
        <v>71.099999999999994</v>
      </c>
      <c r="E624" s="18">
        <v>104.1</v>
      </c>
      <c r="F624" s="18">
        <v>99.5</v>
      </c>
      <c r="G624" s="18">
        <v>55.5</v>
      </c>
      <c r="H624" s="18">
        <v>9.5</v>
      </c>
    </row>
    <row r="625" spans="1:8" x14ac:dyDescent="0.25">
      <c r="A625" s="11">
        <v>2009</v>
      </c>
      <c r="B625" s="11" t="s">
        <v>251</v>
      </c>
      <c r="C625" s="18">
        <v>24.4</v>
      </c>
      <c r="D625" s="18">
        <v>64.2</v>
      </c>
      <c r="E625" s="18">
        <v>99.3</v>
      </c>
      <c r="F625" s="18">
        <v>101.5</v>
      </c>
      <c r="G625" s="18">
        <v>47.3</v>
      </c>
      <c r="H625" s="18">
        <v>7.8</v>
      </c>
    </row>
    <row r="626" spans="1:8" x14ac:dyDescent="0.25">
      <c r="A626" s="11">
        <v>2009</v>
      </c>
      <c r="B626" s="11" t="s">
        <v>252</v>
      </c>
      <c r="C626" s="18">
        <v>23.7</v>
      </c>
      <c r="D626" s="18">
        <v>73.7</v>
      </c>
      <c r="E626" s="18">
        <v>116.6</v>
      </c>
      <c r="F626" s="18">
        <v>114.7</v>
      </c>
      <c r="G626" s="18">
        <v>58.5</v>
      </c>
      <c r="H626" s="18">
        <v>12</v>
      </c>
    </row>
    <row r="627" spans="1:8" x14ac:dyDescent="0.25">
      <c r="A627" s="11">
        <v>2009</v>
      </c>
      <c r="B627" s="11" t="s">
        <v>253</v>
      </c>
      <c r="C627" s="18">
        <v>9.9</v>
      </c>
      <c r="D627" s="18">
        <v>91.2</v>
      </c>
      <c r="E627" s="18">
        <v>130.1</v>
      </c>
      <c r="F627" s="18">
        <v>132.6</v>
      </c>
      <c r="G627" s="18">
        <v>53.3</v>
      </c>
      <c r="H627" s="18">
        <v>9.6</v>
      </c>
    </row>
    <row r="628" spans="1:8" x14ac:dyDescent="0.25">
      <c r="A628" s="11">
        <v>2009</v>
      </c>
      <c r="B628" s="11" t="s">
        <v>254</v>
      </c>
      <c r="C628" s="18">
        <v>27.7</v>
      </c>
      <c r="D628" s="18">
        <v>77.400000000000006</v>
      </c>
      <c r="E628" s="18">
        <v>89.4</v>
      </c>
      <c r="F628" s="18">
        <v>99.4</v>
      </c>
      <c r="G628" s="18">
        <v>44.9</v>
      </c>
      <c r="H628" s="18">
        <v>8.5</v>
      </c>
    </row>
    <row r="629" spans="1:8" x14ac:dyDescent="0.25">
      <c r="A629" s="11">
        <v>2009</v>
      </c>
      <c r="B629" s="11" t="s">
        <v>255</v>
      </c>
      <c r="C629" s="18">
        <v>21.1</v>
      </c>
      <c r="D629" s="18">
        <v>65.8</v>
      </c>
      <c r="E629" s="18">
        <v>101.6</v>
      </c>
      <c r="F629" s="18">
        <v>109.2</v>
      </c>
      <c r="G629" s="18">
        <v>49.3</v>
      </c>
      <c r="H629" s="18">
        <v>10.3</v>
      </c>
    </row>
    <row r="630" spans="1:8" x14ac:dyDescent="0.25">
      <c r="A630" s="11">
        <v>2009</v>
      </c>
      <c r="B630" s="11" t="s">
        <v>256</v>
      </c>
      <c r="C630" s="18">
        <v>13</v>
      </c>
      <c r="D630" s="18">
        <v>45.1</v>
      </c>
      <c r="E630" s="18">
        <v>74</v>
      </c>
      <c r="F630" s="18">
        <v>103.1</v>
      </c>
      <c r="G630" s="18">
        <v>66.7</v>
      </c>
      <c r="H630" s="18">
        <v>11.1</v>
      </c>
    </row>
    <row r="631" spans="1:8" x14ac:dyDescent="0.25">
      <c r="A631" s="11">
        <v>2009</v>
      </c>
      <c r="B631" s="11" t="s">
        <v>257</v>
      </c>
      <c r="C631" s="18">
        <v>30.4</v>
      </c>
      <c r="D631" s="18">
        <v>78.3</v>
      </c>
      <c r="E631" s="18">
        <v>104.1</v>
      </c>
      <c r="F631" s="18">
        <v>94.7</v>
      </c>
      <c r="G631" s="18">
        <v>51.2</v>
      </c>
      <c r="H631" s="18">
        <v>7.8</v>
      </c>
    </row>
    <row r="632" spans="1:8" x14ac:dyDescent="0.25">
      <c r="A632" s="11">
        <v>2009</v>
      </c>
      <c r="B632" s="11" t="s">
        <v>258</v>
      </c>
      <c r="C632" s="18">
        <v>24.1</v>
      </c>
      <c r="D632" s="18">
        <v>84.9</v>
      </c>
      <c r="E632" s="18">
        <v>116.6</v>
      </c>
      <c r="F632" s="18">
        <v>110</v>
      </c>
      <c r="G632" s="18">
        <v>48.9</v>
      </c>
      <c r="H632" s="18">
        <v>8.3000000000000007</v>
      </c>
    </row>
    <row r="633" spans="1:8" x14ac:dyDescent="0.25">
      <c r="A633" s="11">
        <v>2010</v>
      </c>
      <c r="B633" s="11" t="s">
        <v>11</v>
      </c>
      <c r="C633" s="18">
        <v>22.9</v>
      </c>
      <c r="D633" s="18">
        <v>59.9</v>
      </c>
      <c r="E633" s="18">
        <v>92.6</v>
      </c>
      <c r="F633" s="18">
        <v>102.8</v>
      </c>
      <c r="G633" s="18">
        <v>53.8</v>
      </c>
      <c r="H633" s="18">
        <v>10.7</v>
      </c>
    </row>
    <row r="634" spans="1:8" x14ac:dyDescent="0.25">
      <c r="A634" s="11">
        <v>2010</v>
      </c>
      <c r="B634" s="11" t="s">
        <v>227</v>
      </c>
      <c r="C634" s="18">
        <v>17.3</v>
      </c>
      <c r="D634" s="18">
        <v>41.3</v>
      </c>
      <c r="E634" s="18">
        <v>75.3</v>
      </c>
      <c r="F634" s="18">
        <v>104</v>
      </c>
      <c r="G634" s="18">
        <v>53.5</v>
      </c>
      <c r="H634" s="18">
        <v>9.6999999999999993</v>
      </c>
    </row>
    <row r="635" spans="1:8" x14ac:dyDescent="0.25">
      <c r="A635" s="11">
        <v>2010</v>
      </c>
      <c r="B635" s="11" t="s">
        <v>228</v>
      </c>
      <c r="C635" s="18">
        <v>12.8</v>
      </c>
      <c r="D635" s="18">
        <v>62.8</v>
      </c>
      <c r="E635" s="18">
        <v>114.9</v>
      </c>
      <c r="F635" s="18">
        <v>118.9</v>
      </c>
      <c r="G635" s="18">
        <v>55.4</v>
      </c>
      <c r="H635" s="18">
        <v>11.1</v>
      </c>
    </row>
    <row r="636" spans="1:8" x14ac:dyDescent="0.25">
      <c r="A636" s="11">
        <v>2010</v>
      </c>
      <c r="B636" s="11" t="s">
        <v>229</v>
      </c>
      <c r="C636" s="18">
        <v>21.3</v>
      </c>
      <c r="D636" s="18">
        <v>67</v>
      </c>
      <c r="E636" s="18">
        <v>108.5</v>
      </c>
      <c r="F636" s="18">
        <v>102.4</v>
      </c>
      <c r="G636" s="18">
        <v>41.1</v>
      </c>
      <c r="H636" s="18">
        <v>8.8000000000000007</v>
      </c>
    </row>
    <row r="637" spans="1:8" x14ac:dyDescent="0.25">
      <c r="A637" s="11">
        <v>2010</v>
      </c>
      <c r="B637" s="11" t="s">
        <v>230</v>
      </c>
      <c r="C637" s="18">
        <v>19.600000000000001</v>
      </c>
      <c r="D637" s="18">
        <v>72.7</v>
      </c>
      <c r="E637" s="18">
        <v>105.7</v>
      </c>
      <c r="F637" s="18">
        <v>98.5</v>
      </c>
      <c r="G637" s="18">
        <v>51.8</v>
      </c>
      <c r="H637" s="18">
        <v>12.7</v>
      </c>
    </row>
    <row r="638" spans="1:8" x14ac:dyDescent="0.25">
      <c r="A638" s="11">
        <v>2010</v>
      </c>
      <c r="B638" s="11" t="s">
        <v>231</v>
      </c>
      <c r="C638" s="18">
        <v>16.2</v>
      </c>
      <c r="D638" s="18">
        <v>30.5</v>
      </c>
      <c r="E638" s="18">
        <v>55.1</v>
      </c>
      <c r="F638" s="18">
        <v>101.4</v>
      </c>
      <c r="G638" s="18">
        <v>70.2</v>
      </c>
      <c r="H638" s="18">
        <v>18</v>
      </c>
    </row>
    <row r="639" spans="1:8" x14ac:dyDescent="0.25">
      <c r="A639" s="11">
        <v>2010</v>
      </c>
      <c r="B639" s="11" t="s">
        <v>232</v>
      </c>
      <c r="C639" s="18">
        <v>30.5</v>
      </c>
      <c r="D639" s="18">
        <v>83.2</v>
      </c>
      <c r="E639" s="18">
        <v>123.3</v>
      </c>
      <c r="F639" s="18">
        <v>113.2</v>
      </c>
      <c r="G639" s="18">
        <v>44.5</v>
      </c>
      <c r="H639" s="18">
        <v>8.9</v>
      </c>
    </row>
    <row r="640" spans="1:8" x14ac:dyDescent="0.25">
      <c r="A640" s="11">
        <v>2010</v>
      </c>
      <c r="B640" s="11" t="s">
        <v>233</v>
      </c>
      <c r="C640" s="18">
        <v>24.3</v>
      </c>
      <c r="D640" s="18">
        <v>88.2</v>
      </c>
      <c r="E640" s="18">
        <v>120.8</v>
      </c>
      <c r="F640" s="18">
        <v>95.8</v>
      </c>
      <c r="G640" s="18">
        <v>42.7</v>
      </c>
      <c r="H640" s="18">
        <v>7.6</v>
      </c>
    </row>
    <row r="641" spans="1:8" x14ac:dyDescent="0.25">
      <c r="A641" s="11">
        <v>2010</v>
      </c>
      <c r="B641" s="11" t="s">
        <v>234</v>
      </c>
      <c r="C641" s="18">
        <v>31.3</v>
      </c>
      <c r="D641" s="18">
        <v>55.4</v>
      </c>
      <c r="E641" s="18">
        <v>92.7</v>
      </c>
      <c r="F641" s="18">
        <v>88.3</v>
      </c>
      <c r="G641" s="18">
        <v>46.3</v>
      </c>
      <c r="H641" s="18">
        <v>8.1999999999999993</v>
      </c>
    </row>
    <row r="642" spans="1:8" x14ac:dyDescent="0.25">
      <c r="A642" s="11">
        <v>2010</v>
      </c>
      <c r="B642" s="11" t="s">
        <v>235</v>
      </c>
      <c r="C642" s="18">
        <v>26.8</v>
      </c>
      <c r="D642" s="18">
        <v>74.400000000000006</v>
      </c>
      <c r="E642" s="18">
        <v>115.3</v>
      </c>
      <c r="F642" s="18">
        <v>96.4</v>
      </c>
      <c r="G642" s="18">
        <v>41.4</v>
      </c>
      <c r="H642" s="18">
        <v>7.7</v>
      </c>
    </row>
    <row r="643" spans="1:8" x14ac:dyDescent="0.25">
      <c r="A643" s="11">
        <v>2010</v>
      </c>
      <c r="B643" s="11" t="s">
        <v>236</v>
      </c>
      <c r="C643" s="18">
        <v>11.6</v>
      </c>
      <c r="D643" s="18">
        <v>42.2</v>
      </c>
      <c r="E643" s="18">
        <v>82.6</v>
      </c>
      <c r="F643" s="18">
        <v>131.69999999999999</v>
      </c>
      <c r="G643" s="18">
        <v>70.099999999999994</v>
      </c>
      <c r="H643" s="18">
        <v>11.1</v>
      </c>
    </row>
    <row r="644" spans="1:8" x14ac:dyDescent="0.25">
      <c r="A644" s="11">
        <v>2010</v>
      </c>
      <c r="B644" s="11" t="s">
        <v>237</v>
      </c>
      <c r="C644" s="18">
        <v>24.4</v>
      </c>
      <c r="D644" s="18">
        <v>65.2</v>
      </c>
      <c r="E644" s="18">
        <v>116.3</v>
      </c>
      <c r="F644" s="18">
        <v>116</v>
      </c>
      <c r="G644" s="18">
        <v>62.1</v>
      </c>
      <c r="H644" s="18">
        <v>13.9</v>
      </c>
    </row>
    <row r="645" spans="1:8" x14ac:dyDescent="0.25">
      <c r="A645" s="11">
        <v>2010</v>
      </c>
      <c r="B645" s="11" t="s">
        <v>238</v>
      </c>
      <c r="C645" s="18">
        <v>8.1</v>
      </c>
      <c r="D645" s="18">
        <v>32.9</v>
      </c>
      <c r="E645" s="18">
        <v>104.4</v>
      </c>
      <c r="F645" s="18">
        <v>132.4</v>
      </c>
      <c r="G645" s="18">
        <v>78.2</v>
      </c>
      <c r="H645" s="18">
        <v>14.5</v>
      </c>
    </row>
    <row r="646" spans="1:8" x14ac:dyDescent="0.25">
      <c r="A646" s="11">
        <v>2010</v>
      </c>
      <c r="B646" s="11" t="s">
        <v>239</v>
      </c>
      <c r="C646" s="18">
        <v>29.1</v>
      </c>
      <c r="D646" s="18">
        <v>73.5</v>
      </c>
      <c r="E646" s="18">
        <v>112.8</v>
      </c>
      <c r="F646" s="18">
        <v>106.5</v>
      </c>
      <c r="G646" s="18">
        <v>51.8</v>
      </c>
      <c r="H646" s="18">
        <v>7.6</v>
      </c>
    </row>
    <row r="647" spans="1:8" x14ac:dyDescent="0.25">
      <c r="A647" s="11">
        <v>2010</v>
      </c>
      <c r="B647" s="11" t="s">
        <v>240</v>
      </c>
      <c r="C647" s="18">
        <v>30.9</v>
      </c>
      <c r="D647" s="18">
        <v>68.900000000000006</v>
      </c>
      <c r="E647" s="18">
        <v>106.1</v>
      </c>
      <c r="F647" s="18">
        <v>105.4</v>
      </c>
      <c r="G647" s="18">
        <v>52.2</v>
      </c>
      <c r="H647" s="18">
        <v>8.6</v>
      </c>
    </row>
    <row r="648" spans="1:8" x14ac:dyDescent="0.25">
      <c r="A648" s="11">
        <v>2010</v>
      </c>
      <c r="B648" s="11" t="s">
        <v>241</v>
      </c>
      <c r="C648" s="18">
        <v>23</v>
      </c>
      <c r="D648" s="18">
        <v>54.3</v>
      </c>
      <c r="E648" s="18">
        <v>81.400000000000006</v>
      </c>
      <c r="F648" s="18">
        <v>91.7</v>
      </c>
      <c r="G648" s="18">
        <v>53.1</v>
      </c>
      <c r="H648" s="18">
        <v>12.1</v>
      </c>
    </row>
    <row r="649" spans="1:8" x14ac:dyDescent="0.25">
      <c r="A649" s="11">
        <v>2010</v>
      </c>
      <c r="B649" s="11" t="s">
        <v>242</v>
      </c>
      <c r="C649" s="18">
        <v>27</v>
      </c>
      <c r="D649" s="18">
        <v>78.900000000000006</v>
      </c>
      <c r="E649" s="18">
        <v>104</v>
      </c>
      <c r="F649" s="18">
        <v>106.2</v>
      </c>
      <c r="G649" s="18">
        <v>52.8</v>
      </c>
      <c r="H649" s="18">
        <v>13.7</v>
      </c>
    </row>
    <row r="650" spans="1:8" x14ac:dyDescent="0.25">
      <c r="A650" s="11">
        <v>2010</v>
      </c>
      <c r="B650" s="11" t="s">
        <v>243</v>
      </c>
      <c r="C650" s="18">
        <v>25.5</v>
      </c>
      <c r="D650" s="18">
        <v>71.599999999999994</v>
      </c>
      <c r="E650" s="18">
        <v>85.2</v>
      </c>
      <c r="F650" s="18">
        <v>101.9</v>
      </c>
      <c r="G650" s="18">
        <v>38</v>
      </c>
      <c r="H650" s="18">
        <v>7.2</v>
      </c>
    </row>
    <row r="651" spans="1:8" x14ac:dyDescent="0.25">
      <c r="A651" s="11">
        <v>2010</v>
      </c>
      <c r="B651" s="11" t="s">
        <v>244</v>
      </c>
      <c r="C651" s="18">
        <v>31.5</v>
      </c>
      <c r="D651" s="18">
        <v>89.2</v>
      </c>
      <c r="E651" s="18">
        <v>110.3</v>
      </c>
      <c r="F651" s="18">
        <v>110.2</v>
      </c>
      <c r="G651" s="18">
        <v>57.4</v>
      </c>
      <c r="H651" s="18">
        <v>8.6</v>
      </c>
    </row>
    <row r="652" spans="1:8" x14ac:dyDescent="0.25">
      <c r="A652" s="11">
        <v>2010</v>
      </c>
      <c r="B652" s="11" t="s">
        <v>245</v>
      </c>
      <c r="C652" s="18">
        <v>26.7</v>
      </c>
      <c r="D652" s="18">
        <v>65.5</v>
      </c>
      <c r="E652" s="18">
        <v>112.4</v>
      </c>
      <c r="F652" s="18">
        <v>89.9</v>
      </c>
      <c r="G652" s="18">
        <v>46</v>
      </c>
      <c r="H652" s="18">
        <v>8.6999999999999993</v>
      </c>
    </row>
    <row r="653" spans="1:8" x14ac:dyDescent="0.25">
      <c r="A653" s="11">
        <v>2010</v>
      </c>
      <c r="B653" s="11" t="s">
        <v>246</v>
      </c>
      <c r="C653" s="18">
        <v>18.399999999999999</v>
      </c>
      <c r="D653" s="18">
        <v>63.3</v>
      </c>
      <c r="E653" s="18">
        <v>64.599999999999994</v>
      </c>
      <c r="F653" s="18">
        <v>108</v>
      </c>
      <c r="G653" s="18">
        <v>67.8</v>
      </c>
      <c r="H653" s="18">
        <v>11.6</v>
      </c>
    </row>
    <row r="654" spans="1:8" x14ac:dyDescent="0.25">
      <c r="A654" s="11">
        <v>2010</v>
      </c>
      <c r="B654" s="11" t="s">
        <v>247</v>
      </c>
      <c r="C654" s="18">
        <v>36.4</v>
      </c>
      <c r="D654" s="18">
        <v>72.900000000000006</v>
      </c>
      <c r="E654" s="18">
        <v>110.9</v>
      </c>
      <c r="F654" s="18">
        <v>88.7</v>
      </c>
      <c r="G654" s="18">
        <v>43.8</v>
      </c>
      <c r="H654" s="18">
        <v>8.8000000000000007</v>
      </c>
    </row>
    <row r="655" spans="1:8" x14ac:dyDescent="0.25">
      <c r="A655" s="11">
        <v>2010</v>
      </c>
      <c r="B655" s="11" t="s">
        <v>248</v>
      </c>
      <c r="C655" s="18">
        <v>28.3</v>
      </c>
      <c r="D655" s="18">
        <v>73.3</v>
      </c>
      <c r="E655" s="18">
        <v>102.5</v>
      </c>
      <c r="F655" s="18">
        <v>93.1</v>
      </c>
      <c r="G655" s="18">
        <v>46</v>
      </c>
      <c r="H655" s="18">
        <v>9.6999999999999993</v>
      </c>
    </row>
    <row r="656" spans="1:8" x14ac:dyDescent="0.25">
      <c r="A656" s="11">
        <v>2010</v>
      </c>
      <c r="B656" s="11" t="s">
        <v>249</v>
      </c>
      <c r="C656" s="18">
        <v>14.7</v>
      </c>
      <c r="D656" s="18">
        <v>61.2</v>
      </c>
      <c r="E656" s="18">
        <v>101.9</v>
      </c>
      <c r="F656" s="18">
        <v>115.2</v>
      </c>
      <c r="G656" s="18">
        <v>41.9</v>
      </c>
      <c r="H656" s="18">
        <v>14.6</v>
      </c>
    </row>
    <row r="657" spans="1:8" x14ac:dyDescent="0.25">
      <c r="A657" s="11">
        <v>2010</v>
      </c>
      <c r="B657" s="11" t="s">
        <v>250</v>
      </c>
      <c r="C657" s="18">
        <v>18.5</v>
      </c>
      <c r="D657" s="18">
        <v>73.599999999999994</v>
      </c>
      <c r="E657" s="18">
        <v>101.1</v>
      </c>
      <c r="F657" s="18">
        <v>105</v>
      </c>
      <c r="G657" s="18">
        <v>62.5</v>
      </c>
      <c r="H657" s="18">
        <v>9.8000000000000007</v>
      </c>
    </row>
    <row r="658" spans="1:8" x14ac:dyDescent="0.25">
      <c r="A658" s="11">
        <v>2010</v>
      </c>
      <c r="B658" s="11" t="s">
        <v>251</v>
      </c>
      <c r="C658" s="18">
        <v>25.1</v>
      </c>
      <c r="D658" s="18">
        <v>71</v>
      </c>
      <c r="E658" s="18">
        <v>106.8</v>
      </c>
      <c r="F658" s="18">
        <v>101</v>
      </c>
      <c r="G658" s="18">
        <v>56.5</v>
      </c>
      <c r="H658" s="18">
        <v>8.1</v>
      </c>
    </row>
    <row r="659" spans="1:8" x14ac:dyDescent="0.25">
      <c r="A659" s="11">
        <v>2010</v>
      </c>
      <c r="B659" s="11" t="s">
        <v>252</v>
      </c>
      <c r="C659" s="18">
        <v>19.600000000000001</v>
      </c>
      <c r="D659" s="18">
        <v>81.5</v>
      </c>
      <c r="E659" s="18">
        <v>106</v>
      </c>
      <c r="F659" s="18">
        <v>123.9</v>
      </c>
      <c r="G659" s="18">
        <v>63.9</v>
      </c>
      <c r="H659" s="18">
        <v>11.1</v>
      </c>
    </row>
    <row r="660" spans="1:8" x14ac:dyDescent="0.25">
      <c r="A660" s="11">
        <v>2010</v>
      </c>
      <c r="B660" s="11" t="s">
        <v>253</v>
      </c>
      <c r="C660" s="18">
        <v>20</v>
      </c>
      <c r="D660" s="18">
        <v>83.8</v>
      </c>
      <c r="E660" s="18">
        <v>102.5</v>
      </c>
      <c r="F660" s="18">
        <v>127.4</v>
      </c>
      <c r="G660" s="18">
        <v>61.4</v>
      </c>
      <c r="H660" s="18">
        <v>7.2</v>
      </c>
    </row>
    <row r="661" spans="1:8" x14ac:dyDescent="0.25">
      <c r="A661" s="11">
        <v>2010</v>
      </c>
      <c r="B661" s="11" t="s">
        <v>254</v>
      </c>
      <c r="C661" s="18">
        <v>25</v>
      </c>
      <c r="D661" s="18">
        <v>72.2</v>
      </c>
      <c r="E661" s="18">
        <v>100.3</v>
      </c>
      <c r="F661" s="18">
        <v>95.7</v>
      </c>
      <c r="G661" s="18">
        <v>41.1</v>
      </c>
      <c r="H661" s="18">
        <v>8.1</v>
      </c>
    </row>
    <row r="662" spans="1:8" x14ac:dyDescent="0.25">
      <c r="A662" s="11">
        <v>2010</v>
      </c>
      <c r="B662" s="11" t="s">
        <v>255</v>
      </c>
      <c r="C662" s="18">
        <v>17.600000000000001</v>
      </c>
      <c r="D662" s="18">
        <v>65.3</v>
      </c>
      <c r="E662" s="18">
        <v>101.1</v>
      </c>
      <c r="F662" s="18">
        <v>109.9</v>
      </c>
      <c r="G662" s="18">
        <v>51.6</v>
      </c>
      <c r="H662" s="18">
        <v>9.6999999999999993</v>
      </c>
    </row>
    <row r="663" spans="1:8" x14ac:dyDescent="0.25">
      <c r="A663" s="11">
        <v>2010</v>
      </c>
      <c r="B663" s="11" t="s">
        <v>256</v>
      </c>
      <c r="C663" s="18">
        <v>15.1</v>
      </c>
      <c r="D663" s="18">
        <v>39.9</v>
      </c>
      <c r="E663" s="18">
        <v>83.2</v>
      </c>
      <c r="F663" s="18">
        <v>91.9</v>
      </c>
      <c r="G663" s="18">
        <v>61.2</v>
      </c>
      <c r="H663" s="18">
        <v>10.7</v>
      </c>
    </row>
    <row r="664" spans="1:8" x14ac:dyDescent="0.25">
      <c r="A664" s="11">
        <v>2010</v>
      </c>
      <c r="B664" s="11" t="s">
        <v>257</v>
      </c>
      <c r="C664" s="18">
        <v>33.6</v>
      </c>
      <c r="D664" s="18">
        <v>72.5</v>
      </c>
      <c r="E664" s="18">
        <v>97.6</v>
      </c>
      <c r="F664" s="18">
        <v>103.9</v>
      </c>
      <c r="G664" s="18">
        <v>43.6</v>
      </c>
      <c r="H664" s="18">
        <v>8.1999999999999993</v>
      </c>
    </row>
    <row r="665" spans="1:8" x14ac:dyDescent="0.25">
      <c r="A665" s="11">
        <v>2010</v>
      </c>
      <c r="B665" s="11" t="s">
        <v>258</v>
      </c>
      <c r="C665" s="18">
        <v>22.8</v>
      </c>
      <c r="D665" s="18">
        <v>83.5</v>
      </c>
      <c r="E665" s="18">
        <v>97.5</v>
      </c>
      <c r="F665" s="18">
        <v>116.9</v>
      </c>
      <c r="G665" s="18">
        <v>52.7</v>
      </c>
      <c r="H665" s="18">
        <v>9.8000000000000007</v>
      </c>
    </row>
    <row r="666" spans="1:8" x14ac:dyDescent="0.25">
      <c r="A666" s="11">
        <v>2011</v>
      </c>
      <c r="B666" s="11" t="s">
        <v>11</v>
      </c>
      <c r="C666" s="18">
        <v>21.1</v>
      </c>
      <c r="D666" s="18">
        <v>57.9</v>
      </c>
      <c r="E666" s="18">
        <v>90.2</v>
      </c>
      <c r="F666" s="18">
        <v>102.8</v>
      </c>
      <c r="G666" s="18">
        <v>55.4</v>
      </c>
      <c r="H666" s="18">
        <v>11.2</v>
      </c>
    </row>
    <row r="667" spans="1:8" x14ac:dyDescent="0.25">
      <c r="A667" s="11">
        <v>2011</v>
      </c>
      <c r="B667" s="11" t="s">
        <v>227</v>
      </c>
      <c r="C667" s="18">
        <v>18.5</v>
      </c>
      <c r="D667" s="18">
        <v>34.799999999999997</v>
      </c>
      <c r="E667" s="18">
        <v>74.599999999999994</v>
      </c>
      <c r="F667" s="18">
        <v>97.8</v>
      </c>
      <c r="G667" s="18">
        <v>58.2</v>
      </c>
      <c r="H667" s="18">
        <v>11.6</v>
      </c>
    </row>
    <row r="668" spans="1:8" x14ac:dyDescent="0.25">
      <c r="A668" s="11">
        <v>2011</v>
      </c>
      <c r="B668" s="11" t="s">
        <v>228</v>
      </c>
      <c r="C668" s="18">
        <v>11.5</v>
      </c>
      <c r="D668" s="18">
        <v>61.8</v>
      </c>
      <c r="E668" s="18">
        <v>103</v>
      </c>
      <c r="F668" s="18">
        <v>129.1</v>
      </c>
      <c r="G668" s="18">
        <v>53.4</v>
      </c>
      <c r="H668" s="18">
        <v>10.6</v>
      </c>
    </row>
    <row r="669" spans="1:8" x14ac:dyDescent="0.25">
      <c r="A669" s="11">
        <v>2011</v>
      </c>
      <c r="B669" s="11" t="s">
        <v>229</v>
      </c>
      <c r="C669" s="18">
        <v>23.8</v>
      </c>
      <c r="D669" s="18">
        <v>76.5</v>
      </c>
      <c r="E669" s="18">
        <v>111.5</v>
      </c>
      <c r="F669" s="18">
        <v>94.2</v>
      </c>
      <c r="G669" s="18">
        <v>50.9</v>
      </c>
      <c r="H669" s="18">
        <v>9.3000000000000007</v>
      </c>
    </row>
    <row r="670" spans="1:8" x14ac:dyDescent="0.25">
      <c r="A670" s="11">
        <v>2011</v>
      </c>
      <c r="B670" s="11" t="s">
        <v>230</v>
      </c>
      <c r="C670" s="18">
        <v>19.3</v>
      </c>
      <c r="D670" s="18">
        <v>69.599999999999994</v>
      </c>
      <c r="E670" s="18">
        <v>90.7</v>
      </c>
      <c r="F670" s="18">
        <v>110</v>
      </c>
      <c r="G670" s="18">
        <v>53.3</v>
      </c>
      <c r="H670" s="18">
        <v>10.3</v>
      </c>
    </row>
    <row r="671" spans="1:8" x14ac:dyDescent="0.25">
      <c r="A671" s="11">
        <v>2011</v>
      </c>
      <c r="B671" s="11" t="s">
        <v>231</v>
      </c>
      <c r="C671" s="18">
        <v>13.1</v>
      </c>
      <c r="D671" s="18">
        <v>29.7</v>
      </c>
      <c r="E671" s="18">
        <v>53.8</v>
      </c>
      <c r="F671" s="18">
        <v>97.7</v>
      </c>
      <c r="G671" s="18">
        <v>71.900000000000006</v>
      </c>
      <c r="H671" s="18">
        <v>18.100000000000001</v>
      </c>
    </row>
    <row r="672" spans="1:8" x14ac:dyDescent="0.25">
      <c r="A672" s="11">
        <v>2011</v>
      </c>
      <c r="B672" s="11" t="s">
        <v>232</v>
      </c>
      <c r="C672" s="18">
        <v>27.9</v>
      </c>
      <c r="D672" s="18">
        <v>93.8</v>
      </c>
      <c r="E672" s="18">
        <v>103.1</v>
      </c>
      <c r="F672" s="18">
        <v>95.6</v>
      </c>
      <c r="G672" s="18">
        <v>44.4</v>
      </c>
      <c r="H672" s="18">
        <v>7.1</v>
      </c>
    </row>
    <row r="673" spans="1:8" x14ac:dyDescent="0.25">
      <c r="A673" s="11">
        <v>2011</v>
      </c>
      <c r="B673" s="11" t="s">
        <v>233</v>
      </c>
      <c r="C673" s="18">
        <v>21.1</v>
      </c>
      <c r="D673" s="18">
        <v>81.400000000000006</v>
      </c>
      <c r="E673" s="18">
        <v>111.3</v>
      </c>
      <c r="F673" s="18">
        <v>95.3</v>
      </c>
      <c r="G673" s="18">
        <v>46.9</v>
      </c>
      <c r="H673" s="18">
        <v>8.3000000000000007</v>
      </c>
    </row>
    <row r="674" spans="1:8" x14ac:dyDescent="0.25">
      <c r="A674" s="11">
        <v>2011</v>
      </c>
      <c r="B674" s="11" t="s">
        <v>234</v>
      </c>
      <c r="C674" s="18">
        <v>24.2</v>
      </c>
      <c r="D674" s="18">
        <v>50.6</v>
      </c>
      <c r="E674" s="18">
        <v>91.5</v>
      </c>
      <c r="F674" s="18">
        <v>93.2</v>
      </c>
      <c r="G674" s="18">
        <v>52.1</v>
      </c>
      <c r="H674" s="18">
        <v>10.4</v>
      </c>
    </row>
    <row r="675" spans="1:8" x14ac:dyDescent="0.25">
      <c r="A675" s="11">
        <v>2011</v>
      </c>
      <c r="B675" s="11" t="s">
        <v>235</v>
      </c>
      <c r="C675" s="18">
        <v>28</v>
      </c>
      <c r="D675" s="18">
        <v>83.8</v>
      </c>
      <c r="E675" s="18">
        <v>109.7</v>
      </c>
      <c r="F675" s="18">
        <v>95.3</v>
      </c>
      <c r="G675" s="18">
        <v>42.2</v>
      </c>
      <c r="H675" s="18">
        <v>9.5</v>
      </c>
    </row>
    <row r="676" spans="1:8" x14ac:dyDescent="0.25">
      <c r="A676" s="11">
        <v>2011</v>
      </c>
      <c r="B676" s="11" t="s">
        <v>236</v>
      </c>
      <c r="C676" s="18">
        <v>11.2</v>
      </c>
      <c r="D676" s="18">
        <v>38.4</v>
      </c>
      <c r="E676" s="18">
        <v>84.6</v>
      </c>
      <c r="F676" s="18">
        <v>131.9</v>
      </c>
      <c r="G676" s="18">
        <v>72.2</v>
      </c>
      <c r="H676" s="18">
        <v>14.1</v>
      </c>
    </row>
    <row r="677" spans="1:8" x14ac:dyDescent="0.25">
      <c r="A677" s="11">
        <v>2011</v>
      </c>
      <c r="B677" s="11" t="s">
        <v>237</v>
      </c>
      <c r="C677" s="18">
        <v>21.7</v>
      </c>
      <c r="D677" s="18">
        <v>75.099999999999994</v>
      </c>
      <c r="E677" s="18">
        <v>103.7</v>
      </c>
      <c r="F677" s="18">
        <v>119.4</v>
      </c>
      <c r="G677" s="18">
        <v>67.8</v>
      </c>
      <c r="H677" s="18">
        <v>10.8</v>
      </c>
    </row>
    <row r="678" spans="1:8" x14ac:dyDescent="0.25">
      <c r="A678" s="11">
        <v>2011</v>
      </c>
      <c r="B678" s="11" t="s">
        <v>238</v>
      </c>
      <c r="C678" s="18">
        <v>6.4</v>
      </c>
      <c r="D678" s="18">
        <v>34</v>
      </c>
      <c r="E678" s="18">
        <v>91.1</v>
      </c>
      <c r="F678" s="18">
        <v>130.30000000000001</v>
      </c>
      <c r="G678" s="18">
        <v>72.099999999999994</v>
      </c>
      <c r="H678" s="18">
        <v>14</v>
      </c>
    </row>
    <row r="679" spans="1:8" x14ac:dyDescent="0.25">
      <c r="A679" s="11">
        <v>2011</v>
      </c>
      <c r="B679" s="11" t="s">
        <v>239</v>
      </c>
      <c r="C679" s="18">
        <v>22.8</v>
      </c>
      <c r="D679" s="18">
        <v>68</v>
      </c>
      <c r="E679" s="18">
        <v>99.7</v>
      </c>
      <c r="F679" s="18">
        <v>102</v>
      </c>
      <c r="G679" s="18">
        <v>52.2</v>
      </c>
      <c r="H679" s="18">
        <v>10.8</v>
      </c>
    </row>
    <row r="680" spans="1:8" x14ac:dyDescent="0.25">
      <c r="A680" s="11">
        <v>2011</v>
      </c>
      <c r="B680" s="11" t="s">
        <v>240</v>
      </c>
      <c r="C680" s="18">
        <v>28</v>
      </c>
      <c r="D680" s="18">
        <v>70.7</v>
      </c>
      <c r="E680" s="18">
        <v>117.8</v>
      </c>
      <c r="F680" s="18">
        <v>104.1</v>
      </c>
      <c r="G680" s="18">
        <v>51.3</v>
      </c>
      <c r="H680" s="18">
        <v>8.3000000000000007</v>
      </c>
    </row>
    <row r="681" spans="1:8" x14ac:dyDescent="0.25">
      <c r="A681" s="11">
        <v>2011</v>
      </c>
      <c r="B681" s="11" t="s">
        <v>241</v>
      </c>
      <c r="C681" s="18">
        <v>23.6</v>
      </c>
      <c r="D681" s="18">
        <v>49.5</v>
      </c>
      <c r="E681" s="18">
        <v>77.099999999999994</v>
      </c>
      <c r="F681" s="18">
        <v>93.3</v>
      </c>
      <c r="G681" s="18">
        <v>56.5</v>
      </c>
      <c r="H681" s="18">
        <v>13.5</v>
      </c>
    </row>
    <row r="682" spans="1:8" x14ac:dyDescent="0.25">
      <c r="A682" s="11">
        <v>2011</v>
      </c>
      <c r="B682" s="11" t="s">
        <v>242</v>
      </c>
      <c r="C682" s="18">
        <v>25.1</v>
      </c>
      <c r="D682" s="18">
        <v>69.900000000000006</v>
      </c>
      <c r="E682" s="18">
        <v>96.6</v>
      </c>
      <c r="F682" s="18">
        <v>101.5</v>
      </c>
      <c r="G682" s="18">
        <v>54.3</v>
      </c>
      <c r="H682" s="18">
        <v>12.4</v>
      </c>
    </row>
    <row r="683" spans="1:8" x14ac:dyDescent="0.25">
      <c r="A683" s="11">
        <v>2011</v>
      </c>
      <c r="B683" s="11" t="s">
        <v>243</v>
      </c>
      <c r="C683" s="18">
        <v>19.2</v>
      </c>
      <c r="D683" s="18">
        <v>65.2</v>
      </c>
      <c r="E683" s="18">
        <v>101.7</v>
      </c>
      <c r="F683" s="18">
        <v>99.7</v>
      </c>
      <c r="G683" s="18">
        <v>42.6</v>
      </c>
      <c r="H683" s="18">
        <v>10.7</v>
      </c>
    </row>
    <row r="684" spans="1:8" x14ac:dyDescent="0.25">
      <c r="A684" s="11">
        <v>2011</v>
      </c>
      <c r="B684" s="11" t="s">
        <v>244</v>
      </c>
      <c r="C684" s="18">
        <v>28.2</v>
      </c>
      <c r="D684" s="18">
        <v>83.5</v>
      </c>
      <c r="E684" s="18">
        <v>116.3</v>
      </c>
      <c r="F684" s="18">
        <v>107.8</v>
      </c>
      <c r="G684" s="18">
        <v>52.9</v>
      </c>
      <c r="H684" s="18">
        <v>9.4</v>
      </c>
    </row>
    <row r="685" spans="1:8" x14ac:dyDescent="0.25">
      <c r="A685" s="11">
        <v>2011</v>
      </c>
      <c r="B685" s="11" t="s">
        <v>245</v>
      </c>
      <c r="C685" s="18">
        <v>18.100000000000001</v>
      </c>
      <c r="D685" s="18">
        <v>84.8</v>
      </c>
      <c r="E685" s="18">
        <v>107.8</v>
      </c>
      <c r="F685" s="18">
        <v>103.1</v>
      </c>
      <c r="G685" s="18">
        <v>51.1</v>
      </c>
      <c r="H685" s="18">
        <v>10.5</v>
      </c>
    </row>
    <row r="686" spans="1:8" x14ac:dyDescent="0.25">
      <c r="A686" s="11">
        <v>2011</v>
      </c>
      <c r="B686" s="11" t="s">
        <v>246</v>
      </c>
      <c r="C686" s="18">
        <v>16.600000000000001</v>
      </c>
      <c r="D686" s="18">
        <v>73.900000000000006</v>
      </c>
      <c r="E686" s="18">
        <v>98.4</v>
      </c>
      <c r="F686" s="18">
        <v>88.1</v>
      </c>
      <c r="G686" s="18">
        <v>54.1</v>
      </c>
      <c r="H686" s="18">
        <v>14</v>
      </c>
    </row>
    <row r="687" spans="1:8" x14ac:dyDescent="0.25">
      <c r="A687" s="11">
        <v>2011</v>
      </c>
      <c r="B687" s="11" t="s">
        <v>247</v>
      </c>
      <c r="C687" s="18">
        <v>33.6</v>
      </c>
      <c r="D687" s="18">
        <v>80.099999999999994</v>
      </c>
      <c r="E687" s="18">
        <v>102.8</v>
      </c>
      <c r="F687" s="18">
        <v>94.1</v>
      </c>
      <c r="G687" s="18">
        <v>46.6</v>
      </c>
      <c r="H687" s="18">
        <v>8</v>
      </c>
    </row>
    <row r="688" spans="1:8" x14ac:dyDescent="0.25">
      <c r="A688" s="11">
        <v>2011</v>
      </c>
      <c r="B688" s="11" t="s">
        <v>248</v>
      </c>
      <c r="C688" s="18">
        <v>24.9</v>
      </c>
      <c r="D688" s="18">
        <v>73.099999999999994</v>
      </c>
      <c r="E688" s="18">
        <v>102.6</v>
      </c>
      <c r="F688" s="18">
        <v>103.3</v>
      </c>
      <c r="G688" s="18">
        <v>48</v>
      </c>
      <c r="H688" s="18">
        <v>8.6</v>
      </c>
    </row>
    <row r="689" spans="1:8" x14ac:dyDescent="0.25">
      <c r="A689" s="11">
        <v>2011</v>
      </c>
      <c r="B689" s="11" t="s">
        <v>249</v>
      </c>
      <c r="C689" s="18">
        <v>10.5</v>
      </c>
      <c r="D689" s="18">
        <v>70.099999999999994</v>
      </c>
      <c r="E689" s="18">
        <v>120.1</v>
      </c>
      <c r="F689" s="18">
        <v>100.4</v>
      </c>
      <c r="G689" s="18">
        <v>49.7</v>
      </c>
      <c r="H689" s="18">
        <v>12.4</v>
      </c>
    </row>
    <row r="690" spans="1:8" x14ac:dyDescent="0.25">
      <c r="A690" s="11">
        <v>2011</v>
      </c>
      <c r="B690" s="11" t="s">
        <v>250</v>
      </c>
      <c r="C690" s="18">
        <v>18.600000000000001</v>
      </c>
      <c r="D690" s="18">
        <v>69.599999999999994</v>
      </c>
      <c r="E690" s="18">
        <v>97.3</v>
      </c>
      <c r="F690" s="18">
        <v>109.3</v>
      </c>
      <c r="G690" s="18">
        <v>58.5</v>
      </c>
      <c r="H690" s="18">
        <v>11.2</v>
      </c>
    </row>
    <row r="691" spans="1:8" x14ac:dyDescent="0.25">
      <c r="A691" s="11">
        <v>2011</v>
      </c>
      <c r="B691" s="11" t="s">
        <v>251</v>
      </c>
      <c r="C691" s="18">
        <v>20.100000000000001</v>
      </c>
      <c r="D691" s="18">
        <v>65.5</v>
      </c>
      <c r="E691" s="18">
        <v>90.2</v>
      </c>
      <c r="F691" s="18">
        <v>100.9</v>
      </c>
      <c r="G691" s="18">
        <v>48.8</v>
      </c>
      <c r="H691" s="18">
        <v>11</v>
      </c>
    </row>
    <row r="692" spans="1:8" x14ac:dyDescent="0.25">
      <c r="A692" s="11">
        <v>2011</v>
      </c>
      <c r="B692" s="11" t="s">
        <v>252</v>
      </c>
      <c r="C692" s="18">
        <v>19.8</v>
      </c>
      <c r="D692" s="18">
        <v>73.7</v>
      </c>
      <c r="E692" s="18">
        <v>116.2</v>
      </c>
      <c r="F692" s="18">
        <v>117.4</v>
      </c>
      <c r="G692" s="18">
        <v>54.2</v>
      </c>
      <c r="H692" s="18">
        <v>12.5</v>
      </c>
    </row>
    <row r="693" spans="1:8" x14ac:dyDescent="0.25">
      <c r="A693" s="11">
        <v>2011</v>
      </c>
      <c r="B693" s="11" t="s">
        <v>253</v>
      </c>
      <c r="C693" s="18">
        <v>20.7</v>
      </c>
      <c r="D693" s="18">
        <v>61.5</v>
      </c>
      <c r="E693" s="18">
        <v>102.6</v>
      </c>
      <c r="F693" s="18">
        <v>110.6</v>
      </c>
      <c r="G693" s="18">
        <v>54.1</v>
      </c>
      <c r="H693" s="18">
        <v>10.9</v>
      </c>
    </row>
    <row r="694" spans="1:8" x14ac:dyDescent="0.25">
      <c r="A694" s="11">
        <v>2011</v>
      </c>
      <c r="B694" s="11" t="s">
        <v>254</v>
      </c>
      <c r="C694" s="18">
        <v>23.8</v>
      </c>
      <c r="D694" s="18">
        <v>71.400000000000006</v>
      </c>
      <c r="E694" s="18">
        <v>94.1</v>
      </c>
      <c r="F694" s="18">
        <v>99.1</v>
      </c>
      <c r="G694" s="18">
        <v>51.8</v>
      </c>
      <c r="H694" s="18">
        <v>12</v>
      </c>
    </row>
    <row r="695" spans="1:8" x14ac:dyDescent="0.25">
      <c r="A695" s="11">
        <v>2011</v>
      </c>
      <c r="B695" s="11" t="s">
        <v>255</v>
      </c>
      <c r="C695" s="18">
        <v>18.600000000000001</v>
      </c>
      <c r="D695" s="18">
        <v>64.8</v>
      </c>
      <c r="E695" s="18">
        <v>99.7</v>
      </c>
      <c r="F695" s="18">
        <v>112</v>
      </c>
      <c r="G695" s="18">
        <v>58.8</v>
      </c>
      <c r="H695" s="18">
        <v>10.7</v>
      </c>
    </row>
    <row r="696" spans="1:8" x14ac:dyDescent="0.25">
      <c r="A696" s="11">
        <v>2011</v>
      </c>
      <c r="B696" s="11" t="s">
        <v>256</v>
      </c>
      <c r="C696" s="18">
        <v>14.5</v>
      </c>
      <c r="D696" s="18">
        <v>26.6</v>
      </c>
      <c r="E696" s="18">
        <v>76.8</v>
      </c>
      <c r="F696" s="18">
        <v>111.9</v>
      </c>
      <c r="G696" s="18">
        <v>62.7</v>
      </c>
      <c r="H696" s="18">
        <v>11.2</v>
      </c>
    </row>
    <row r="697" spans="1:8" x14ac:dyDescent="0.25">
      <c r="A697" s="11">
        <v>2011</v>
      </c>
      <c r="B697" s="11" t="s">
        <v>257</v>
      </c>
      <c r="C697" s="18">
        <v>27.9</v>
      </c>
      <c r="D697" s="18">
        <v>82.7</v>
      </c>
      <c r="E697" s="18">
        <v>110.1</v>
      </c>
      <c r="F697" s="18">
        <v>92.5</v>
      </c>
      <c r="G697" s="18">
        <v>48.1</v>
      </c>
      <c r="H697" s="18">
        <v>7.6</v>
      </c>
    </row>
    <row r="698" spans="1:8" x14ac:dyDescent="0.25">
      <c r="A698" s="11">
        <v>2011</v>
      </c>
      <c r="B698" s="11" t="s">
        <v>258</v>
      </c>
      <c r="C698" s="18">
        <v>22.6</v>
      </c>
      <c r="D698" s="18">
        <v>88</v>
      </c>
      <c r="E698" s="18">
        <v>106</v>
      </c>
      <c r="F698" s="18">
        <v>104.1</v>
      </c>
      <c r="G698" s="18">
        <v>50.8</v>
      </c>
      <c r="H698" s="18">
        <v>8.6</v>
      </c>
    </row>
    <row r="699" spans="1:8" x14ac:dyDescent="0.25">
      <c r="A699" s="11">
        <v>2012</v>
      </c>
      <c r="B699" s="11" t="s">
        <v>11</v>
      </c>
      <c r="C699" s="18">
        <v>19.7</v>
      </c>
      <c r="D699" s="18">
        <v>55.5</v>
      </c>
      <c r="E699" s="18">
        <v>91.4</v>
      </c>
      <c r="F699" s="18">
        <v>102</v>
      </c>
      <c r="G699" s="18">
        <v>55.8</v>
      </c>
      <c r="H699" s="18">
        <v>11</v>
      </c>
    </row>
    <row r="700" spans="1:8" x14ac:dyDescent="0.25">
      <c r="A700" s="11">
        <v>2012</v>
      </c>
      <c r="B700" s="11" t="s">
        <v>227</v>
      </c>
      <c r="C700" s="18">
        <v>18</v>
      </c>
      <c r="D700" s="18">
        <v>33.5</v>
      </c>
      <c r="E700" s="18">
        <v>75.400000000000006</v>
      </c>
      <c r="F700" s="18">
        <v>99.2</v>
      </c>
      <c r="G700" s="18">
        <v>61.8</v>
      </c>
      <c r="H700" s="18">
        <v>13</v>
      </c>
    </row>
    <row r="701" spans="1:8" x14ac:dyDescent="0.25">
      <c r="A701" s="11">
        <v>2012</v>
      </c>
      <c r="B701" s="11" t="s">
        <v>228</v>
      </c>
      <c r="C701" s="18">
        <v>14.2</v>
      </c>
      <c r="D701" s="18">
        <v>62.2</v>
      </c>
      <c r="E701" s="18">
        <v>122.5</v>
      </c>
      <c r="F701" s="18">
        <v>128.69999999999999</v>
      </c>
      <c r="G701" s="18">
        <v>54.8</v>
      </c>
      <c r="H701" s="18">
        <v>9.4</v>
      </c>
    </row>
    <row r="702" spans="1:8" x14ac:dyDescent="0.25">
      <c r="A702" s="11">
        <v>2012</v>
      </c>
      <c r="B702" s="11" t="s">
        <v>229</v>
      </c>
      <c r="C702" s="18">
        <v>18.8</v>
      </c>
      <c r="D702" s="18">
        <v>75.5</v>
      </c>
      <c r="E702" s="18">
        <v>105.3</v>
      </c>
      <c r="F702" s="18">
        <v>111.7</v>
      </c>
      <c r="G702" s="18">
        <v>46.4</v>
      </c>
      <c r="H702" s="18">
        <v>11.8</v>
      </c>
    </row>
    <row r="703" spans="1:8" x14ac:dyDescent="0.25">
      <c r="A703" s="11">
        <v>2012</v>
      </c>
      <c r="B703" s="11" t="s">
        <v>230</v>
      </c>
      <c r="C703" s="18">
        <v>14.6</v>
      </c>
      <c r="D703" s="18">
        <v>71.099999999999994</v>
      </c>
      <c r="E703" s="18">
        <v>102.7</v>
      </c>
      <c r="F703" s="18">
        <v>113.6</v>
      </c>
      <c r="G703" s="18">
        <v>55.8</v>
      </c>
      <c r="H703" s="18">
        <v>14.4</v>
      </c>
    </row>
    <row r="704" spans="1:8" x14ac:dyDescent="0.25">
      <c r="A704" s="11">
        <v>2012</v>
      </c>
      <c r="B704" s="11" t="s">
        <v>231</v>
      </c>
      <c r="C704" s="18">
        <v>13.8</v>
      </c>
      <c r="D704" s="18">
        <v>27.5</v>
      </c>
      <c r="E704" s="18">
        <v>57.2</v>
      </c>
      <c r="F704" s="18">
        <v>94.3</v>
      </c>
      <c r="G704" s="18">
        <v>74.2</v>
      </c>
      <c r="H704" s="18">
        <v>17.100000000000001</v>
      </c>
    </row>
    <row r="705" spans="1:8" x14ac:dyDescent="0.25">
      <c r="A705" s="11">
        <v>2012</v>
      </c>
      <c r="B705" s="11" t="s">
        <v>232</v>
      </c>
      <c r="C705" s="18">
        <v>32.799999999999997</v>
      </c>
      <c r="D705" s="18">
        <v>103.6</v>
      </c>
      <c r="E705" s="18">
        <v>119.7</v>
      </c>
      <c r="F705" s="18">
        <v>112.2</v>
      </c>
      <c r="G705" s="18">
        <v>44.2</v>
      </c>
      <c r="H705" s="18">
        <v>8.9</v>
      </c>
    </row>
    <row r="706" spans="1:8" x14ac:dyDescent="0.25">
      <c r="A706" s="11">
        <v>2012</v>
      </c>
      <c r="B706" s="11" t="s">
        <v>233</v>
      </c>
      <c r="C706" s="18">
        <v>21.7</v>
      </c>
      <c r="D706" s="18">
        <v>82.6</v>
      </c>
      <c r="E706" s="18">
        <v>115.2</v>
      </c>
      <c r="F706" s="18">
        <v>92.7</v>
      </c>
      <c r="G706" s="18">
        <v>44.8</v>
      </c>
      <c r="H706" s="18">
        <v>6.9</v>
      </c>
    </row>
    <row r="707" spans="1:8" x14ac:dyDescent="0.25">
      <c r="A707" s="11">
        <v>2012</v>
      </c>
      <c r="B707" s="11" t="s">
        <v>234</v>
      </c>
      <c r="C707" s="18">
        <v>23.2</v>
      </c>
      <c r="D707" s="18">
        <v>48.2</v>
      </c>
      <c r="E707" s="18">
        <v>87.5</v>
      </c>
      <c r="F707" s="18">
        <v>87.2</v>
      </c>
      <c r="G707" s="18">
        <v>52.4</v>
      </c>
      <c r="H707" s="18">
        <v>10.9</v>
      </c>
    </row>
    <row r="708" spans="1:8" x14ac:dyDescent="0.25">
      <c r="A708" s="11">
        <v>2012</v>
      </c>
      <c r="B708" s="11" t="s">
        <v>235</v>
      </c>
      <c r="C708" s="18">
        <v>31.4</v>
      </c>
      <c r="D708" s="18">
        <v>81.400000000000006</v>
      </c>
      <c r="E708" s="18">
        <v>111.8</v>
      </c>
      <c r="F708" s="18">
        <v>90.5</v>
      </c>
      <c r="G708" s="18">
        <v>50.3</v>
      </c>
      <c r="H708" s="18">
        <v>6.3</v>
      </c>
    </row>
    <row r="709" spans="1:8" x14ac:dyDescent="0.25">
      <c r="A709" s="11">
        <v>2012</v>
      </c>
      <c r="B709" s="11" t="s">
        <v>236</v>
      </c>
      <c r="C709" s="18">
        <v>8.8000000000000007</v>
      </c>
      <c r="D709" s="18">
        <v>32.700000000000003</v>
      </c>
      <c r="E709" s="18">
        <v>89.6</v>
      </c>
      <c r="F709" s="18">
        <v>133.1</v>
      </c>
      <c r="G709" s="18">
        <v>69.099999999999994</v>
      </c>
      <c r="H709" s="18">
        <v>11.7</v>
      </c>
    </row>
    <row r="710" spans="1:8" x14ac:dyDescent="0.25">
      <c r="A710" s="11">
        <v>2012</v>
      </c>
      <c r="B710" s="11" t="s">
        <v>237</v>
      </c>
      <c r="C710" s="18">
        <v>20.8</v>
      </c>
      <c r="D710" s="18">
        <v>64.8</v>
      </c>
      <c r="E710" s="18">
        <v>113.8</v>
      </c>
      <c r="F710" s="18">
        <v>109</v>
      </c>
      <c r="G710" s="18">
        <v>59.6</v>
      </c>
      <c r="H710" s="18">
        <v>11.3</v>
      </c>
    </row>
    <row r="711" spans="1:8" x14ac:dyDescent="0.25">
      <c r="A711" s="11">
        <v>2012</v>
      </c>
      <c r="B711" s="11" t="s">
        <v>238</v>
      </c>
      <c r="C711" s="18">
        <v>6.8</v>
      </c>
      <c r="D711" s="18">
        <v>29.1</v>
      </c>
      <c r="E711" s="18">
        <v>92.7</v>
      </c>
      <c r="F711" s="18">
        <v>155.9</v>
      </c>
      <c r="G711" s="18">
        <v>79.8</v>
      </c>
      <c r="H711" s="18">
        <v>15.4</v>
      </c>
    </row>
    <row r="712" spans="1:8" x14ac:dyDescent="0.25">
      <c r="A712" s="11">
        <v>2012</v>
      </c>
      <c r="B712" s="11" t="s">
        <v>239</v>
      </c>
      <c r="C712" s="18">
        <v>24.1</v>
      </c>
      <c r="D712" s="18">
        <v>71.2</v>
      </c>
      <c r="E712" s="18">
        <v>105</v>
      </c>
      <c r="F712" s="18">
        <v>102.7</v>
      </c>
      <c r="G712" s="18">
        <v>55.4</v>
      </c>
      <c r="H712" s="18">
        <v>10.9</v>
      </c>
    </row>
    <row r="713" spans="1:8" x14ac:dyDescent="0.25">
      <c r="A713" s="11">
        <v>2012</v>
      </c>
      <c r="B713" s="11" t="s">
        <v>240</v>
      </c>
      <c r="C713" s="18">
        <v>24.1</v>
      </c>
      <c r="D713" s="18">
        <v>66.099999999999994</v>
      </c>
      <c r="E713" s="18">
        <v>109.5</v>
      </c>
      <c r="F713" s="18">
        <v>98.9</v>
      </c>
      <c r="G713" s="18">
        <v>51.6</v>
      </c>
      <c r="H713" s="18">
        <v>8.6999999999999993</v>
      </c>
    </row>
    <row r="714" spans="1:8" x14ac:dyDescent="0.25">
      <c r="A714" s="11">
        <v>2012</v>
      </c>
      <c r="B714" s="11" t="s">
        <v>241</v>
      </c>
      <c r="C714" s="18">
        <v>20.9</v>
      </c>
      <c r="D714" s="18">
        <v>45.7</v>
      </c>
      <c r="E714" s="18">
        <v>77.2</v>
      </c>
      <c r="F714" s="18">
        <v>92.8</v>
      </c>
      <c r="G714" s="18">
        <v>57.7</v>
      </c>
      <c r="H714" s="18">
        <v>13.9</v>
      </c>
    </row>
    <row r="715" spans="1:8" x14ac:dyDescent="0.25">
      <c r="A715" s="11">
        <v>2012</v>
      </c>
      <c r="B715" s="11" t="s">
        <v>242</v>
      </c>
      <c r="C715" s="18">
        <v>22</v>
      </c>
      <c r="D715" s="18">
        <v>77.7</v>
      </c>
      <c r="E715" s="18">
        <v>105.5</v>
      </c>
      <c r="F715" s="18">
        <v>96</v>
      </c>
      <c r="G715" s="18">
        <v>56.3</v>
      </c>
      <c r="H715" s="18">
        <v>12.2</v>
      </c>
    </row>
    <row r="716" spans="1:8" x14ac:dyDescent="0.25">
      <c r="A716" s="11">
        <v>2012</v>
      </c>
      <c r="B716" s="11" t="s">
        <v>243</v>
      </c>
      <c r="C716" s="18">
        <v>20.2</v>
      </c>
      <c r="D716" s="18">
        <v>58.6</v>
      </c>
      <c r="E716" s="18">
        <v>99.6</v>
      </c>
      <c r="F716" s="18">
        <v>94.1</v>
      </c>
      <c r="G716" s="18">
        <v>43.8</v>
      </c>
      <c r="H716" s="18">
        <v>6.7</v>
      </c>
    </row>
    <row r="717" spans="1:8" x14ac:dyDescent="0.25">
      <c r="A717" s="11">
        <v>2012</v>
      </c>
      <c r="B717" s="11" t="s">
        <v>244</v>
      </c>
      <c r="C717" s="18">
        <v>27.9</v>
      </c>
      <c r="D717" s="18">
        <v>83.3</v>
      </c>
      <c r="E717" s="18">
        <v>121</v>
      </c>
      <c r="F717" s="18">
        <v>116.2</v>
      </c>
      <c r="G717" s="18">
        <v>65.400000000000006</v>
      </c>
      <c r="H717" s="18">
        <v>10.7</v>
      </c>
    </row>
    <row r="718" spans="1:8" x14ac:dyDescent="0.25">
      <c r="A718" s="11">
        <v>2012</v>
      </c>
      <c r="B718" s="11" t="s">
        <v>245</v>
      </c>
      <c r="C718" s="18">
        <v>21.3</v>
      </c>
      <c r="D718" s="18">
        <v>85.5</v>
      </c>
      <c r="E718" s="18">
        <v>109.7</v>
      </c>
      <c r="F718" s="18">
        <v>92.3</v>
      </c>
      <c r="G718" s="18">
        <v>41.4</v>
      </c>
      <c r="H718" s="18">
        <v>7.8</v>
      </c>
    </row>
    <row r="719" spans="1:8" x14ac:dyDescent="0.25">
      <c r="A719" s="11">
        <v>2012</v>
      </c>
      <c r="B719" s="11" t="s">
        <v>246</v>
      </c>
      <c r="C719" s="18">
        <v>17.8</v>
      </c>
      <c r="D719" s="18">
        <v>61.5</v>
      </c>
      <c r="E719" s="18">
        <v>85.7</v>
      </c>
      <c r="F719" s="18">
        <v>109.5</v>
      </c>
      <c r="G719" s="18">
        <v>69.3</v>
      </c>
      <c r="H719" s="18">
        <v>7.1</v>
      </c>
    </row>
    <row r="720" spans="1:8" x14ac:dyDescent="0.25">
      <c r="A720" s="11">
        <v>2012</v>
      </c>
      <c r="B720" s="11" t="s">
        <v>247</v>
      </c>
      <c r="C720" s="18">
        <v>20.9</v>
      </c>
      <c r="D720" s="18">
        <v>77.3</v>
      </c>
      <c r="E720" s="18">
        <v>100.5</v>
      </c>
      <c r="F720" s="18">
        <v>97.4</v>
      </c>
      <c r="G720" s="18">
        <v>41</v>
      </c>
      <c r="H720" s="18">
        <v>7.3</v>
      </c>
    </row>
    <row r="721" spans="1:8" x14ac:dyDescent="0.25">
      <c r="A721" s="11">
        <v>2012</v>
      </c>
      <c r="B721" s="11" t="s">
        <v>248</v>
      </c>
      <c r="C721" s="18">
        <v>22.3</v>
      </c>
      <c r="D721" s="18">
        <v>70.400000000000006</v>
      </c>
      <c r="E721" s="18">
        <v>98.5</v>
      </c>
      <c r="F721" s="18">
        <v>96.5</v>
      </c>
      <c r="G721" s="18">
        <v>43.1</v>
      </c>
      <c r="H721" s="18">
        <v>8</v>
      </c>
    </row>
    <row r="722" spans="1:8" x14ac:dyDescent="0.25">
      <c r="A722" s="11">
        <v>2012</v>
      </c>
      <c r="B722" s="11" t="s">
        <v>249</v>
      </c>
      <c r="C722" s="18">
        <v>14.3</v>
      </c>
      <c r="D722" s="18">
        <v>63</v>
      </c>
      <c r="E722" s="18">
        <v>95.1</v>
      </c>
      <c r="F722" s="18">
        <v>95.2</v>
      </c>
      <c r="G722" s="18">
        <v>60.4</v>
      </c>
      <c r="H722" s="18">
        <v>16.899999999999999</v>
      </c>
    </row>
    <row r="723" spans="1:8" x14ac:dyDescent="0.25">
      <c r="A723" s="11">
        <v>2012</v>
      </c>
      <c r="B723" s="11" t="s">
        <v>250</v>
      </c>
      <c r="C723" s="18">
        <v>14.4</v>
      </c>
      <c r="D723" s="18">
        <v>62.6</v>
      </c>
      <c r="E723" s="18">
        <v>89.2</v>
      </c>
      <c r="F723" s="18">
        <v>96.8</v>
      </c>
      <c r="G723" s="18">
        <v>49.4</v>
      </c>
      <c r="H723" s="18">
        <v>10.7</v>
      </c>
    </row>
    <row r="724" spans="1:8" x14ac:dyDescent="0.25">
      <c r="A724" s="11">
        <v>2012</v>
      </c>
      <c r="B724" s="11" t="s">
        <v>251</v>
      </c>
      <c r="C724" s="18">
        <v>18.2</v>
      </c>
      <c r="D724" s="18">
        <v>58.6</v>
      </c>
      <c r="E724" s="18">
        <v>106.3</v>
      </c>
      <c r="F724" s="18">
        <v>116.3</v>
      </c>
      <c r="G724" s="18">
        <v>51.6</v>
      </c>
      <c r="H724" s="18">
        <v>10.9</v>
      </c>
    </row>
    <row r="725" spans="1:8" x14ac:dyDescent="0.25">
      <c r="A725" s="11">
        <v>2012</v>
      </c>
      <c r="B725" s="11" t="s">
        <v>252</v>
      </c>
      <c r="C725" s="18">
        <v>21.4</v>
      </c>
      <c r="D725" s="18">
        <v>75.8</v>
      </c>
      <c r="E725" s="18">
        <v>116.3</v>
      </c>
      <c r="F725" s="18">
        <v>129.5</v>
      </c>
      <c r="G725" s="18">
        <v>54.4</v>
      </c>
      <c r="H725" s="18">
        <v>12.6</v>
      </c>
    </row>
    <row r="726" spans="1:8" x14ac:dyDescent="0.25">
      <c r="A726" s="11">
        <v>2012</v>
      </c>
      <c r="B726" s="11" t="s">
        <v>253</v>
      </c>
      <c r="C726" s="18">
        <v>12.9</v>
      </c>
      <c r="D726" s="18">
        <v>74.8</v>
      </c>
      <c r="E726" s="18">
        <v>126.4</v>
      </c>
      <c r="F726" s="18">
        <v>128.9</v>
      </c>
      <c r="G726" s="18">
        <v>66.400000000000006</v>
      </c>
      <c r="H726" s="18">
        <v>10.8</v>
      </c>
    </row>
    <row r="727" spans="1:8" x14ac:dyDescent="0.25">
      <c r="A727" s="11">
        <v>2012</v>
      </c>
      <c r="B727" s="11" t="s">
        <v>254</v>
      </c>
      <c r="C727" s="18">
        <v>17.600000000000001</v>
      </c>
      <c r="D727" s="18">
        <v>70</v>
      </c>
      <c r="E727" s="18">
        <v>89.9</v>
      </c>
      <c r="F727" s="18">
        <v>90.9</v>
      </c>
      <c r="G727" s="18">
        <v>51.9</v>
      </c>
      <c r="H727" s="18">
        <v>8.5</v>
      </c>
    </row>
    <row r="728" spans="1:8" x14ac:dyDescent="0.25">
      <c r="A728" s="11">
        <v>2012</v>
      </c>
      <c r="B728" s="11" t="s">
        <v>255</v>
      </c>
      <c r="C728" s="18">
        <v>20</v>
      </c>
      <c r="D728" s="18">
        <v>64.599999999999994</v>
      </c>
      <c r="E728" s="18">
        <v>90.5</v>
      </c>
      <c r="F728" s="18">
        <v>113.1</v>
      </c>
      <c r="G728" s="18">
        <v>51.3</v>
      </c>
      <c r="H728" s="18">
        <v>10.8</v>
      </c>
    </row>
    <row r="729" spans="1:8" x14ac:dyDescent="0.25">
      <c r="A729" s="11">
        <v>2012</v>
      </c>
      <c r="B729" s="11" t="s">
        <v>256</v>
      </c>
      <c r="C729" s="18">
        <v>11.6</v>
      </c>
      <c r="D729" s="18">
        <v>32.200000000000003</v>
      </c>
      <c r="E729" s="18">
        <v>80.900000000000006</v>
      </c>
      <c r="F729" s="18">
        <v>105</v>
      </c>
      <c r="G729" s="18">
        <v>59.7</v>
      </c>
      <c r="H729" s="18">
        <v>12.2</v>
      </c>
    </row>
    <row r="730" spans="1:8" x14ac:dyDescent="0.25">
      <c r="A730" s="11">
        <v>2012</v>
      </c>
      <c r="B730" s="11" t="s">
        <v>257</v>
      </c>
      <c r="C730" s="18">
        <v>25.1</v>
      </c>
      <c r="D730" s="18">
        <v>69.2</v>
      </c>
      <c r="E730" s="18">
        <v>108.7</v>
      </c>
      <c r="F730" s="18">
        <v>102.6</v>
      </c>
      <c r="G730" s="18">
        <v>56.5</v>
      </c>
      <c r="H730" s="18">
        <v>6</v>
      </c>
    </row>
    <row r="731" spans="1:8" x14ac:dyDescent="0.25">
      <c r="A731" s="11">
        <v>2012</v>
      </c>
      <c r="B731" s="11" t="s">
        <v>258</v>
      </c>
      <c r="C731" s="18">
        <v>21</v>
      </c>
      <c r="D731" s="18">
        <v>80.8</v>
      </c>
      <c r="E731" s="18">
        <v>107.4</v>
      </c>
      <c r="F731" s="18">
        <v>97.8</v>
      </c>
      <c r="G731" s="18">
        <v>56.6</v>
      </c>
      <c r="H731" s="18">
        <v>9.4</v>
      </c>
    </row>
    <row r="732" spans="1:8" x14ac:dyDescent="0.25">
      <c r="A732" s="11">
        <v>2013</v>
      </c>
      <c r="B732" s="11" t="s">
        <v>11</v>
      </c>
      <c r="C732" s="18">
        <v>18.100000000000001</v>
      </c>
      <c r="D732" s="18">
        <v>53.2</v>
      </c>
      <c r="E732" s="18">
        <v>86.7</v>
      </c>
      <c r="F732" s="18">
        <v>98.6</v>
      </c>
      <c r="G732" s="18">
        <v>56.1</v>
      </c>
      <c r="H732" s="18">
        <v>11.5</v>
      </c>
    </row>
    <row r="733" spans="1:8" x14ac:dyDescent="0.25">
      <c r="A733" s="11">
        <v>2013</v>
      </c>
      <c r="B733" s="11" t="s">
        <v>227</v>
      </c>
      <c r="C733" s="18">
        <v>16.2</v>
      </c>
      <c r="D733" s="18">
        <v>30.5</v>
      </c>
      <c r="E733" s="18">
        <v>67.8</v>
      </c>
      <c r="F733" s="18">
        <v>96.2</v>
      </c>
      <c r="G733" s="18">
        <v>54.8</v>
      </c>
      <c r="H733" s="18">
        <v>10.8</v>
      </c>
    </row>
    <row r="734" spans="1:8" x14ac:dyDescent="0.25">
      <c r="A734" s="11">
        <v>2013</v>
      </c>
      <c r="B734" s="11" t="s">
        <v>228</v>
      </c>
      <c r="C734" s="18">
        <v>14.6</v>
      </c>
      <c r="D734" s="18">
        <v>59</v>
      </c>
      <c r="E734" s="18">
        <v>104.7</v>
      </c>
      <c r="F734" s="18">
        <v>116.5</v>
      </c>
      <c r="G734" s="18">
        <v>57</v>
      </c>
      <c r="H734" s="18">
        <v>10.1</v>
      </c>
    </row>
    <row r="735" spans="1:8" x14ac:dyDescent="0.25">
      <c r="A735" s="11">
        <v>2013</v>
      </c>
      <c r="B735" s="11" t="s">
        <v>229</v>
      </c>
      <c r="C735" s="18">
        <v>16.899999999999999</v>
      </c>
      <c r="D735" s="18">
        <v>75.400000000000006</v>
      </c>
      <c r="E735" s="18">
        <v>100.6</v>
      </c>
      <c r="F735" s="18">
        <v>100.6</v>
      </c>
      <c r="G735" s="18">
        <v>48.4</v>
      </c>
      <c r="H735" s="18">
        <v>13.6</v>
      </c>
    </row>
    <row r="736" spans="1:8" x14ac:dyDescent="0.25">
      <c r="A736" s="11">
        <v>2013</v>
      </c>
      <c r="B736" s="11" t="s">
        <v>230</v>
      </c>
      <c r="C736" s="18">
        <v>20.399999999999999</v>
      </c>
      <c r="D736" s="18">
        <v>68.2</v>
      </c>
      <c r="E736" s="18">
        <v>95.5</v>
      </c>
      <c r="F736" s="18">
        <v>91.1</v>
      </c>
      <c r="G736" s="18">
        <v>51.3</v>
      </c>
      <c r="H736" s="18">
        <v>12.9</v>
      </c>
    </row>
    <row r="737" spans="1:8" x14ac:dyDescent="0.25">
      <c r="A737" s="11">
        <v>2013</v>
      </c>
      <c r="B737" s="11" t="s">
        <v>231</v>
      </c>
      <c r="C737" s="18">
        <v>12.8</v>
      </c>
      <c r="D737" s="18">
        <v>25.8</v>
      </c>
      <c r="E737" s="18">
        <v>54.7</v>
      </c>
      <c r="F737" s="18">
        <v>94.1</v>
      </c>
      <c r="G737" s="18">
        <v>73.400000000000006</v>
      </c>
      <c r="H737" s="18">
        <v>16.600000000000001</v>
      </c>
    </row>
    <row r="738" spans="1:8" x14ac:dyDescent="0.25">
      <c r="A738" s="11">
        <v>2013</v>
      </c>
      <c r="B738" s="11" t="s">
        <v>232</v>
      </c>
      <c r="C738" s="18">
        <v>31.5</v>
      </c>
      <c r="D738" s="18">
        <v>85.2</v>
      </c>
      <c r="E738" s="18">
        <v>108.6</v>
      </c>
      <c r="F738" s="18">
        <v>94.2</v>
      </c>
      <c r="G738" s="18">
        <v>42.8</v>
      </c>
      <c r="H738" s="18">
        <v>9.6</v>
      </c>
    </row>
    <row r="739" spans="1:8" x14ac:dyDescent="0.25">
      <c r="A739" s="11">
        <v>2013</v>
      </c>
      <c r="B739" s="11" t="s">
        <v>233</v>
      </c>
      <c r="C739" s="18">
        <v>20.399999999999999</v>
      </c>
      <c r="D739" s="18">
        <v>73.599999999999994</v>
      </c>
      <c r="E739" s="18">
        <v>106.8</v>
      </c>
      <c r="F739" s="18">
        <v>90.6</v>
      </c>
      <c r="G739" s="18">
        <v>46.3</v>
      </c>
      <c r="H739" s="18">
        <v>9.6999999999999993</v>
      </c>
    </row>
    <row r="740" spans="1:8" x14ac:dyDescent="0.25">
      <c r="A740" s="11">
        <v>2013</v>
      </c>
      <c r="B740" s="11" t="s">
        <v>234</v>
      </c>
      <c r="C740" s="18">
        <v>22.3</v>
      </c>
      <c r="D740" s="18">
        <v>42.7</v>
      </c>
      <c r="E740" s="18">
        <v>81.7</v>
      </c>
      <c r="F740" s="18">
        <v>82.1</v>
      </c>
      <c r="G740" s="18">
        <v>49.4</v>
      </c>
      <c r="H740" s="18">
        <v>9.4</v>
      </c>
    </row>
    <row r="741" spans="1:8" x14ac:dyDescent="0.25">
      <c r="A741" s="11">
        <v>2013</v>
      </c>
      <c r="B741" s="11" t="s">
        <v>235</v>
      </c>
      <c r="C741" s="18">
        <v>24.1</v>
      </c>
      <c r="D741" s="18">
        <v>80.2</v>
      </c>
      <c r="E741" s="18">
        <v>105.5</v>
      </c>
      <c r="F741" s="18">
        <v>99.7</v>
      </c>
      <c r="G741" s="18">
        <v>51.8</v>
      </c>
      <c r="H741" s="18">
        <v>8</v>
      </c>
    </row>
    <row r="742" spans="1:8" x14ac:dyDescent="0.25">
      <c r="A742" s="11">
        <v>2013</v>
      </c>
      <c r="B742" s="11" t="s">
        <v>236</v>
      </c>
      <c r="C742" s="18">
        <v>7.2</v>
      </c>
      <c r="D742" s="18">
        <v>28</v>
      </c>
      <c r="E742" s="18">
        <v>90.6</v>
      </c>
      <c r="F742" s="18">
        <v>132.19999999999999</v>
      </c>
      <c r="G742" s="18">
        <v>80.900000000000006</v>
      </c>
      <c r="H742" s="18">
        <v>15.1</v>
      </c>
    </row>
    <row r="743" spans="1:8" x14ac:dyDescent="0.25">
      <c r="A743" s="11">
        <v>2013</v>
      </c>
      <c r="B743" s="11" t="s">
        <v>237</v>
      </c>
      <c r="C743" s="18">
        <v>16.899999999999999</v>
      </c>
      <c r="D743" s="18">
        <v>59.4</v>
      </c>
      <c r="E743" s="18">
        <v>99.8</v>
      </c>
      <c r="F743" s="18">
        <v>108.9</v>
      </c>
      <c r="G743" s="18">
        <v>65.3</v>
      </c>
      <c r="H743" s="18">
        <v>14.9</v>
      </c>
    </row>
    <row r="744" spans="1:8" x14ac:dyDescent="0.25">
      <c r="A744" s="11">
        <v>2013</v>
      </c>
      <c r="B744" s="11" t="s">
        <v>238</v>
      </c>
      <c r="C744" s="18">
        <v>7.4</v>
      </c>
      <c r="D744" s="18">
        <v>28.3</v>
      </c>
      <c r="E744" s="18">
        <v>82.4</v>
      </c>
      <c r="F744" s="18">
        <v>160.69999999999999</v>
      </c>
      <c r="G744" s="18">
        <v>78</v>
      </c>
      <c r="H744" s="18">
        <v>15.8</v>
      </c>
    </row>
    <row r="745" spans="1:8" x14ac:dyDescent="0.25">
      <c r="A745" s="11">
        <v>2013</v>
      </c>
      <c r="B745" s="11" t="s">
        <v>239</v>
      </c>
      <c r="C745" s="18">
        <v>18.8</v>
      </c>
      <c r="D745" s="18">
        <v>73.900000000000006</v>
      </c>
      <c r="E745" s="18">
        <v>92.2</v>
      </c>
      <c r="F745" s="18">
        <v>95.6</v>
      </c>
      <c r="G745" s="18">
        <v>52.7</v>
      </c>
      <c r="H745" s="18">
        <v>9.6999999999999993</v>
      </c>
    </row>
    <row r="746" spans="1:8" x14ac:dyDescent="0.25">
      <c r="A746" s="11">
        <v>2013</v>
      </c>
      <c r="B746" s="11" t="s">
        <v>240</v>
      </c>
      <c r="C746" s="18">
        <v>21.7</v>
      </c>
      <c r="D746" s="18">
        <v>64.099999999999994</v>
      </c>
      <c r="E746" s="18">
        <v>101.7</v>
      </c>
      <c r="F746" s="18">
        <v>100.1</v>
      </c>
      <c r="G746" s="18">
        <v>49.8</v>
      </c>
      <c r="H746" s="18">
        <v>9</v>
      </c>
    </row>
    <row r="747" spans="1:8" x14ac:dyDescent="0.25">
      <c r="A747" s="11">
        <v>2013</v>
      </c>
      <c r="B747" s="11" t="s">
        <v>241</v>
      </c>
      <c r="C747" s="18">
        <v>19.600000000000001</v>
      </c>
      <c r="D747" s="18">
        <v>44</v>
      </c>
      <c r="E747" s="18">
        <v>74.3</v>
      </c>
      <c r="F747" s="18">
        <v>86.9</v>
      </c>
      <c r="G747" s="18">
        <v>59.1</v>
      </c>
      <c r="H747" s="18">
        <v>13.2</v>
      </c>
    </row>
    <row r="748" spans="1:8" x14ac:dyDescent="0.25">
      <c r="A748" s="11">
        <v>2013</v>
      </c>
      <c r="B748" s="11" t="s">
        <v>242</v>
      </c>
      <c r="C748" s="18">
        <v>18.600000000000001</v>
      </c>
      <c r="D748" s="18">
        <v>75.599999999999994</v>
      </c>
      <c r="E748" s="18">
        <v>91.5</v>
      </c>
      <c r="F748" s="18">
        <v>96.3</v>
      </c>
      <c r="G748" s="18">
        <v>53.1</v>
      </c>
      <c r="H748" s="18">
        <v>13.2</v>
      </c>
    </row>
    <row r="749" spans="1:8" x14ac:dyDescent="0.25">
      <c r="A749" s="11">
        <v>2013</v>
      </c>
      <c r="B749" s="11" t="s">
        <v>243</v>
      </c>
      <c r="C749" s="18">
        <v>20.399999999999999</v>
      </c>
      <c r="D749" s="18">
        <v>58.8</v>
      </c>
      <c r="E749" s="18">
        <v>95.4</v>
      </c>
      <c r="F749" s="18">
        <v>94.5</v>
      </c>
      <c r="G749" s="18">
        <v>41.5</v>
      </c>
      <c r="H749" s="18">
        <v>8.8000000000000007</v>
      </c>
    </row>
    <row r="750" spans="1:8" x14ac:dyDescent="0.25">
      <c r="A750" s="11">
        <v>2013</v>
      </c>
      <c r="B750" s="11" t="s">
        <v>244</v>
      </c>
      <c r="C750" s="18">
        <v>19.600000000000001</v>
      </c>
      <c r="D750" s="18">
        <v>85.3</v>
      </c>
      <c r="E750" s="18">
        <v>99.8</v>
      </c>
      <c r="F750" s="18">
        <v>115.8</v>
      </c>
      <c r="G750" s="18">
        <v>67.5</v>
      </c>
      <c r="H750" s="18">
        <v>10.1</v>
      </c>
    </row>
    <row r="751" spans="1:8" x14ac:dyDescent="0.25">
      <c r="A751" s="11">
        <v>2013</v>
      </c>
      <c r="B751" s="11" t="s">
        <v>245</v>
      </c>
      <c r="C751" s="18">
        <v>18.2</v>
      </c>
      <c r="D751" s="18">
        <v>82.6</v>
      </c>
      <c r="E751" s="18">
        <v>112</v>
      </c>
      <c r="F751" s="18">
        <v>94</v>
      </c>
      <c r="G751" s="18">
        <v>49.2</v>
      </c>
      <c r="H751" s="18">
        <v>9.6</v>
      </c>
    </row>
    <row r="752" spans="1:8" x14ac:dyDescent="0.25">
      <c r="A752" s="11">
        <v>2013</v>
      </c>
      <c r="B752" s="11" t="s">
        <v>246</v>
      </c>
      <c r="C752" s="18">
        <v>18.2</v>
      </c>
      <c r="D752" s="18">
        <v>84.8</v>
      </c>
      <c r="E752" s="18">
        <v>103.9</v>
      </c>
      <c r="F752" s="18">
        <v>96.2</v>
      </c>
      <c r="G752" s="18">
        <v>52.5</v>
      </c>
      <c r="H752" s="18">
        <v>14.1</v>
      </c>
    </row>
    <row r="753" spans="1:8" x14ac:dyDescent="0.25">
      <c r="A753" s="11">
        <v>2013</v>
      </c>
      <c r="B753" s="11" t="s">
        <v>247</v>
      </c>
      <c r="C753" s="18">
        <v>23.7</v>
      </c>
      <c r="D753" s="18">
        <v>74.5</v>
      </c>
      <c r="E753" s="18">
        <v>99.8</v>
      </c>
      <c r="F753" s="18">
        <v>83</v>
      </c>
      <c r="G753" s="18">
        <v>43.5</v>
      </c>
      <c r="H753" s="18">
        <v>10.9</v>
      </c>
    </row>
    <row r="754" spans="1:8" x14ac:dyDescent="0.25">
      <c r="A754" s="11">
        <v>2013</v>
      </c>
      <c r="B754" s="11" t="s">
        <v>248</v>
      </c>
      <c r="C754" s="18">
        <v>21.4</v>
      </c>
      <c r="D754" s="18">
        <v>69.099999999999994</v>
      </c>
      <c r="E754" s="18">
        <v>99.3</v>
      </c>
      <c r="F754" s="18">
        <v>96.4</v>
      </c>
      <c r="G754" s="18">
        <v>45.8</v>
      </c>
      <c r="H754" s="18">
        <v>8.4</v>
      </c>
    </row>
    <row r="755" spans="1:8" x14ac:dyDescent="0.25">
      <c r="A755" s="11">
        <v>2013</v>
      </c>
      <c r="B755" s="11" t="s">
        <v>249</v>
      </c>
      <c r="C755" s="18">
        <v>5</v>
      </c>
      <c r="D755" s="18">
        <v>57.3</v>
      </c>
      <c r="E755" s="18">
        <v>124.6</v>
      </c>
      <c r="F755" s="18">
        <v>100</v>
      </c>
      <c r="G755" s="18">
        <v>52.2</v>
      </c>
      <c r="H755" s="18">
        <v>10.7</v>
      </c>
    </row>
    <row r="756" spans="1:8" x14ac:dyDescent="0.25">
      <c r="A756" s="11">
        <v>2013</v>
      </c>
      <c r="B756" s="11" t="s">
        <v>250</v>
      </c>
      <c r="C756" s="18">
        <v>17.5</v>
      </c>
      <c r="D756" s="18">
        <v>58.6</v>
      </c>
      <c r="E756" s="18">
        <v>88.9</v>
      </c>
      <c r="F756" s="18">
        <v>103.5</v>
      </c>
      <c r="G756" s="18">
        <v>57.5</v>
      </c>
      <c r="H756" s="18">
        <v>8.9</v>
      </c>
    </row>
    <row r="757" spans="1:8" x14ac:dyDescent="0.25">
      <c r="A757" s="11">
        <v>2013</v>
      </c>
      <c r="B757" s="11" t="s">
        <v>251</v>
      </c>
      <c r="C757" s="18">
        <v>18.7</v>
      </c>
      <c r="D757" s="18">
        <v>57.9</v>
      </c>
      <c r="E757" s="18">
        <v>86.1</v>
      </c>
      <c r="F757" s="18">
        <v>102.4</v>
      </c>
      <c r="G757" s="18">
        <v>57.2</v>
      </c>
      <c r="H757" s="18">
        <v>9.5</v>
      </c>
    </row>
    <row r="758" spans="1:8" x14ac:dyDescent="0.25">
      <c r="A758" s="11">
        <v>2013</v>
      </c>
      <c r="B758" s="11" t="s">
        <v>252</v>
      </c>
      <c r="C758" s="18">
        <v>13.9</v>
      </c>
      <c r="D758" s="18">
        <v>73</v>
      </c>
      <c r="E758" s="18">
        <v>118.2</v>
      </c>
      <c r="F758" s="18">
        <v>128.4</v>
      </c>
      <c r="G758" s="18">
        <v>64.099999999999994</v>
      </c>
      <c r="H758" s="18">
        <v>11.4</v>
      </c>
    </row>
    <row r="759" spans="1:8" x14ac:dyDescent="0.25">
      <c r="A759" s="11">
        <v>2013</v>
      </c>
      <c r="B759" s="11" t="s">
        <v>253</v>
      </c>
      <c r="C759" s="18">
        <v>12.7</v>
      </c>
      <c r="D759" s="18">
        <v>69.5</v>
      </c>
      <c r="E759" s="18">
        <v>135.1</v>
      </c>
      <c r="F759" s="18">
        <v>93.3</v>
      </c>
      <c r="G759" s="18">
        <v>70.400000000000006</v>
      </c>
      <c r="H759" s="18">
        <v>16</v>
      </c>
    </row>
    <row r="760" spans="1:8" x14ac:dyDescent="0.25">
      <c r="A760" s="11">
        <v>2013</v>
      </c>
      <c r="B760" s="11" t="s">
        <v>254</v>
      </c>
      <c r="C760" s="18">
        <v>16.899999999999999</v>
      </c>
      <c r="D760" s="18">
        <v>68.3</v>
      </c>
      <c r="E760" s="18">
        <v>87.6</v>
      </c>
      <c r="F760" s="18">
        <v>99.1</v>
      </c>
      <c r="G760" s="18">
        <v>45.2</v>
      </c>
      <c r="H760" s="18">
        <v>13.2</v>
      </c>
    </row>
    <row r="761" spans="1:8" x14ac:dyDescent="0.25">
      <c r="A761" s="11">
        <v>2013</v>
      </c>
      <c r="B761" s="11" t="s">
        <v>255</v>
      </c>
      <c r="C761" s="18">
        <v>17.7</v>
      </c>
      <c r="D761" s="18">
        <v>59.9</v>
      </c>
      <c r="E761" s="18">
        <v>98.8</v>
      </c>
      <c r="F761" s="18">
        <v>104.7</v>
      </c>
      <c r="G761" s="18">
        <v>50.7</v>
      </c>
      <c r="H761" s="18">
        <v>10.6</v>
      </c>
    </row>
    <row r="762" spans="1:8" x14ac:dyDescent="0.25">
      <c r="A762" s="11">
        <v>2013</v>
      </c>
      <c r="B762" s="11" t="s">
        <v>256</v>
      </c>
      <c r="C762" s="18">
        <v>13.4</v>
      </c>
      <c r="D762" s="18">
        <v>33.200000000000003</v>
      </c>
      <c r="E762" s="18">
        <v>77.7</v>
      </c>
      <c r="F762" s="18">
        <v>101.3</v>
      </c>
      <c r="G762" s="18">
        <v>59</v>
      </c>
      <c r="H762" s="18">
        <v>15.3</v>
      </c>
    </row>
    <row r="763" spans="1:8" x14ac:dyDescent="0.25">
      <c r="A763" s="11">
        <v>2013</v>
      </c>
      <c r="B763" s="11" t="s">
        <v>257</v>
      </c>
      <c r="C763" s="18">
        <v>23.4</v>
      </c>
      <c r="D763" s="18">
        <v>63.1</v>
      </c>
      <c r="E763" s="18">
        <v>102.1</v>
      </c>
      <c r="F763" s="18">
        <v>95.9</v>
      </c>
      <c r="G763" s="18">
        <v>52.5</v>
      </c>
      <c r="H763" s="18">
        <v>6.1</v>
      </c>
    </row>
    <row r="764" spans="1:8" x14ac:dyDescent="0.25">
      <c r="A764" s="11">
        <v>2013</v>
      </c>
      <c r="B764" s="11" t="s">
        <v>258</v>
      </c>
      <c r="C764" s="18">
        <v>18.399999999999999</v>
      </c>
      <c r="D764" s="18">
        <v>75.099999999999994</v>
      </c>
      <c r="E764" s="18">
        <v>105.7</v>
      </c>
      <c r="F764" s="18">
        <v>103.5</v>
      </c>
      <c r="G764" s="18">
        <v>48.7</v>
      </c>
      <c r="H764" s="18">
        <v>14.1</v>
      </c>
    </row>
    <row r="765" spans="1:8" x14ac:dyDescent="0.25">
      <c r="A765" s="11">
        <v>2014</v>
      </c>
      <c r="B765" s="11" t="s">
        <v>11</v>
      </c>
      <c r="C765" s="18">
        <v>16.399999999999999</v>
      </c>
      <c r="D765" s="18">
        <v>50.8</v>
      </c>
      <c r="E765" s="18">
        <v>89.1</v>
      </c>
      <c r="F765" s="18">
        <v>101.3</v>
      </c>
      <c r="G765" s="18">
        <v>58.3</v>
      </c>
      <c r="H765" s="18">
        <v>11.9</v>
      </c>
    </row>
    <row r="766" spans="1:8" x14ac:dyDescent="0.25">
      <c r="A766" s="11">
        <v>2014</v>
      </c>
      <c r="B766" s="11" t="s">
        <v>227</v>
      </c>
      <c r="C766" s="18">
        <v>12.3</v>
      </c>
      <c r="D766" s="18">
        <v>29</v>
      </c>
      <c r="E766" s="18">
        <v>69.8</v>
      </c>
      <c r="F766" s="18">
        <v>95.7</v>
      </c>
      <c r="G766" s="18">
        <v>61.2</v>
      </c>
      <c r="H766" s="18">
        <v>13.2</v>
      </c>
    </row>
    <row r="767" spans="1:8" x14ac:dyDescent="0.25">
      <c r="A767" s="11">
        <v>2014</v>
      </c>
      <c r="B767" s="11" t="s">
        <v>228</v>
      </c>
      <c r="C767" s="18">
        <v>9.6</v>
      </c>
      <c r="D767" s="18">
        <v>52</v>
      </c>
      <c r="E767" s="18">
        <v>113.1</v>
      </c>
      <c r="F767" s="18">
        <v>123.2</v>
      </c>
      <c r="G767" s="18">
        <v>62.6</v>
      </c>
      <c r="H767" s="18">
        <v>10.5</v>
      </c>
    </row>
    <row r="768" spans="1:8" x14ac:dyDescent="0.25">
      <c r="A768" s="11">
        <v>2014</v>
      </c>
      <c r="B768" s="11" t="s">
        <v>229</v>
      </c>
      <c r="C768" s="18">
        <v>13.7</v>
      </c>
      <c r="D768" s="18">
        <v>74.900000000000006</v>
      </c>
      <c r="E768" s="18">
        <v>114</v>
      </c>
      <c r="F768" s="18">
        <v>105</v>
      </c>
      <c r="G768" s="18">
        <v>50.9</v>
      </c>
      <c r="H768" s="18">
        <v>8.6</v>
      </c>
    </row>
    <row r="769" spans="1:8" x14ac:dyDescent="0.25">
      <c r="A769" s="11">
        <v>2014</v>
      </c>
      <c r="B769" s="11" t="s">
        <v>230</v>
      </c>
      <c r="C769" s="18">
        <v>13</v>
      </c>
      <c r="D769" s="18">
        <v>73.099999999999994</v>
      </c>
      <c r="E769" s="18">
        <v>110.1</v>
      </c>
      <c r="F769" s="18">
        <v>90.7</v>
      </c>
      <c r="G769" s="18">
        <v>54.5</v>
      </c>
      <c r="H769" s="18">
        <v>11</v>
      </c>
    </row>
    <row r="770" spans="1:8" x14ac:dyDescent="0.25">
      <c r="A770" s="11">
        <v>2014</v>
      </c>
      <c r="B770" s="11" t="s">
        <v>231</v>
      </c>
      <c r="C770" s="18">
        <v>12.2</v>
      </c>
      <c r="D770" s="18">
        <v>23.7</v>
      </c>
      <c r="E770" s="18">
        <v>55.3</v>
      </c>
      <c r="F770" s="18">
        <v>93.8</v>
      </c>
      <c r="G770" s="18">
        <v>75.400000000000006</v>
      </c>
      <c r="H770" s="18">
        <v>19.8</v>
      </c>
    </row>
    <row r="771" spans="1:8" x14ac:dyDescent="0.25">
      <c r="A771" s="11">
        <v>2014</v>
      </c>
      <c r="B771" s="11" t="s">
        <v>232</v>
      </c>
      <c r="C771" s="18">
        <v>31.5</v>
      </c>
      <c r="D771" s="18">
        <v>90.7</v>
      </c>
      <c r="E771" s="18">
        <v>100.4</v>
      </c>
      <c r="F771" s="18">
        <v>90.9</v>
      </c>
      <c r="G771" s="18">
        <v>56.6</v>
      </c>
      <c r="H771" s="18">
        <v>9.8000000000000007</v>
      </c>
    </row>
    <row r="772" spans="1:8" x14ac:dyDescent="0.25">
      <c r="A772" s="11">
        <v>2014</v>
      </c>
      <c r="B772" s="11" t="s">
        <v>233</v>
      </c>
      <c r="C772" s="18">
        <v>19.100000000000001</v>
      </c>
      <c r="D772" s="18">
        <v>71.599999999999994</v>
      </c>
      <c r="E772" s="18">
        <v>99.1</v>
      </c>
      <c r="F772" s="18">
        <v>89.7</v>
      </c>
      <c r="G772" s="18">
        <v>48.3</v>
      </c>
      <c r="H772" s="18">
        <v>10.1</v>
      </c>
    </row>
    <row r="773" spans="1:8" x14ac:dyDescent="0.25">
      <c r="A773" s="11">
        <v>2014</v>
      </c>
      <c r="B773" s="11" t="s">
        <v>234</v>
      </c>
      <c r="C773" s="18">
        <v>22.6</v>
      </c>
      <c r="D773" s="18">
        <v>42.4</v>
      </c>
      <c r="E773" s="18">
        <v>94.6</v>
      </c>
      <c r="F773" s="18">
        <v>91.3</v>
      </c>
      <c r="G773" s="18">
        <v>52.3</v>
      </c>
      <c r="H773" s="18">
        <v>10.5</v>
      </c>
    </row>
    <row r="774" spans="1:8" x14ac:dyDescent="0.25">
      <c r="A774" s="11">
        <v>2014</v>
      </c>
      <c r="B774" s="11" t="s">
        <v>235</v>
      </c>
      <c r="C774" s="18">
        <v>19.899999999999999</v>
      </c>
      <c r="D774" s="18">
        <v>73.900000000000006</v>
      </c>
      <c r="E774" s="18">
        <v>106.5</v>
      </c>
      <c r="F774" s="18">
        <v>90</v>
      </c>
      <c r="G774" s="18">
        <v>44.8</v>
      </c>
      <c r="H774" s="18">
        <v>10.8</v>
      </c>
    </row>
    <row r="775" spans="1:8" x14ac:dyDescent="0.25">
      <c r="A775" s="11">
        <v>2014</v>
      </c>
      <c r="B775" s="11" t="s">
        <v>236</v>
      </c>
      <c r="C775" s="18">
        <v>6.3</v>
      </c>
      <c r="D775" s="18">
        <v>25.6</v>
      </c>
      <c r="E775" s="18">
        <v>81.3</v>
      </c>
      <c r="F775" s="18">
        <v>142.6</v>
      </c>
      <c r="G775" s="18">
        <v>77.3</v>
      </c>
      <c r="H775" s="18">
        <v>11.5</v>
      </c>
    </row>
    <row r="776" spans="1:8" x14ac:dyDescent="0.25">
      <c r="A776" s="11">
        <v>2014</v>
      </c>
      <c r="B776" s="11" t="s">
        <v>237</v>
      </c>
      <c r="C776" s="18">
        <v>15.4</v>
      </c>
      <c r="D776" s="18">
        <v>54</v>
      </c>
      <c r="E776" s="18">
        <v>100.9</v>
      </c>
      <c r="F776" s="18">
        <v>111.9</v>
      </c>
      <c r="G776" s="18">
        <v>54.8</v>
      </c>
      <c r="H776" s="18">
        <v>10.4</v>
      </c>
    </row>
    <row r="777" spans="1:8" x14ac:dyDescent="0.25">
      <c r="A777" s="11">
        <v>2014</v>
      </c>
      <c r="B777" s="11" t="s">
        <v>238</v>
      </c>
      <c r="C777" s="18">
        <v>2.5</v>
      </c>
      <c r="D777" s="18">
        <v>24.4</v>
      </c>
      <c r="E777" s="18">
        <v>85.8</v>
      </c>
      <c r="F777" s="18">
        <v>148.19999999999999</v>
      </c>
      <c r="G777" s="18">
        <v>76.900000000000006</v>
      </c>
      <c r="H777" s="18">
        <v>16.100000000000001</v>
      </c>
    </row>
    <row r="778" spans="1:8" x14ac:dyDescent="0.25">
      <c r="A778" s="11">
        <v>2014</v>
      </c>
      <c r="B778" s="11" t="s">
        <v>239</v>
      </c>
      <c r="C778" s="18">
        <v>18</v>
      </c>
      <c r="D778" s="18">
        <v>73.900000000000006</v>
      </c>
      <c r="E778" s="18">
        <v>106.2</v>
      </c>
      <c r="F778" s="18">
        <v>99.2</v>
      </c>
      <c r="G778" s="18">
        <v>52.1</v>
      </c>
      <c r="H778" s="18">
        <v>8.1</v>
      </c>
    </row>
    <row r="779" spans="1:8" x14ac:dyDescent="0.25">
      <c r="A779" s="11">
        <v>2014</v>
      </c>
      <c r="B779" s="11" t="s">
        <v>240</v>
      </c>
      <c r="C779" s="18">
        <v>22.1</v>
      </c>
      <c r="D779" s="18">
        <v>64.099999999999994</v>
      </c>
      <c r="E779" s="18">
        <v>102</v>
      </c>
      <c r="F779" s="18">
        <v>101.5</v>
      </c>
      <c r="G779" s="18">
        <v>49.8</v>
      </c>
      <c r="H779" s="18">
        <v>10.7</v>
      </c>
    </row>
    <row r="780" spans="1:8" x14ac:dyDescent="0.25">
      <c r="A780" s="11">
        <v>2014</v>
      </c>
      <c r="B780" s="11" t="s">
        <v>241</v>
      </c>
      <c r="C780" s="18">
        <v>18.8</v>
      </c>
      <c r="D780" s="18">
        <v>43.6</v>
      </c>
      <c r="E780" s="18">
        <v>74.5</v>
      </c>
      <c r="F780" s="18">
        <v>93.1</v>
      </c>
      <c r="G780" s="18">
        <v>60.3</v>
      </c>
      <c r="H780" s="18">
        <v>14.7</v>
      </c>
    </row>
    <row r="781" spans="1:8" x14ac:dyDescent="0.25">
      <c r="A781" s="11">
        <v>2014</v>
      </c>
      <c r="B781" s="11" t="s">
        <v>242</v>
      </c>
      <c r="C781" s="18">
        <v>19.2</v>
      </c>
      <c r="D781" s="18">
        <v>73.599999999999994</v>
      </c>
      <c r="E781" s="18">
        <v>101.3</v>
      </c>
      <c r="F781" s="18">
        <v>98.2</v>
      </c>
      <c r="G781" s="18">
        <v>59.9</v>
      </c>
      <c r="H781" s="18">
        <v>10.9</v>
      </c>
    </row>
    <row r="782" spans="1:8" x14ac:dyDescent="0.25">
      <c r="A782" s="11">
        <v>2014</v>
      </c>
      <c r="B782" s="11" t="s">
        <v>243</v>
      </c>
      <c r="C782" s="18">
        <v>11.8</v>
      </c>
      <c r="D782" s="18">
        <v>52.7</v>
      </c>
      <c r="E782" s="18">
        <v>96.5</v>
      </c>
      <c r="F782" s="18">
        <v>99.4</v>
      </c>
      <c r="G782" s="18">
        <v>52.8</v>
      </c>
      <c r="H782" s="18">
        <v>6.5</v>
      </c>
    </row>
    <row r="783" spans="1:8" x14ac:dyDescent="0.25">
      <c r="A783" s="11">
        <v>2014</v>
      </c>
      <c r="B783" s="11" t="s">
        <v>244</v>
      </c>
      <c r="C783" s="18">
        <v>22.2</v>
      </c>
      <c r="D783" s="18">
        <v>75.400000000000006</v>
      </c>
      <c r="E783" s="18">
        <v>111.5</v>
      </c>
      <c r="F783" s="18">
        <v>110.3</v>
      </c>
      <c r="G783" s="18">
        <v>60</v>
      </c>
      <c r="H783" s="18">
        <v>12.3</v>
      </c>
    </row>
    <row r="784" spans="1:8" x14ac:dyDescent="0.25">
      <c r="A784" s="11">
        <v>2014</v>
      </c>
      <c r="B784" s="11" t="s">
        <v>245</v>
      </c>
      <c r="C784" s="18">
        <v>17.2</v>
      </c>
      <c r="D784" s="18">
        <v>80.099999999999994</v>
      </c>
      <c r="E784" s="18">
        <v>104.4</v>
      </c>
      <c r="F784" s="18">
        <v>96.5</v>
      </c>
      <c r="G784" s="18">
        <v>44</v>
      </c>
      <c r="H784" s="18">
        <v>11.4</v>
      </c>
    </row>
    <row r="785" spans="1:8" x14ac:dyDescent="0.25">
      <c r="A785" s="11">
        <v>2014</v>
      </c>
      <c r="B785" s="11" t="s">
        <v>246</v>
      </c>
      <c r="C785" s="18">
        <v>9.6999999999999993</v>
      </c>
      <c r="D785" s="18">
        <v>46.9</v>
      </c>
      <c r="E785" s="18">
        <v>103.4</v>
      </c>
      <c r="F785" s="18">
        <v>101.2</v>
      </c>
      <c r="G785" s="18">
        <v>59.4</v>
      </c>
      <c r="H785" s="18">
        <v>19.5</v>
      </c>
    </row>
    <row r="786" spans="1:8" x14ac:dyDescent="0.25">
      <c r="A786" s="11">
        <v>2014</v>
      </c>
      <c r="B786" s="11" t="s">
        <v>247</v>
      </c>
      <c r="C786" s="18">
        <v>18</v>
      </c>
      <c r="D786" s="18">
        <v>77.8</v>
      </c>
      <c r="E786" s="18">
        <v>93.4</v>
      </c>
      <c r="F786" s="18">
        <v>84.9</v>
      </c>
      <c r="G786" s="18">
        <v>48</v>
      </c>
      <c r="H786" s="18">
        <v>9.8000000000000007</v>
      </c>
    </row>
    <row r="787" spans="1:8" x14ac:dyDescent="0.25">
      <c r="A787" s="11">
        <v>2014</v>
      </c>
      <c r="B787" s="11" t="s">
        <v>248</v>
      </c>
      <c r="C787" s="18">
        <v>18.2</v>
      </c>
      <c r="D787" s="18">
        <v>62.2</v>
      </c>
      <c r="E787" s="18">
        <v>101.8</v>
      </c>
      <c r="F787" s="18">
        <v>98.5</v>
      </c>
      <c r="G787" s="18">
        <v>51.2</v>
      </c>
      <c r="H787" s="18">
        <v>8.3000000000000007</v>
      </c>
    </row>
    <row r="788" spans="1:8" x14ac:dyDescent="0.25">
      <c r="A788" s="11">
        <v>2014</v>
      </c>
      <c r="B788" s="11" t="s">
        <v>249</v>
      </c>
      <c r="C788" s="18">
        <v>10.9</v>
      </c>
      <c r="D788" s="18">
        <v>49.8</v>
      </c>
      <c r="E788" s="18">
        <v>94.3</v>
      </c>
      <c r="F788" s="18">
        <v>102.7</v>
      </c>
      <c r="G788" s="18">
        <v>53.6</v>
      </c>
      <c r="H788" s="18">
        <v>5.5</v>
      </c>
    </row>
    <row r="789" spans="1:8" x14ac:dyDescent="0.25">
      <c r="A789" s="11">
        <v>2014</v>
      </c>
      <c r="B789" s="11" t="s">
        <v>250</v>
      </c>
      <c r="C789" s="18">
        <v>11.4</v>
      </c>
      <c r="D789" s="18">
        <v>59.9</v>
      </c>
      <c r="E789" s="18">
        <v>98.8</v>
      </c>
      <c r="F789" s="18">
        <v>101.6</v>
      </c>
      <c r="G789" s="18">
        <v>57.4</v>
      </c>
      <c r="H789" s="18">
        <v>11.9</v>
      </c>
    </row>
    <row r="790" spans="1:8" x14ac:dyDescent="0.25">
      <c r="A790" s="11">
        <v>2014</v>
      </c>
      <c r="B790" s="11" t="s">
        <v>251</v>
      </c>
      <c r="C790" s="18">
        <v>13.7</v>
      </c>
      <c r="D790" s="18">
        <v>47.7</v>
      </c>
      <c r="E790" s="18">
        <v>94.7</v>
      </c>
      <c r="F790" s="18">
        <v>108.2</v>
      </c>
      <c r="G790" s="18">
        <v>57.7</v>
      </c>
      <c r="H790" s="18">
        <v>12</v>
      </c>
    </row>
    <row r="791" spans="1:8" x14ac:dyDescent="0.25">
      <c r="A791" s="11">
        <v>2014</v>
      </c>
      <c r="B791" s="11" t="s">
        <v>252</v>
      </c>
      <c r="C791" s="18">
        <v>17.100000000000001</v>
      </c>
      <c r="D791" s="18">
        <v>63.3</v>
      </c>
      <c r="E791" s="18">
        <v>123</v>
      </c>
      <c r="F791" s="18">
        <v>120.8</v>
      </c>
      <c r="G791" s="18">
        <v>50.9</v>
      </c>
      <c r="H791" s="18">
        <v>13.6</v>
      </c>
    </row>
    <row r="792" spans="1:8" x14ac:dyDescent="0.25">
      <c r="A792" s="11">
        <v>2014</v>
      </c>
      <c r="B792" s="11" t="s">
        <v>253</v>
      </c>
      <c r="C792" s="18">
        <v>12.8</v>
      </c>
      <c r="D792" s="18">
        <v>59.8</v>
      </c>
      <c r="E792" s="18">
        <v>102.4</v>
      </c>
      <c r="F792" s="18">
        <v>118.9</v>
      </c>
      <c r="G792" s="18">
        <v>80.900000000000006</v>
      </c>
      <c r="H792" s="18">
        <v>9.9</v>
      </c>
    </row>
    <row r="793" spans="1:8" x14ac:dyDescent="0.25">
      <c r="A793" s="11">
        <v>2014</v>
      </c>
      <c r="B793" s="11" t="s">
        <v>254</v>
      </c>
      <c r="C793" s="18">
        <v>18.600000000000001</v>
      </c>
      <c r="D793" s="18">
        <v>60.1</v>
      </c>
      <c r="E793" s="18">
        <v>94.5</v>
      </c>
      <c r="F793" s="18">
        <v>102</v>
      </c>
      <c r="G793" s="18">
        <v>58.1</v>
      </c>
      <c r="H793" s="18">
        <v>11.8</v>
      </c>
    </row>
    <row r="794" spans="1:8" x14ac:dyDescent="0.25">
      <c r="A794" s="11">
        <v>2014</v>
      </c>
      <c r="B794" s="11" t="s">
        <v>255</v>
      </c>
      <c r="C794" s="18">
        <v>16.2</v>
      </c>
      <c r="D794" s="18">
        <v>55.7</v>
      </c>
      <c r="E794" s="18">
        <v>103.8</v>
      </c>
      <c r="F794" s="18">
        <v>111.5</v>
      </c>
      <c r="G794" s="18">
        <v>54.4</v>
      </c>
      <c r="H794" s="18">
        <v>10.4</v>
      </c>
    </row>
    <row r="795" spans="1:8" x14ac:dyDescent="0.25">
      <c r="A795" s="11">
        <v>2014</v>
      </c>
      <c r="B795" s="11" t="s">
        <v>256</v>
      </c>
      <c r="C795" s="18">
        <v>12.3</v>
      </c>
      <c r="D795" s="18">
        <v>34.5</v>
      </c>
      <c r="E795" s="18">
        <v>77.8</v>
      </c>
      <c r="F795" s="18">
        <v>109</v>
      </c>
      <c r="G795" s="18">
        <v>71.3</v>
      </c>
      <c r="H795" s="18">
        <v>13.1</v>
      </c>
    </row>
    <row r="796" spans="1:8" x14ac:dyDescent="0.25">
      <c r="A796" s="11">
        <v>2014</v>
      </c>
      <c r="B796" s="11" t="s">
        <v>257</v>
      </c>
      <c r="C796" s="18">
        <v>26</v>
      </c>
      <c r="D796" s="18">
        <v>68.599999999999994</v>
      </c>
      <c r="E796" s="18">
        <v>95</v>
      </c>
      <c r="F796" s="18">
        <v>99.4</v>
      </c>
      <c r="G796" s="18">
        <v>52.2</v>
      </c>
      <c r="H796" s="18">
        <v>6.5</v>
      </c>
    </row>
    <row r="797" spans="1:8" x14ac:dyDescent="0.25">
      <c r="A797" s="11">
        <v>2014</v>
      </c>
      <c r="B797" s="11" t="s">
        <v>258</v>
      </c>
      <c r="C797" s="18">
        <v>19.399999999999999</v>
      </c>
      <c r="D797" s="18">
        <v>72</v>
      </c>
      <c r="E797" s="18">
        <v>101.2</v>
      </c>
      <c r="F797" s="18">
        <v>109</v>
      </c>
      <c r="G797" s="18">
        <v>51.6</v>
      </c>
      <c r="H797" s="18">
        <v>11.9</v>
      </c>
    </row>
    <row r="798" spans="1:8" x14ac:dyDescent="0.25">
      <c r="A798" s="11">
        <v>2015</v>
      </c>
      <c r="B798" s="11" t="s">
        <v>11</v>
      </c>
      <c r="C798" s="18">
        <v>14.4</v>
      </c>
      <c r="D798" s="18">
        <v>47.5</v>
      </c>
      <c r="E798" s="18">
        <v>86.3</v>
      </c>
      <c r="F798" s="18">
        <v>99.4</v>
      </c>
      <c r="G798" s="18">
        <v>58.2</v>
      </c>
      <c r="H798" s="18">
        <v>11.6</v>
      </c>
    </row>
    <row r="799" spans="1:8" x14ac:dyDescent="0.25">
      <c r="A799" s="11">
        <v>2015</v>
      </c>
      <c r="B799" s="11" t="s">
        <v>227</v>
      </c>
      <c r="C799" s="18">
        <v>12.2</v>
      </c>
      <c r="D799" s="18">
        <v>28</v>
      </c>
      <c r="E799" s="18">
        <v>68.8</v>
      </c>
      <c r="F799" s="18">
        <v>99.1</v>
      </c>
      <c r="G799" s="18">
        <v>64.8</v>
      </c>
      <c r="H799" s="18">
        <v>13.1</v>
      </c>
    </row>
    <row r="800" spans="1:8" x14ac:dyDescent="0.25">
      <c r="A800" s="11">
        <v>2015</v>
      </c>
      <c r="B800" s="11" t="s">
        <v>228</v>
      </c>
      <c r="C800" s="18">
        <v>8.1999999999999993</v>
      </c>
      <c r="D800" s="18">
        <v>52</v>
      </c>
      <c r="E800" s="18">
        <v>117.2</v>
      </c>
      <c r="F800" s="18">
        <v>124.1</v>
      </c>
      <c r="G800" s="18">
        <v>60.5</v>
      </c>
      <c r="H800" s="18">
        <v>11.3</v>
      </c>
    </row>
    <row r="801" spans="1:8" x14ac:dyDescent="0.25">
      <c r="A801" s="11">
        <v>2015</v>
      </c>
      <c r="B801" s="11" t="s">
        <v>229</v>
      </c>
      <c r="C801" s="18">
        <v>11.5</v>
      </c>
      <c r="D801" s="18">
        <v>61.5</v>
      </c>
      <c r="E801" s="18">
        <v>103</v>
      </c>
      <c r="F801" s="18">
        <v>104.8</v>
      </c>
      <c r="G801" s="18">
        <v>46.1</v>
      </c>
      <c r="H801" s="18">
        <v>11</v>
      </c>
    </row>
    <row r="802" spans="1:8" x14ac:dyDescent="0.25">
      <c r="A802" s="11">
        <v>2015</v>
      </c>
      <c r="B802" s="11" t="s">
        <v>230</v>
      </c>
      <c r="C802" s="18">
        <v>11</v>
      </c>
      <c r="D802" s="18">
        <v>57.4</v>
      </c>
      <c r="E802" s="18">
        <v>101.6</v>
      </c>
      <c r="F802" s="18">
        <v>98.5</v>
      </c>
      <c r="G802" s="18">
        <v>55.2</v>
      </c>
      <c r="H802" s="18">
        <v>11</v>
      </c>
    </row>
    <row r="803" spans="1:8" x14ac:dyDescent="0.25">
      <c r="A803" s="11">
        <v>2015</v>
      </c>
      <c r="B803" s="11" t="s">
        <v>231</v>
      </c>
      <c r="C803" s="18">
        <v>9.5</v>
      </c>
      <c r="D803" s="18">
        <v>20.8</v>
      </c>
      <c r="E803" s="18">
        <v>53</v>
      </c>
      <c r="F803" s="18">
        <v>89.9</v>
      </c>
      <c r="G803" s="18">
        <v>71</v>
      </c>
      <c r="H803" s="18">
        <v>16</v>
      </c>
    </row>
    <row r="804" spans="1:8" x14ac:dyDescent="0.25">
      <c r="A804" s="11">
        <v>2015</v>
      </c>
      <c r="B804" s="11" t="s">
        <v>232</v>
      </c>
      <c r="C804" s="18">
        <v>19.5</v>
      </c>
      <c r="D804" s="18">
        <v>75.900000000000006</v>
      </c>
      <c r="E804" s="18">
        <v>120.4</v>
      </c>
      <c r="F804" s="18">
        <v>98.3</v>
      </c>
      <c r="G804" s="18">
        <v>56.2</v>
      </c>
      <c r="H804" s="18">
        <v>8</v>
      </c>
    </row>
    <row r="805" spans="1:8" x14ac:dyDescent="0.25">
      <c r="A805" s="11">
        <v>2015</v>
      </c>
      <c r="B805" s="11" t="s">
        <v>233</v>
      </c>
      <c r="C805" s="18">
        <v>12.1</v>
      </c>
      <c r="D805" s="18">
        <v>65.599999999999994</v>
      </c>
      <c r="E805" s="18">
        <v>112.6</v>
      </c>
      <c r="F805" s="18">
        <v>89.5</v>
      </c>
      <c r="G805" s="18">
        <v>44.8</v>
      </c>
      <c r="H805" s="18">
        <v>7.5</v>
      </c>
    </row>
    <row r="806" spans="1:8" x14ac:dyDescent="0.25">
      <c r="A806" s="11">
        <v>2015</v>
      </c>
      <c r="B806" s="11" t="s">
        <v>234</v>
      </c>
      <c r="C806" s="18">
        <v>20.399999999999999</v>
      </c>
      <c r="D806" s="18">
        <v>40.1</v>
      </c>
      <c r="E806" s="18">
        <v>79.599999999999994</v>
      </c>
      <c r="F806" s="18">
        <v>85.4</v>
      </c>
      <c r="G806" s="18">
        <v>49</v>
      </c>
      <c r="H806" s="18">
        <v>9.3000000000000007</v>
      </c>
    </row>
    <row r="807" spans="1:8" x14ac:dyDescent="0.25">
      <c r="A807" s="11">
        <v>2015</v>
      </c>
      <c r="B807" s="11" t="s">
        <v>235</v>
      </c>
      <c r="C807" s="18">
        <v>19.100000000000001</v>
      </c>
      <c r="D807" s="18">
        <v>72.400000000000006</v>
      </c>
      <c r="E807" s="18">
        <v>113.6</v>
      </c>
      <c r="F807" s="18">
        <v>104.2</v>
      </c>
      <c r="G807" s="18">
        <v>51.5</v>
      </c>
      <c r="H807" s="18">
        <v>8.9</v>
      </c>
    </row>
    <row r="808" spans="1:8" x14ac:dyDescent="0.25">
      <c r="A808" s="11">
        <v>2015</v>
      </c>
      <c r="B808" s="11" t="s">
        <v>236</v>
      </c>
      <c r="C808" s="18">
        <v>6.6</v>
      </c>
      <c r="D808" s="18">
        <v>30.9</v>
      </c>
      <c r="E808" s="18">
        <v>80.400000000000006</v>
      </c>
      <c r="F808" s="18">
        <v>148.5</v>
      </c>
      <c r="G808" s="18">
        <v>76.099999999999994</v>
      </c>
      <c r="H808" s="18">
        <v>14.2</v>
      </c>
    </row>
    <row r="809" spans="1:8" x14ac:dyDescent="0.25">
      <c r="A809" s="11">
        <v>2015</v>
      </c>
      <c r="B809" s="11" t="s">
        <v>237</v>
      </c>
      <c r="C809" s="18">
        <v>15.3</v>
      </c>
      <c r="D809" s="18">
        <v>49.3</v>
      </c>
      <c r="E809" s="18">
        <v>103.9</v>
      </c>
      <c r="F809" s="18">
        <v>113.6</v>
      </c>
      <c r="G809" s="18">
        <v>62.9</v>
      </c>
      <c r="H809" s="18">
        <v>12.1</v>
      </c>
    </row>
    <row r="810" spans="1:8" x14ac:dyDescent="0.25">
      <c r="A810" s="11">
        <v>2015</v>
      </c>
      <c r="B810" s="11" t="s">
        <v>238</v>
      </c>
      <c r="C810" s="18">
        <v>3.9</v>
      </c>
      <c r="D810" s="18">
        <v>22.8</v>
      </c>
      <c r="E810" s="18">
        <v>67.7</v>
      </c>
      <c r="F810" s="18">
        <v>146.80000000000001</v>
      </c>
      <c r="G810" s="18">
        <v>92</v>
      </c>
      <c r="H810" s="18">
        <v>17.8</v>
      </c>
    </row>
    <row r="811" spans="1:8" x14ac:dyDescent="0.25">
      <c r="A811" s="11">
        <v>2015</v>
      </c>
      <c r="B811" s="11" t="s">
        <v>239</v>
      </c>
      <c r="C811" s="18">
        <v>16.2</v>
      </c>
      <c r="D811" s="18">
        <v>57.9</v>
      </c>
      <c r="E811" s="18">
        <v>104.1</v>
      </c>
      <c r="F811" s="18">
        <v>89.9</v>
      </c>
      <c r="G811" s="18">
        <v>52.2</v>
      </c>
      <c r="H811" s="18">
        <v>9.9</v>
      </c>
    </row>
    <row r="812" spans="1:8" x14ac:dyDescent="0.25">
      <c r="A812" s="11">
        <v>2015</v>
      </c>
      <c r="B812" s="11" t="s">
        <v>240</v>
      </c>
      <c r="C812" s="18">
        <v>18.2</v>
      </c>
      <c r="D812" s="18">
        <v>60.3</v>
      </c>
      <c r="E812" s="18">
        <v>102.1</v>
      </c>
      <c r="F812" s="18">
        <v>97.2</v>
      </c>
      <c r="G812" s="18">
        <v>51.7</v>
      </c>
      <c r="H812" s="18">
        <v>10</v>
      </c>
    </row>
    <row r="813" spans="1:8" x14ac:dyDescent="0.25">
      <c r="A813" s="11">
        <v>2015</v>
      </c>
      <c r="B813" s="11" t="s">
        <v>241</v>
      </c>
      <c r="C813" s="18">
        <v>16</v>
      </c>
      <c r="D813" s="18">
        <v>39.1</v>
      </c>
      <c r="E813" s="18">
        <v>67.8</v>
      </c>
      <c r="F813" s="18">
        <v>89.6</v>
      </c>
      <c r="G813" s="18">
        <v>60.9</v>
      </c>
      <c r="H813" s="18">
        <v>16.5</v>
      </c>
    </row>
    <row r="814" spans="1:8" x14ac:dyDescent="0.25">
      <c r="A814" s="11">
        <v>2015</v>
      </c>
      <c r="B814" s="11" t="s">
        <v>242</v>
      </c>
      <c r="C814" s="18">
        <v>14</v>
      </c>
      <c r="D814" s="18">
        <v>74.900000000000006</v>
      </c>
      <c r="E814" s="18">
        <v>100.6</v>
      </c>
      <c r="F814" s="18">
        <v>93.6</v>
      </c>
      <c r="G814" s="18">
        <v>55.6</v>
      </c>
      <c r="H814" s="18">
        <v>11.1</v>
      </c>
    </row>
    <row r="815" spans="1:8" x14ac:dyDescent="0.25">
      <c r="A815" s="11">
        <v>2015</v>
      </c>
      <c r="B815" s="11" t="s">
        <v>243</v>
      </c>
      <c r="C815" s="18">
        <v>14</v>
      </c>
      <c r="D815" s="18">
        <v>60.2</v>
      </c>
      <c r="E815" s="18">
        <v>87.4</v>
      </c>
      <c r="F815" s="18">
        <v>88.3</v>
      </c>
      <c r="G815" s="18">
        <v>46.1</v>
      </c>
      <c r="H815" s="18">
        <v>12.6</v>
      </c>
    </row>
    <row r="816" spans="1:8" x14ac:dyDescent="0.25">
      <c r="A816" s="11">
        <v>2015</v>
      </c>
      <c r="B816" s="11" t="s">
        <v>244</v>
      </c>
      <c r="C816" s="18">
        <v>23.1</v>
      </c>
      <c r="D816" s="18">
        <v>68</v>
      </c>
      <c r="E816" s="18">
        <v>113.8</v>
      </c>
      <c r="F816" s="18">
        <v>109.1</v>
      </c>
      <c r="G816" s="18">
        <v>72.8</v>
      </c>
      <c r="H816" s="18">
        <v>11.4</v>
      </c>
    </row>
    <row r="817" spans="1:8" x14ac:dyDescent="0.25">
      <c r="A817" s="11">
        <v>2015</v>
      </c>
      <c r="B817" s="11" t="s">
        <v>245</v>
      </c>
      <c r="C817" s="18">
        <v>16.100000000000001</v>
      </c>
      <c r="D817" s="18">
        <v>70.599999999999994</v>
      </c>
      <c r="E817" s="18">
        <v>113.8</v>
      </c>
      <c r="F817" s="18">
        <v>95.4</v>
      </c>
      <c r="G817" s="18">
        <v>38.299999999999997</v>
      </c>
      <c r="H817" s="18">
        <v>7.9</v>
      </c>
    </row>
    <row r="818" spans="1:8" x14ac:dyDescent="0.25">
      <c r="A818" s="11">
        <v>2015</v>
      </c>
      <c r="B818" s="11" t="s">
        <v>246</v>
      </c>
      <c r="C818" s="18">
        <v>17.8</v>
      </c>
      <c r="D818" s="18">
        <v>62.2</v>
      </c>
      <c r="E818" s="18">
        <v>96.6</v>
      </c>
      <c r="F818" s="18">
        <v>98.6</v>
      </c>
      <c r="G818" s="18">
        <v>55.2</v>
      </c>
      <c r="H818" s="18">
        <v>14.4</v>
      </c>
    </row>
    <row r="819" spans="1:8" x14ac:dyDescent="0.25">
      <c r="A819" s="11">
        <v>2015</v>
      </c>
      <c r="B819" s="11" t="s">
        <v>247</v>
      </c>
      <c r="C819" s="18">
        <v>19.2</v>
      </c>
      <c r="D819" s="18">
        <v>63.4</v>
      </c>
      <c r="E819" s="18">
        <v>94.8</v>
      </c>
      <c r="F819" s="18">
        <v>93.4</v>
      </c>
      <c r="G819" s="18">
        <v>50.1</v>
      </c>
      <c r="H819" s="18">
        <v>7.1</v>
      </c>
    </row>
    <row r="820" spans="1:8" x14ac:dyDescent="0.25">
      <c r="A820" s="11">
        <v>2015</v>
      </c>
      <c r="B820" s="11" t="s">
        <v>248</v>
      </c>
      <c r="C820" s="18">
        <v>18.2</v>
      </c>
      <c r="D820" s="18">
        <v>65.5</v>
      </c>
      <c r="E820" s="18">
        <v>101.6</v>
      </c>
      <c r="F820" s="18">
        <v>95.8</v>
      </c>
      <c r="G820" s="18">
        <v>50.8</v>
      </c>
      <c r="H820" s="18">
        <v>10.3</v>
      </c>
    </row>
    <row r="821" spans="1:8" x14ac:dyDescent="0.25">
      <c r="A821" s="11">
        <v>2015</v>
      </c>
      <c r="B821" s="11" t="s">
        <v>249</v>
      </c>
      <c r="C821" s="18">
        <v>5.8</v>
      </c>
      <c r="D821" s="18">
        <v>45.8</v>
      </c>
      <c r="E821" s="18">
        <v>95.6</v>
      </c>
      <c r="F821" s="18">
        <v>106.3</v>
      </c>
      <c r="G821" s="18">
        <v>60.8</v>
      </c>
      <c r="H821" s="18">
        <v>16.600000000000001</v>
      </c>
    </row>
    <row r="822" spans="1:8" x14ac:dyDescent="0.25">
      <c r="A822" s="11">
        <v>2015</v>
      </c>
      <c r="B822" s="11" t="s">
        <v>250</v>
      </c>
      <c r="C822" s="18">
        <v>11.2</v>
      </c>
      <c r="D822" s="18">
        <v>55.1</v>
      </c>
      <c r="E822" s="18">
        <v>88.1</v>
      </c>
      <c r="F822" s="18">
        <v>111.7</v>
      </c>
      <c r="G822" s="18">
        <v>61.9</v>
      </c>
      <c r="H822" s="18">
        <v>11.4</v>
      </c>
    </row>
    <row r="823" spans="1:8" x14ac:dyDescent="0.25">
      <c r="A823" s="11">
        <v>2015</v>
      </c>
      <c r="B823" s="11" t="s">
        <v>251</v>
      </c>
      <c r="C823" s="18">
        <v>14.7</v>
      </c>
      <c r="D823" s="18">
        <v>51.6</v>
      </c>
      <c r="E823" s="18">
        <v>86.4</v>
      </c>
      <c r="F823" s="18">
        <v>100.7</v>
      </c>
      <c r="G823" s="18">
        <v>50.2</v>
      </c>
      <c r="H823" s="18">
        <v>10.1</v>
      </c>
    </row>
    <row r="824" spans="1:8" x14ac:dyDescent="0.25">
      <c r="A824" s="11">
        <v>2015</v>
      </c>
      <c r="B824" s="11" t="s">
        <v>252</v>
      </c>
      <c r="C824" s="18">
        <v>15.5</v>
      </c>
      <c r="D824" s="18">
        <v>68.8</v>
      </c>
      <c r="E824" s="18">
        <v>112.9</v>
      </c>
      <c r="F824" s="18">
        <v>111.4</v>
      </c>
      <c r="G824" s="18">
        <v>54.6</v>
      </c>
      <c r="H824" s="18">
        <v>9.9</v>
      </c>
    </row>
    <row r="825" spans="1:8" x14ac:dyDescent="0.25">
      <c r="A825" s="11">
        <v>2015</v>
      </c>
      <c r="B825" s="11" t="s">
        <v>253</v>
      </c>
      <c r="C825" s="18">
        <v>11.7</v>
      </c>
      <c r="D825" s="18">
        <v>55.6</v>
      </c>
      <c r="E825" s="18">
        <v>106.2</v>
      </c>
      <c r="F825" s="18">
        <v>94.9</v>
      </c>
      <c r="G825" s="18">
        <v>77.099999999999994</v>
      </c>
      <c r="H825" s="18">
        <v>7.6</v>
      </c>
    </row>
    <row r="826" spans="1:8" x14ac:dyDescent="0.25">
      <c r="A826" s="11">
        <v>2015</v>
      </c>
      <c r="B826" s="11" t="s">
        <v>254</v>
      </c>
      <c r="C826" s="18">
        <v>11.8</v>
      </c>
      <c r="D826" s="18">
        <v>60.3</v>
      </c>
      <c r="E826" s="18">
        <v>102.1</v>
      </c>
      <c r="F826" s="18">
        <v>102.3</v>
      </c>
      <c r="G826" s="18">
        <v>60.3</v>
      </c>
      <c r="H826" s="18">
        <v>10.9</v>
      </c>
    </row>
    <row r="827" spans="1:8" x14ac:dyDescent="0.25">
      <c r="A827" s="11">
        <v>2015</v>
      </c>
      <c r="B827" s="11" t="s">
        <v>255</v>
      </c>
      <c r="C827" s="18">
        <v>14.1</v>
      </c>
      <c r="D827" s="18">
        <v>51.3</v>
      </c>
      <c r="E827" s="18">
        <v>93.1</v>
      </c>
      <c r="F827" s="18">
        <v>106.9</v>
      </c>
      <c r="G827" s="18">
        <v>55.8</v>
      </c>
      <c r="H827" s="18">
        <v>10.199999999999999</v>
      </c>
    </row>
    <row r="828" spans="1:8" x14ac:dyDescent="0.25">
      <c r="A828" s="11">
        <v>2015</v>
      </c>
      <c r="B828" s="11" t="s">
        <v>256</v>
      </c>
      <c r="C828" s="18">
        <v>11.6</v>
      </c>
      <c r="D828" s="18">
        <v>29.9</v>
      </c>
      <c r="E828" s="18">
        <v>75.8</v>
      </c>
      <c r="F828" s="18">
        <v>109.7</v>
      </c>
      <c r="G828" s="18">
        <v>62.5</v>
      </c>
      <c r="H828" s="18">
        <v>10.1</v>
      </c>
    </row>
    <row r="829" spans="1:8" x14ac:dyDescent="0.25">
      <c r="A829" s="11">
        <v>2015</v>
      </c>
      <c r="B829" s="11" t="s">
        <v>257</v>
      </c>
      <c r="C829" s="18">
        <v>19.2</v>
      </c>
      <c r="D829" s="18">
        <v>63.7</v>
      </c>
      <c r="E829" s="18">
        <v>90.1</v>
      </c>
      <c r="F829" s="18">
        <v>94.5</v>
      </c>
      <c r="G829" s="18">
        <v>46.2</v>
      </c>
      <c r="H829" s="18">
        <v>10.6</v>
      </c>
    </row>
    <row r="830" spans="1:8" x14ac:dyDescent="0.25">
      <c r="A830" s="11">
        <v>2015</v>
      </c>
      <c r="B830" s="11" t="s">
        <v>258</v>
      </c>
      <c r="C830" s="18">
        <v>15.1</v>
      </c>
      <c r="D830" s="18">
        <v>62.6</v>
      </c>
      <c r="E830" s="18">
        <v>107.5</v>
      </c>
      <c r="F830" s="18">
        <v>106.1</v>
      </c>
      <c r="G830" s="18">
        <v>54.2</v>
      </c>
      <c r="H830" s="18">
        <v>7.7</v>
      </c>
    </row>
    <row r="831" spans="1:8" x14ac:dyDescent="0.25">
      <c r="A831" s="11">
        <v>2016</v>
      </c>
      <c r="B831" s="11" t="s">
        <v>11</v>
      </c>
      <c r="C831" s="18">
        <v>13.4</v>
      </c>
      <c r="D831" s="18">
        <v>46.2</v>
      </c>
      <c r="E831" s="18">
        <v>83.2</v>
      </c>
      <c r="F831" s="18">
        <v>99.4</v>
      </c>
      <c r="G831" s="18">
        <v>57.7</v>
      </c>
      <c r="H831" s="18">
        <v>12.7</v>
      </c>
    </row>
    <row r="832" spans="1:8" x14ac:dyDescent="0.25">
      <c r="A832" s="11">
        <v>2016</v>
      </c>
      <c r="B832" s="11" t="s">
        <v>227</v>
      </c>
      <c r="C832" s="18">
        <v>10.7</v>
      </c>
      <c r="D832" s="18">
        <v>31.5</v>
      </c>
      <c r="E832" s="18">
        <v>62.7</v>
      </c>
      <c r="F832" s="18">
        <v>100.4</v>
      </c>
      <c r="G832" s="18">
        <v>57.7</v>
      </c>
      <c r="H832" s="18">
        <v>15.1</v>
      </c>
    </row>
    <row r="833" spans="1:8" x14ac:dyDescent="0.25">
      <c r="A833" s="11">
        <v>2016</v>
      </c>
      <c r="B833" s="11" t="s">
        <v>228</v>
      </c>
      <c r="C833" s="18">
        <v>9.9</v>
      </c>
      <c r="D833" s="18">
        <v>53.7</v>
      </c>
      <c r="E833" s="18">
        <v>112.2</v>
      </c>
      <c r="F833" s="18">
        <v>119.1</v>
      </c>
      <c r="G833" s="18">
        <v>60.2</v>
      </c>
      <c r="H833" s="18">
        <v>11.3</v>
      </c>
    </row>
    <row r="834" spans="1:8" x14ac:dyDescent="0.25">
      <c r="A834" s="11">
        <v>2016</v>
      </c>
      <c r="B834" s="11" t="s">
        <v>229</v>
      </c>
      <c r="C834" s="18">
        <v>13.2</v>
      </c>
      <c r="D834" s="18">
        <v>55.1</v>
      </c>
      <c r="E834" s="18">
        <v>100.6</v>
      </c>
      <c r="F834" s="18">
        <v>102.3</v>
      </c>
      <c r="G834" s="18">
        <v>49.1</v>
      </c>
      <c r="H834" s="18">
        <v>7.4</v>
      </c>
    </row>
    <row r="835" spans="1:8" x14ac:dyDescent="0.25">
      <c r="A835" s="11">
        <v>2016</v>
      </c>
      <c r="B835" s="11" t="s">
        <v>230</v>
      </c>
      <c r="C835" s="18">
        <v>13.2</v>
      </c>
      <c r="D835" s="18">
        <v>65.5</v>
      </c>
      <c r="E835" s="18">
        <v>92.8</v>
      </c>
      <c r="F835" s="18">
        <v>99.9</v>
      </c>
      <c r="G835" s="18">
        <v>54.3</v>
      </c>
      <c r="H835" s="18">
        <v>11.9</v>
      </c>
    </row>
    <row r="836" spans="1:8" x14ac:dyDescent="0.25">
      <c r="A836" s="11">
        <v>2016</v>
      </c>
      <c r="B836" s="11" t="s">
        <v>231</v>
      </c>
      <c r="C836" s="18">
        <v>8.6</v>
      </c>
      <c r="D836" s="18">
        <v>20.3</v>
      </c>
      <c r="E836" s="18">
        <v>50.5</v>
      </c>
      <c r="F836" s="18">
        <v>90.3</v>
      </c>
      <c r="G836" s="18">
        <v>71.099999999999994</v>
      </c>
      <c r="H836" s="18">
        <v>17.3</v>
      </c>
    </row>
    <row r="837" spans="1:8" x14ac:dyDescent="0.25">
      <c r="A837" s="11">
        <v>2016</v>
      </c>
      <c r="B837" s="11" t="s">
        <v>232</v>
      </c>
      <c r="C837" s="18">
        <v>17.399999999999999</v>
      </c>
      <c r="D837" s="18">
        <v>79.5</v>
      </c>
      <c r="E837" s="18">
        <v>94.9</v>
      </c>
      <c r="F837" s="18">
        <v>97.2</v>
      </c>
      <c r="G837" s="18">
        <v>43</v>
      </c>
      <c r="H837" s="18">
        <v>12.3</v>
      </c>
    </row>
    <row r="838" spans="1:8" x14ac:dyDescent="0.25">
      <c r="A838" s="11">
        <v>2016</v>
      </c>
      <c r="B838" s="11" t="s">
        <v>233</v>
      </c>
      <c r="C838" s="18">
        <v>20.8</v>
      </c>
      <c r="D838" s="18">
        <v>69.7</v>
      </c>
      <c r="E838" s="18">
        <v>106.2</v>
      </c>
      <c r="F838" s="18">
        <v>99</v>
      </c>
      <c r="G838" s="18">
        <v>42.1</v>
      </c>
      <c r="H838" s="18">
        <v>12.2</v>
      </c>
    </row>
    <row r="839" spans="1:8" x14ac:dyDescent="0.25">
      <c r="A839" s="11">
        <v>2016</v>
      </c>
      <c r="B839" s="11" t="s">
        <v>234</v>
      </c>
      <c r="C839" s="18">
        <v>20</v>
      </c>
      <c r="D839" s="18">
        <v>43.5</v>
      </c>
      <c r="E839" s="18">
        <v>75.2</v>
      </c>
      <c r="F839" s="18">
        <v>88.5</v>
      </c>
      <c r="G839" s="18">
        <v>51.3</v>
      </c>
      <c r="H839" s="18">
        <v>9.3000000000000007</v>
      </c>
    </row>
    <row r="840" spans="1:8" x14ac:dyDescent="0.25">
      <c r="A840" s="11">
        <v>2016</v>
      </c>
      <c r="B840" s="11" t="s">
        <v>235</v>
      </c>
      <c r="C840" s="18">
        <v>23.5</v>
      </c>
      <c r="D840" s="18">
        <v>77.2</v>
      </c>
      <c r="E840" s="18">
        <v>96.9</v>
      </c>
      <c r="F840" s="18">
        <v>99.4</v>
      </c>
      <c r="G840" s="18">
        <v>52</v>
      </c>
      <c r="H840" s="18">
        <v>9</v>
      </c>
    </row>
    <row r="841" spans="1:8" x14ac:dyDescent="0.25">
      <c r="A841" s="11">
        <v>2016</v>
      </c>
      <c r="B841" s="11" t="s">
        <v>236</v>
      </c>
      <c r="C841" s="18">
        <v>7.9</v>
      </c>
      <c r="D841" s="18">
        <v>24.6</v>
      </c>
      <c r="E841" s="18">
        <v>77</v>
      </c>
      <c r="F841" s="18">
        <v>144.1</v>
      </c>
      <c r="G841" s="18">
        <v>76.2</v>
      </c>
      <c r="H841" s="18">
        <v>14.3</v>
      </c>
    </row>
    <row r="842" spans="1:8" x14ac:dyDescent="0.25">
      <c r="A842" s="11">
        <v>2016</v>
      </c>
      <c r="B842" s="11" t="s">
        <v>237</v>
      </c>
      <c r="C842" s="18">
        <v>12</v>
      </c>
      <c r="D842" s="18">
        <v>44.9</v>
      </c>
      <c r="E842" s="18">
        <v>101.2</v>
      </c>
      <c r="F842" s="18">
        <v>109.7</v>
      </c>
      <c r="G842" s="18">
        <v>64.5</v>
      </c>
      <c r="H842" s="18">
        <v>13.8</v>
      </c>
    </row>
    <row r="843" spans="1:8" x14ac:dyDescent="0.25">
      <c r="A843" s="11">
        <v>2016</v>
      </c>
      <c r="B843" s="11" t="s">
        <v>238</v>
      </c>
      <c r="C843" s="18">
        <v>4.8</v>
      </c>
      <c r="D843" s="18">
        <v>22.9</v>
      </c>
      <c r="E843" s="18">
        <v>71.400000000000006</v>
      </c>
      <c r="F843" s="18">
        <v>151.5</v>
      </c>
      <c r="G843" s="18">
        <v>77</v>
      </c>
      <c r="H843" s="18">
        <v>16.7</v>
      </c>
    </row>
    <row r="844" spans="1:8" x14ac:dyDescent="0.25">
      <c r="A844" s="11">
        <v>2016</v>
      </c>
      <c r="B844" s="11" t="s">
        <v>239</v>
      </c>
      <c r="C844" s="18">
        <v>15.8</v>
      </c>
      <c r="D844" s="18">
        <v>63.5</v>
      </c>
      <c r="E844" s="18">
        <v>93.1</v>
      </c>
      <c r="F844" s="18">
        <v>95.6</v>
      </c>
      <c r="G844" s="18">
        <v>46.7</v>
      </c>
      <c r="H844" s="18">
        <v>8.6999999999999993</v>
      </c>
    </row>
    <row r="845" spans="1:8" x14ac:dyDescent="0.25">
      <c r="A845" s="11">
        <v>2016</v>
      </c>
      <c r="B845" s="11" t="s">
        <v>240</v>
      </c>
      <c r="C845" s="18">
        <v>17.899999999999999</v>
      </c>
      <c r="D845" s="18">
        <v>57.7</v>
      </c>
      <c r="E845" s="18">
        <v>102.1</v>
      </c>
      <c r="F845" s="18">
        <v>96.2</v>
      </c>
      <c r="G845" s="18">
        <v>52.6</v>
      </c>
      <c r="H845" s="18">
        <v>11</v>
      </c>
    </row>
    <row r="846" spans="1:8" x14ac:dyDescent="0.25">
      <c r="A846" s="11">
        <v>2016</v>
      </c>
      <c r="B846" s="11" t="s">
        <v>241</v>
      </c>
      <c r="C846" s="18">
        <v>12.4</v>
      </c>
      <c r="D846" s="18">
        <v>36.4</v>
      </c>
      <c r="E846" s="18">
        <v>65.599999999999994</v>
      </c>
      <c r="F846" s="18">
        <v>85.1</v>
      </c>
      <c r="G846" s="18">
        <v>59.5</v>
      </c>
      <c r="H846" s="18">
        <v>15.7</v>
      </c>
    </row>
    <row r="847" spans="1:8" x14ac:dyDescent="0.25">
      <c r="A847" s="11">
        <v>2016</v>
      </c>
      <c r="B847" s="11" t="s">
        <v>242</v>
      </c>
      <c r="C847" s="18">
        <v>13.9</v>
      </c>
      <c r="D847" s="18">
        <v>63.5</v>
      </c>
      <c r="E847" s="18">
        <v>96.8</v>
      </c>
      <c r="F847" s="18">
        <v>92.3</v>
      </c>
      <c r="G847" s="18">
        <v>56.5</v>
      </c>
      <c r="H847" s="18">
        <v>14.1</v>
      </c>
    </row>
    <row r="848" spans="1:8" x14ac:dyDescent="0.25">
      <c r="A848" s="11">
        <v>2016</v>
      </c>
      <c r="B848" s="11" t="s">
        <v>243</v>
      </c>
      <c r="C848" s="18">
        <v>13.5</v>
      </c>
      <c r="D848" s="18">
        <v>51.2</v>
      </c>
      <c r="E848" s="18">
        <v>82.8</v>
      </c>
      <c r="F848" s="18">
        <v>99.8</v>
      </c>
      <c r="G848" s="18">
        <v>51.8</v>
      </c>
      <c r="H848" s="18">
        <v>8.4</v>
      </c>
    </row>
    <row r="849" spans="1:8" x14ac:dyDescent="0.25">
      <c r="A849" s="11">
        <v>2016</v>
      </c>
      <c r="B849" s="11" t="s">
        <v>244</v>
      </c>
      <c r="C849" s="18">
        <v>19.100000000000001</v>
      </c>
      <c r="D849" s="18">
        <v>61.6</v>
      </c>
      <c r="E849" s="18">
        <v>112.2</v>
      </c>
      <c r="F849" s="18">
        <v>113</v>
      </c>
      <c r="G849" s="18">
        <v>68</v>
      </c>
      <c r="H849" s="18">
        <v>15.9</v>
      </c>
    </row>
    <row r="850" spans="1:8" x14ac:dyDescent="0.25">
      <c r="A850" s="11">
        <v>2016</v>
      </c>
      <c r="B850" s="11" t="s">
        <v>245</v>
      </c>
      <c r="C850" s="18">
        <v>16.100000000000001</v>
      </c>
      <c r="D850" s="18">
        <v>68.099999999999994</v>
      </c>
      <c r="E850" s="18">
        <v>115.6</v>
      </c>
      <c r="F850" s="18">
        <v>93.6</v>
      </c>
      <c r="G850" s="18">
        <v>50.1</v>
      </c>
      <c r="H850" s="18">
        <v>12.2</v>
      </c>
    </row>
    <row r="851" spans="1:8" x14ac:dyDescent="0.25">
      <c r="A851" s="11">
        <v>2016</v>
      </c>
      <c r="B851" s="11" t="s">
        <v>246</v>
      </c>
      <c r="C851" s="18">
        <v>14</v>
      </c>
      <c r="D851" s="18">
        <v>57.2</v>
      </c>
      <c r="E851" s="18">
        <v>112.2</v>
      </c>
      <c r="F851" s="18">
        <v>108</v>
      </c>
      <c r="G851" s="18">
        <v>63.3</v>
      </c>
      <c r="H851" s="18">
        <v>15.9</v>
      </c>
    </row>
    <row r="852" spans="1:8" x14ac:dyDescent="0.25">
      <c r="A852" s="11">
        <v>2016</v>
      </c>
      <c r="B852" s="11" t="s">
        <v>247</v>
      </c>
      <c r="C852" s="18">
        <v>16.2</v>
      </c>
      <c r="D852" s="18">
        <v>65.599999999999994</v>
      </c>
      <c r="E852" s="18">
        <v>99.7</v>
      </c>
      <c r="F852" s="18">
        <v>92.2</v>
      </c>
      <c r="G852" s="18">
        <v>46.5</v>
      </c>
      <c r="H852" s="18">
        <v>7.7</v>
      </c>
    </row>
    <row r="853" spans="1:8" x14ac:dyDescent="0.25">
      <c r="A853" s="11">
        <v>2016</v>
      </c>
      <c r="B853" s="11" t="s">
        <v>248</v>
      </c>
      <c r="C853" s="18">
        <v>15.9</v>
      </c>
      <c r="D853" s="18">
        <v>56.7</v>
      </c>
      <c r="E853" s="18">
        <v>95</v>
      </c>
      <c r="F853" s="18">
        <v>93.4</v>
      </c>
      <c r="G853" s="18">
        <v>52.8</v>
      </c>
      <c r="H853" s="18">
        <v>10.3</v>
      </c>
    </row>
    <row r="854" spans="1:8" x14ac:dyDescent="0.25">
      <c r="A854" s="11">
        <v>2016</v>
      </c>
      <c r="B854" s="11" t="s">
        <v>249</v>
      </c>
      <c r="C854" s="18">
        <v>10.1</v>
      </c>
      <c r="D854" s="18">
        <v>61.9</v>
      </c>
      <c r="E854" s="18">
        <v>100.5</v>
      </c>
      <c r="F854" s="18">
        <v>80.7</v>
      </c>
      <c r="G854" s="18">
        <v>45.1</v>
      </c>
      <c r="H854" s="18">
        <v>10.4</v>
      </c>
    </row>
    <row r="855" spans="1:8" x14ac:dyDescent="0.25">
      <c r="A855" s="11">
        <v>2016</v>
      </c>
      <c r="B855" s="11" t="s">
        <v>250</v>
      </c>
      <c r="C855" s="18">
        <v>7.9</v>
      </c>
      <c r="D855" s="18">
        <v>53.4</v>
      </c>
      <c r="E855" s="18">
        <v>95.7</v>
      </c>
      <c r="F855" s="18">
        <v>104.2</v>
      </c>
      <c r="G855" s="18">
        <v>55.1</v>
      </c>
      <c r="H855" s="18">
        <v>13.1</v>
      </c>
    </row>
    <row r="856" spans="1:8" x14ac:dyDescent="0.25">
      <c r="A856" s="11">
        <v>2016</v>
      </c>
      <c r="B856" s="11" t="s">
        <v>251</v>
      </c>
      <c r="C856" s="18">
        <v>12</v>
      </c>
      <c r="D856" s="18">
        <v>45.3</v>
      </c>
      <c r="E856" s="18">
        <v>81.8</v>
      </c>
      <c r="F856" s="18">
        <v>107.8</v>
      </c>
      <c r="G856" s="18">
        <v>60.2</v>
      </c>
      <c r="H856" s="18">
        <v>11.8</v>
      </c>
    </row>
    <row r="857" spans="1:8" x14ac:dyDescent="0.25">
      <c r="A857" s="11">
        <v>2016</v>
      </c>
      <c r="B857" s="11" t="s">
        <v>252</v>
      </c>
      <c r="C857" s="18">
        <v>13.8</v>
      </c>
      <c r="D857" s="18">
        <v>56</v>
      </c>
      <c r="E857" s="18">
        <v>107.7</v>
      </c>
      <c r="F857" s="18">
        <v>105</v>
      </c>
      <c r="G857" s="18">
        <v>62.3</v>
      </c>
      <c r="H857" s="18">
        <v>13.4</v>
      </c>
    </row>
    <row r="858" spans="1:8" x14ac:dyDescent="0.25">
      <c r="A858" s="11">
        <v>2016</v>
      </c>
      <c r="B858" s="11" t="s">
        <v>253</v>
      </c>
      <c r="C858" s="18">
        <v>12.3</v>
      </c>
      <c r="D858" s="18">
        <v>58.9</v>
      </c>
      <c r="E858" s="18">
        <v>117.7</v>
      </c>
      <c r="F858" s="18">
        <v>127.3</v>
      </c>
      <c r="G858" s="18">
        <v>67.5</v>
      </c>
      <c r="H858" s="18">
        <v>19</v>
      </c>
    </row>
    <row r="859" spans="1:8" x14ac:dyDescent="0.25">
      <c r="A859" s="11">
        <v>2016</v>
      </c>
      <c r="B859" s="11" t="s">
        <v>254</v>
      </c>
      <c r="C859" s="18">
        <v>15.4</v>
      </c>
      <c r="D859" s="18">
        <v>58.6</v>
      </c>
      <c r="E859" s="18">
        <v>94.1</v>
      </c>
      <c r="F859" s="18">
        <v>104.8</v>
      </c>
      <c r="G859" s="18">
        <v>47</v>
      </c>
      <c r="H859" s="18">
        <v>12.5</v>
      </c>
    </row>
    <row r="860" spans="1:8" x14ac:dyDescent="0.25">
      <c r="A860" s="11">
        <v>2016</v>
      </c>
      <c r="B860" s="11" t="s">
        <v>255</v>
      </c>
      <c r="C860" s="18">
        <v>13.7</v>
      </c>
      <c r="D860" s="18">
        <v>51.6</v>
      </c>
      <c r="E860" s="18">
        <v>96</v>
      </c>
      <c r="F860" s="18">
        <v>118.8</v>
      </c>
      <c r="G860" s="18">
        <v>52.9</v>
      </c>
      <c r="H860" s="18">
        <v>11.7</v>
      </c>
    </row>
    <row r="861" spans="1:8" x14ac:dyDescent="0.25">
      <c r="A861" s="11">
        <v>2016</v>
      </c>
      <c r="B861" s="11" t="s">
        <v>256</v>
      </c>
      <c r="C861" s="18">
        <v>5.5</v>
      </c>
      <c r="D861" s="18">
        <v>36.299999999999997</v>
      </c>
      <c r="E861" s="18">
        <v>71.8</v>
      </c>
      <c r="F861" s="18">
        <v>98.7</v>
      </c>
      <c r="G861" s="18">
        <v>71</v>
      </c>
      <c r="H861" s="18">
        <v>14.7</v>
      </c>
    </row>
    <row r="862" spans="1:8" x14ac:dyDescent="0.25">
      <c r="A862" s="11">
        <v>2016</v>
      </c>
      <c r="B862" s="11" t="s">
        <v>257</v>
      </c>
      <c r="C862" s="18">
        <v>16</v>
      </c>
      <c r="D862" s="18">
        <v>59.3</v>
      </c>
      <c r="E862" s="18">
        <v>95.4</v>
      </c>
      <c r="F862" s="18">
        <v>103.6</v>
      </c>
      <c r="G862" s="18">
        <v>49.7</v>
      </c>
      <c r="H862" s="18">
        <v>11.8</v>
      </c>
    </row>
    <row r="863" spans="1:8" x14ac:dyDescent="0.25">
      <c r="A863" s="11">
        <v>2016</v>
      </c>
      <c r="B863" s="11" t="s">
        <v>258</v>
      </c>
      <c r="C863" s="18">
        <v>12.8</v>
      </c>
      <c r="D863" s="18">
        <v>65.5</v>
      </c>
      <c r="E863" s="18">
        <v>105.5</v>
      </c>
      <c r="F863" s="18">
        <v>103.5</v>
      </c>
      <c r="G863" s="18">
        <v>55.5</v>
      </c>
      <c r="H863" s="18">
        <v>10.199999999999999</v>
      </c>
    </row>
    <row r="864" spans="1:8" x14ac:dyDescent="0.25">
      <c r="A864" s="11">
        <v>2017</v>
      </c>
      <c r="B864" s="11" t="s">
        <v>11</v>
      </c>
      <c r="C864" s="18">
        <v>12.6</v>
      </c>
      <c r="D864" s="18">
        <v>44</v>
      </c>
      <c r="E864" s="18">
        <v>79.900000000000006</v>
      </c>
      <c r="F864" s="18">
        <v>96.4</v>
      </c>
      <c r="G864" s="18">
        <v>57</v>
      </c>
      <c r="H864" s="18">
        <v>12.4</v>
      </c>
    </row>
    <row r="865" spans="1:8" x14ac:dyDescent="0.25">
      <c r="A865" s="11">
        <v>2017</v>
      </c>
      <c r="B865" s="11" t="s">
        <v>227</v>
      </c>
      <c r="C865" s="18">
        <v>10.6</v>
      </c>
      <c r="D865" s="18">
        <v>28.4</v>
      </c>
      <c r="E865" s="18">
        <v>68.8</v>
      </c>
      <c r="F865" s="18">
        <v>92.2</v>
      </c>
      <c r="G865" s="18">
        <v>56.2</v>
      </c>
      <c r="H865" s="18">
        <v>11.7</v>
      </c>
    </row>
    <row r="866" spans="1:8" x14ac:dyDescent="0.25">
      <c r="A866" s="11">
        <v>2017</v>
      </c>
      <c r="B866" s="11" t="s">
        <v>228</v>
      </c>
      <c r="C866" s="18">
        <v>8.6999999999999993</v>
      </c>
      <c r="D866" s="18">
        <v>51.3</v>
      </c>
      <c r="E866" s="18">
        <v>112.4</v>
      </c>
      <c r="F866" s="18">
        <v>115.4</v>
      </c>
      <c r="G866" s="18">
        <v>55.2</v>
      </c>
      <c r="H866" s="18">
        <v>10.3</v>
      </c>
    </row>
    <row r="867" spans="1:8" x14ac:dyDescent="0.25">
      <c r="A867" s="11">
        <v>2017</v>
      </c>
      <c r="B867" s="11" t="s">
        <v>229</v>
      </c>
      <c r="C867" s="18">
        <v>13.5</v>
      </c>
      <c r="D867" s="18">
        <v>59.2</v>
      </c>
      <c r="E867" s="18">
        <v>106.1</v>
      </c>
      <c r="F867" s="18">
        <v>100.5</v>
      </c>
      <c r="G867" s="18">
        <v>50.6</v>
      </c>
      <c r="H867" s="18">
        <v>8.9</v>
      </c>
    </row>
    <row r="868" spans="1:8" x14ac:dyDescent="0.25">
      <c r="A868" s="11">
        <v>2017</v>
      </c>
      <c r="B868" s="11" t="s">
        <v>230</v>
      </c>
      <c r="C868" s="18">
        <v>7.8</v>
      </c>
      <c r="D868" s="18">
        <v>50.5</v>
      </c>
      <c r="E868" s="18">
        <v>101.2</v>
      </c>
      <c r="F868" s="18">
        <v>90.8</v>
      </c>
      <c r="G868" s="18">
        <v>60.2</v>
      </c>
      <c r="H868" s="18">
        <v>11.3</v>
      </c>
    </row>
    <row r="869" spans="1:8" x14ac:dyDescent="0.25">
      <c r="A869" s="11">
        <v>2017</v>
      </c>
      <c r="B869" s="11" t="s">
        <v>231</v>
      </c>
      <c r="C869" s="18">
        <v>8</v>
      </c>
      <c r="D869" s="18">
        <v>19.100000000000001</v>
      </c>
      <c r="E869" s="18">
        <v>44.5</v>
      </c>
      <c r="F869" s="18">
        <v>86.7</v>
      </c>
      <c r="G869" s="18">
        <v>66.2</v>
      </c>
      <c r="H869" s="18">
        <v>19.399999999999999</v>
      </c>
    </row>
    <row r="870" spans="1:8" x14ac:dyDescent="0.25">
      <c r="A870" s="11">
        <v>2017</v>
      </c>
      <c r="B870" s="11" t="s">
        <v>232</v>
      </c>
      <c r="C870" s="18">
        <v>20</v>
      </c>
      <c r="D870" s="18">
        <v>74.8</v>
      </c>
      <c r="E870" s="18">
        <v>112</v>
      </c>
      <c r="F870" s="18">
        <v>95</v>
      </c>
      <c r="G870" s="18">
        <v>52.6</v>
      </c>
      <c r="H870" s="18">
        <v>8</v>
      </c>
    </row>
    <row r="871" spans="1:8" x14ac:dyDescent="0.25">
      <c r="A871" s="11">
        <v>2017</v>
      </c>
      <c r="B871" s="11" t="s">
        <v>233</v>
      </c>
      <c r="C871" s="18">
        <v>15.3</v>
      </c>
      <c r="D871" s="18">
        <v>65.8</v>
      </c>
      <c r="E871" s="18">
        <v>99.4</v>
      </c>
      <c r="F871" s="18">
        <v>90</v>
      </c>
      <c r="G871" s="18">
        <v>55</v>
      </c>
      <c r="H871" s="18">
        <v>8</v>
      </c>
    </row>
    <row r="872" spans="1:8" x14ac:dyDescent="0.25">
      <c r="A872" s="11">
        <v>2017</v>
      </c>
      <c r="B872" s="11" t="s">
        <v>234</v>
      </c>
      <c r="C872" s="18">
        <v>20.399999999999999</v>
      </c>
      <c r="D872" s="18">
        <v>38.700000000000003</v>
      </c>
      <c r="E872" s="18">
        <v>69.2</v>
      </c>
      <c r="F872" s="18">
        <v>86</v>
      </c>
      <c r="G872" s="18">
        <v>45.9</v>
      </c>
      <c r="H872" s="18">
        <v>10.4</v>
      </c>
    </row>
    <row r="873" spans="1:8" x14ac:dyDescent="0.25">
      <c r="A873" s="11">
        <v>2017</v>
      </c>
      <c r="B873" s="11" t="s">
        <v>235</v>
      </c>
      <c r="C873" s="18">
        <v>15.9</v>
      </c>
      <c r="D873" s="18">
        <v>71.900000000000006</v>
      </c>
      <c r="E873" s="18">
        <v>100.1</v>
      </c>
      <c r="F873" s="18">
        <v>82.8</v>
      </c>
      <c r="G873" s="18">
        <v>43.7</v>
      </c>
      <c r="H873" s="18">
        <v>9.6999999999999993</v>
      </c>
    </row>
    <row r="874" spans="1:8" x14ac:dyDescent="0.25">
      <c r="A874" s="11">
        <v>2017</v>
      </c>
      <c r="B874" s="11" t="s">
        <v>236</v>
      </c>
      <c r="C874" s="18">
        <v>5.5</v>
      </c>
      <c r="D874" s="18">
        <v>28.4</v>
      </c>
      <c r="E874" s="18">
        <v>68</v>
      </c>
      <c r="F874" s="18">
        <v>145.5</v>
      </c>
      <c r="G874" s="18">
        <v>97.5</v>
      </c>
      <c r="H874" s="18">
        <v>16.600000000000001</v>
      </c>
    </row>
    <row r="875" spans="1:8" x14ac:dyDescent="0.25">
      <c r="A875" s="11">
        <v>2017</v>
      </c>
      <c r="B875" s="11" t="s">
        <v>237</v>
      </c>
      <c r="C875" s="18">
        <v>12.2</v>
      </c>
      <c r="D875" s="18">
        <v>47.1</v>
      </c>
      <c r="E875" s="18">
        <v>83.7</v>
      </c>
      <c r="F875" s="18">
        <v>105.9</v>
      </c>
      <c r="G875" s="18">
        <v>58.6</v>
      </c>
      <c r="H875" s="18">
        <v>12.4</v>
      </c>
    </row>
    <row r="876" spans="1:8" x14ac:dyDescent="0.25">
      <c r="A876" s="11">
        <v>2017</v>
      </c>
      <c r="B876" s="11" t="s">
        <v>238</v>
      </c>
      <c r="C876" s="18">
        <v>3.4</v>
      </c>
      <c r="D876" s="18">
        <v>19</v>
      </c>
      <c r="E876" s="18">
        <v>82.3</v>
      </c>
      <c r="F876" s="18">
        <v>146</v>
      </c>
      <c r="G876" s="18">
        <v>80.3</v>
      </c>
      <c r="H876" s="18">
        <v>17.899999999999999</v>
      </c>
    </row>
    <row r="877" spans="1:8" x14ac:dyDescent="0.25">
      <c r="A877" s="11">
        <v>2017</v>
      </c>
      <c r="B877" s="11" t="s">
        <v>239</v>
      </c>
      <c r="C877" s="18">
        <v>16.8</v>
      </c>
      <c r="D877" s="18">
        <v>57.6</v>
      </c>
      <c r="E877" s="18">
        <v>94.3</v>
      </c>
      <c r="F877" s="18">
        <v>95.1</v>
      </c>
      <c r="G877" s="18">
        <v>46.2</v>
      </c>
      <c r="H877" s="18">
        <v>11.7</v>
      </c>
    </row>
    <row r="878" spans="1:8" x14ac:dyDescent="0.25">
      <c r="A878" s="11">
        <v>2017</v>
      </c>
      <c r="B878" s="11" t="s">
        <v>240</v>
      </c>
      <c r="C878" s="18">
        <v>18.100000000000001</v>
      </c>
      <c r="D878" s="18">
        <v>52.2</v>
      </c>
      <c r="E878" s="18">
        <v>93.1</v>
      </c>
      <c r="F878" s="18">
        <v>91.9</v>
      </c>
      <c r="G878" s="18">
        <v>47.7</v>
      </c>
      <c r="H878" s="18">
        <v>9.8000000000000007</v>
      </c>
    </row>
    <row r="879" spans="1:8" x14ac:dyDescent="0.25">
      <c r="A879" s="11">
        <v>2017</v>
      </c>
      <c r="B879" s="11" t="s">
        <v>241</v>
      </c>
      <c r="C879" s="18">
        <v>13.4</v>
      </c>
      <c r="D879" s="18">
        <v>36.700000000000003</v>
      </c>
      <c r="E879" s="18">
        <v>62.5</v>
      </c>
      <c r="F879" s="18">
        <v>85.3</v>
      </c>
      <c r="G879" s="18">
        <v>60.1</v>
      </c>
      <c r="H879" s="18">
        <v>15.4</v>
      </c>
    </row>
    <row r="880" spans="1:8" x14ac:dyDescent="0.25">
      <c r="A880" s="11">
        <v>2017</v>
      </c>
      <c r="B880" s="11" t="s">
        <v>242</v>
      </c>
      <c r="C880" s="18">
        <v>13.2</v>
      </c>
      <c r="D880" s="18">
        <v>57.2</v>
      </c>
      <c r="E880" s="18">
        <v>96</v>
      </c>
      <c r="F880" s="18">
        <v>97.3</v>
      </c>
      <c r="G880" s="18">
        <v>52.9</v>
      </c>
      <c r="H880" s="18">
        <v>11.4</v>
      </c>
    </row>
    <row r="881" spans="1:8" x14ac:dyDescent="0.25">
      <c r="A881" s="11">
        <v>2017</v>
      </c>
      <c r="B881" s="11" t="s">
        <v>243</v>
      </c>
      <c r="C881" s="18">
        <v>7.9</v>
      </c>
      <c r="D881" s="18">
        <v>45.7</v>
      </c>
      <c r="E881" s="18">
        <v>76.400000000000006</v>
      </c>
      <c r="F881" s="18">
        <v>99.6</v>
      </c>
      <c r="G881" s="18">
        <v>49.2</v>
      </c>
      <c r="H881" s="18">
        <v>10.9</v>
      </c>
    </row>
    <row r="882" spans="1:8" x14ac:dyDescent="0.25">
      <c r="A882" s="11">
        <v>2017</v>
      </c>
      <c r="B882" s="11" t="s">
        <v>244</v>
      </c>
      <c r="C882" s="18">
        <v>14.7</v>
      </c>
      <c r="D882" s="18">
        <v>59.6</v>
      </c>
      <c r="E882" s="18">
        <v>103.6</v>
      </c>
      <c r="F882" s="18">
        <v>123.1</v>
      </c>
      <c r="G882" s="18">
        <v>67.400000000000006</v>
      </c>
      <c r="H882" s="18">
        <v>14.5</v>
      </c>
    </row>
    <row r="883" spans="1:8" x14ac:dyDescent="0.25">
      <c r="A883" s="11">
        <v>2017</v>
      </c>
      <c r="B883" s="11" t="s">
        <v>245</v>
      </c>
      <c r="C883" s="18">
        <v>12.6</v>
      </c>
      <c r="D883" s="18">
        <v>65.7</v>
      </c>
      <c r="E883" s="18">
        <v>104.2</v>
      </c>
      <c r="F883" s="18">
        <v>88.3</v>
      </c>
      <c r="G883" s="18">
        <v>46.2</v>
      </c>
      <c r="H883" s="18">
        <v>11.3</v>
      </c>
    </row>
    <row r="884" spans="1:8" x14ac:dyDescent="0.25">
      <c r="A884" s="11">
        <v>2017</v>
      </c>
      <c r="B884" s="11" t="s">
        <v>246</v>
      </c>
      <c r="C884" s="18">
        <v>9.6999999999999993</v>
      </c>
      <c r="D884" s="18">
        <v>33.700000000000003</v>
      </c>
      <c r="E884" s="18">
        <v>92.3</v>
      </c>
      <c r="F884" s="18">
        <v>117.6</v>
      </c>
      <c r="G884" s="18">
        <v>68.099999999999994</v>
      </c>
      <c r="H884" s="18">
        <v>15.2</v>
      </c>
    </row>
    <row r="885" spans="1:8" x14ac:dyDescent="0.25">
      <c r="A885" s="11">
        <v>2017</v>
      </c>
      <c r="B885" s="11" t="s">
        <v>247</v>
      </c>
      <c r="C885" s="18">
        <v>20.7</v>
      </c>
      <c r="D885" s="18">
        <v>57.9</v>
      </c>
      <c r="E885" s="18">
        <v>96.3</v>
      </c>
      <c r="F885" s="18">
        <v>84.9</v>
      </c>
      <c r="G885" s="18">
        <v>47.3</v>
      </c>
      <c r="H885" s="18">
        <v>8.4</v>
      </c>
    </row>
    <row r="886" spans="1:8" x14ac:dyDescent="0.25">
      <c r="A886" s="11">
        <v>2017</v>
      </c>
      <c r="B886" s="11" t="s">
        <v>248</v>
      </c>
      <c r="C886" s="18">
        <v>15.4</v>
      </c>
      <c r="D886" s="18">
        <v>59.2</v>
      </c>
      <c r="E886" s="18">
        <v>95</v>
      </c>
      <c r="F886" s="18">
        <v>97.5</v>
      </c>
      <c r="G886" s="18">
        <v>48.9</v>
      </c>
      <c r="H886" s="18">
        <v>11.4</v>
      </c>
    </row>
    <row r="887" spans="1:8" x14ac:dyDescent="0.25">
      <c r="A887" s="11">
        <v>2017</v>
      </c>
      <c r="B887" s="11" t="s">
        <v>249</v>
      </c>
      <c r="C887" s="18">
        <v>6</v>
      </c>
      <c r="D887" s="18">
        <v>35</v>
      </c>
      <c r="E887" s="18">
        <v>86.4</v>
      </c>
      <c r="F887" s="18">
        <v>114</v>
      </c>
      <c r="G887" s="18">
        <v>48.4</v>
      </c>
      <c r="H887" s="18">
        <v>20.399999999999999</v>
      </c>
    </row>
    <row r="888" spans="1:8" x14ac:dyDescent="0.25">
      <c r="A888" s="11">
        <v>2017</v>
      </c>
      <c r="B888" s="11" t="s">
        <v>250</v>
      </c>
      <c r="C888" s="18">
        <v>6.5</v>
      </c>
      <c r="D888" s="18">
        <v>51.1</v>
      </c>
      <c r="E888" s="18">
        <v>83.1</v>
      </c>
      <c r="F888" s="18">
        <v>93.9</v>
      </c>
      <c r="G888" s="18">
        <v>54.6</v>
      </c>
      <c r="H888" s="18">
        <v>10.9</v>
      </c>
    </row>
    <row r="889" spans="1:8" x14ac:dyDescent="0.25">
      <c r="A889" s="11">
        <v>2017</v>
      </c>
      <c r="B889" s="11" t="s">
        <v>251</v>
      </c>
      <c r="C889" s="18">
        <v>11.7</v>
      </c>
      <c r="D889" s="18">
        <v>45</v>
      </c>
      <c r="E889" s="18">
        <v>83.7</v>
      </c>
      <c r="F889" s="18">
        <v>105.8</v>
      </c>
      <c r="G889" s="18">
        <v>58.6</v>
      </c>
      <c r="H889" s="18">
        <v>11.3</v>
      </c>
    </row>
    <row r="890" spans="1:8" x14ac:dyDescent="0.25">
      <c r="A890" s="11">
        <v>2017</v>
      </c>
      <c r="B890" s="11" t="s">
        <v>252</v>
      </c>
      <c r="C890" s="18">
        <v>10.9</v>
      </c>
      <c r="D890" s="18">
        <v>50.8</v>
      </c>
      <c r="E890" s="18">
        <v>106.9</v>
      </c>
      <c r="F890" s="18">
        <v>114.4</v>
      </c>
      <c r="G890" s="18">
        <v>53.7</v>
      </c>
      <c r="H890" s="18">
        <v>12.4</v>
      </c>
    </row>
    <row r="891" spans="1:8" x14ac:dyDescent="0.25">
      <c r="A891" s="11">
        <v>2017</v>
      </c>
      <c r="B891" s="11" t="s">
        <v>253</v>
      </c>
      <c r="C891" s="18">
        <v>0</v>
      </c>
      <c r="D891" s="18">
        <v>52.3</v>
      </c>
      <c r="E891" s="18">
        <v>100.8</v>
      </c>
      <c r="F891" s="18">
        <v>118.3</v>
      </c>
      <c r="G891" s="18">
        <v>52.6</v>
      </c>
      <c r="H891" s="18">
        <v>14.8</v>
      </c>
    </row>
    <row r="892" spans="1:8" x14ac:dyDescent="0.25">
      <c r="A892" s="11">
        <v>2017</v>
      </c>
      <c r="B892" s="11" t="s">
        <v>254</v>
      </c>
      <c r="C892" s="18">
        <v>10.3</v>
      </c>
      <c r="D892" s="18">
        <v>55.2</v>
      </c>
      <c r="E892" s="18">
        <v>95.8</v>
      </c>
      <c r="F892" s="18">
        <v>98.9</v>
      </c>
      <c r="G892" s="18">
        <v>50</v>
      </c>
      <c r="H892" s="18">
        <v>10.199999999999999</v>
      </c>
    </row>
    <row r="893" spans="1:8" x14ac:dyDescent="0.25">
      <c r="A893" s="11">
        <v>2017</v>
      </c>
      <c r="B893" s="11" t="s">
        <v>255</v>
      </c>
      <c r="C893" s="18">
        <v>13.6</v>
      </c>
      <c r="D893" s="18">
        <v>48.8</v>
      </c>
      <c r="E893" s="18">
        <v>89.2</v>
      </c>
      <c r="F893" s="18">
        <v>103.9</v>
      </c>
      <c r="G893" s="18">
        <v>63.6</v>
      </c>
      <c r="H893" s="18">
        <v>11.7</v>
      </c>
    </row>
    <row r="894" spans="1:8" x14ac:dyDescent="0.25">
      <c r="A894" s="11">
        <v>2017</v>
      </c>
      <c r="B894" s="11" t="s">
        <v>256</v>
      </c>
      <c r="C894" s="18">
        <v>8.6</v>
      </c>
      <c r="D894" s="18">
        <v>28.1</v>
      </c>
      <c r="E894" s="18">
        <v>73</v>
      </c>
      <c r="F894" s="18">
        <v>111.3</v>
      </c>
      <c r="G894" s="18">
        <v>64.3</v>
      </c>
      <c r="H894" s="18">
        <v>15</v>
      </c>
    </row>
    <row r="895" spans="1:8" x14ac:dyDescent="0.25">
      <c r="A895" s="11">
        <v>2017</v>
      </c>
      <c r="B895" s="11" t="s">
        <v>257</v>
      </c>
      <c r="C895" s="18">
        <v>16.2</v>
      </c>
      <c r="D895" s="18">
        <v>66.8</v>
      </c>
      <c r="E895" s="18">
        <v>86</v>
      </c>
      <c r="F895" s="18">
        <v>83.3</v>
      </c>
      <c r="G895" s="18">
        <v>52.7</v>
      </c>
      <c r="H895" s="18">
        <v>10.4</v>
      </c>
    </row>
    <row r="896" spans="1:8" x14ac:dyDescent="0.25">
      <c r="A896" s="11">
        <v>2017</v>
      </c>
      <c r="B896" s="11" t="s">
        <v>258</v>
      </c>
      <c r="C896" s="18">
        <v>11.5</v>
      </c>
      <c r="D896" s="18">
        <v>68.599999999999994</v>
      </c>
      <c r="E896" s="18">
        <v>97.2</v>
      </c>
      <c r="F896" s="18">
        <v>100</v>
      </c>
      <c r="G896" s="18">
        <v>54.5</v>
      </c>
      <c r="H896" s="18">
        <v>8.3000000000000007</v>
      </c>
    </row>
    <row r="897" spans="1:8" x14ac:dyDescent="0.25">
      <c r="A897" s="11">
        <v>2018</v>
      </c>
      <c r="B897" s="11" t="s">
        <v>11</v>
      </c>
      <c r="C897" s="18">
        <v>11.1</v>
      </c>
      <c r="D897" s="18">
        <v>41.8</v>
      </c>
      <c r="E897" s="18">
        <v>77.7</v>
      </c>
      <c r="F897" s="18">
        <v>93.8</v>
      </c>
      <c r="G897" s="18">
        <v>55</v>
      </c>
      <c r="H897" s="18">
        <v>13.3</v>
      </c>
    </row>
    <row r="898" spans="1:8" x14ac:dyDescent="0.25">
      <c r="A898" s="11">
        <v>2018</v>
      </c>
      <c r="B898" s="11" t="s">
        <v>227</v>
      </c>
      <c r="C898" s="18">
        <v>9</v>
      </c>
      <c r="D898" s="18">
        <v>29.9</v>
      </c>
      <c r="E898" s="18">
        <v>57.2</v>
      </c>
      <c r="F898" s="18">
        <v>91.6</v>
      </c>
      <c r="G898" s="18">
        <v>60.9</v>
      </c>
      <c r="H898" s="18">
        <v>16.399999999999999</v>
      </c>
    </row>
    <row r="899" spans="1:8" x14ac:dyDescent="0.25">
      <c r="A899" s="11">
        <v>2018</v>
      </c>
      <c r="B899" s="11" t="s">
        <v>228</v>
      </c>
      <c r="C899" s="18">
        <v>7.3</v>
      </c>
      <c r="D899" s="18">
        <v>52.4</v>
      </c>
      <c r="E899" s="18">
        <v>115.3</v>
      </c>
      <c r="F899" s="18">
        <v>118</v>
      </c>
      <c r="G899" s="18">
        <v>58.2</v>
      </c>
      <c r="H899" s="18">
        <v>12.8</v>
      </c>
    </row>
    <row r="900" spans="1:8" x14ac:dyDescent="0.25">
      <c r="A900" s="11">
        <v>2018</v>
      </c>
      <c r="B900" s="11" t="s">
        <v>229</v>
      </c>
      <c r="C900" s="18">
        <v>16.5</v>
      </c>
      <c r="D900" s="18">
        <v>47.9</v>
      </c>
      <c r="E900" s="18">
        <v>93.6</v>
      </c>
      <c r="F900" s="18">
        <v>86.1</v>
      </c>
      <c r="G900" s="18">
        <v>57.7</v>
      </c>
      <c r="H900" s="18">
        <v>9.8000000000000007</v>
      </c>
    </row>
    <row r="901" spans="1:8" x14ac:dyDescent="0.25">
      <c r="A901" s="11">
        <v>2018</v>
      </c>
      <c r="B901" s="11" t="s">
        <v>230</v>
      </c>
      <c r="C901" s="18">
        <v>11.8</v>
      </c>
      <c r="D901" s="18">
        <v>56.8</v>
      </c>
      <c r="E901" s="18">
        <v>93.1</v>
      </c>
      <c r="F901" s="18">
        <v>93.1</v>
      </c>
      <c r="G901" s="18">
        <v>54.8</v>
      </c>
      <c r="H901" s="18">
        <v>9.8000000000000007</v>
      </c>
    </row>
    <row r="902" spans="1:8" x14ac:dyDescent="0.25">
      <c r="A902" s="11">
        <v>2018</v>
      </c>
      <c r="B902" s="11" t="s">
        <v>231</v>
      </c>
      <c r="C902" s="18">
        <v>7.5</v>
      </c>
      <c r="D902" s="18">
        <v>16</v>
      </c>
      <c r="E902" s="18">
        <v>44</v>
      </c>
      <c r="F902" s="18">
        <v>82.3</v>
      </c>
      <c r="G902" s="18">
        <v>66.400000000000006</v>
      </c>
      <c r="H902" s="18">
        <v>18.5</v>
      </c>
    </row>
    <row r="903" spans="1:8" x14ac:dyDescent="0.25">
      <c r="A903" s="11">
        <v>2018</v>
      </c>
      <c r="B903" s="11" t="s">
        <v>232</v>
      </c>
      <c r="C903" s="18">
        <v>13.3</v>
      </c>
      <c r="D903" s="18">
        <v>73</v>
      </c>
      <c r="E903" s="18">
        <v>90.1</v>
      </c>
      <c r="F903" s="18">
        <v>86.1</v>
      </c>
      <c r="G903" s="18">
        <v>45</v>
      </c>
      <c r="H903" s="18">
        <v>9</v>
      </c>
    </row>
    <row r="904" spans="1:8" x14ac:dyDescent="0.25">
      <c r="A904" s="11">
        <v>2018</v>
      </c>
      <c r="B904" s="11" t="s">
        <v>233</v>
      </c>
      <c r="C904" s="18">
        <v>13.5</v>
      </c>
      <c r="D904" s="18">
        <v>68.7</v>
      </c>
      <c r="E904" s="18">
        <v>96.7</v>
      </c>
      <c r="F904" s="18">
        <v>93.6</v>
      </c>
      <c r="G904" s="18">
        <v>39.299999999999997</v>
      </c>
      <c r="H904" s="18">
        <v>12.1</v>
      </c>
    </row>
    <row r="905" spans="1:8" x14ac:dyDescent="0.25">
      <c r="A905" s="11">
        <v>2018</v>
      </c>
      <c r="B905" s="11" t="s">
        <v>234</v>
      </c>
      <c r="C905" s="18">
        <v>14.6</v>
      </c>
      <c r="D905" s="18">
        <v>39.299999999999997</v>
      </c>
      <c r="E905" s="18">
        <v>71.7</v>
      </c>
      <c r="F905" s="18">
        <v>83.6</v>
      </c>
      <c r="G905" s="18">
        <v>45.7</v>
      </c>
      <c r="H905" s="18">
        <v>13.2</v>
      </c>
    </row>
    <row r="906" spans="1:8" x14ac:dyDescent="0.25">
      <c r="A906" s="11">
        <v>2018</v>
      </c>
      <c r="B906" s="11" t="s">
        <v>235</v>
      </c>
      <c r="C906" s="18">
        <v>17</v>
      </c>
      <c r="D906" s="18">
        <v>66.8</v>
      </c>
      <c r="E906" s="18">
        <v>90.8</v>
      </c>
      <c r="F906" s="18">
        <v>98.5</v>
      </c>
      <c r="G906" s="18">
        <v>51.7</v>
      </c>
      <c r="H906" s="18">
        <v>7</v>
      </c>
    </row>
    <row r="907" spans="1:8" x14ac:dyDescent="0.25">
      <c r="A907" s="11">
        <v>2018</v>
      </c>
      <c r="B907" s="11" t="s">
        <v>236</v>
      </c>
      <c r="C907" s="18">
        <v>4.5</v>
      </c>
      <c r="D907" s="18">
        <v>23.7</v>
      </c>
      <c r="E907" s="18">
        <v>68.5</v>
      </c>
      <c r="F907" s="18">
        <v>142.9</v>
      </c>
      <c r="G907" s="18">
        <v>72.2</v>
      </c>
      <c r="H907" s="18">
        <v>19.399999999999999</v>
      </c>
    </row>
    <row r="908" spans="1:8" x14ac:dyDescent="0.25">
      <c r="A908" s="11">
        <v>2018</v>
      </c>
      <c r="B908" s="11" t="s">
        <v>237</v>
      </c>
      <c r="C908" s="18">
        <v>10.8</v>
      </c>
      <c r="D908" s="18">
        <v>47.2</v>
      </c>
      <c r="E908" s="18">
        <v>84.2</v>
      </c>
      <c r="F908" s="18">
        <v>107</v>
      </c>
      <c r="G908" s="18">
        <v>63.6</v>
      </c>
      <c r="H908" s="18">
        <v>16.7</v>
      </c>
    </row>
    <row r="909" spans="1:8" x14ac:dyDescent="0.25">
      <c r="A909" s="11">
        <v>2018</v>
      </c>
      <c r="B909" s="11" t="s">
        <v>238</v>
      </c>
      <c r="C909" s="18">
        <v>3.5</v>
      </c>
      <c r="D909" s="18">
        <v>21.3</v>
      </c>
      <c r="E909" s="18">
        <v>74</v>
      </c>
      <c r="F909" s="18">
        <v>137.19999999999999</v>
      </c>
      <c r="G909" s="18">
        <v>79.900000000000006</v>
      </c>
      <c r="H909" s="18">
        <v>17.600000000000001</v>
      </c>
    </row>
    <row r="910" spans="1:8" x14ac:dyDescent="0.25">
      <c r="A910" s="11">
        <v>2018</v>
      </c>
      <c r="B910" s="11" t="s">
        <v>239</v>
      </c>
      <c r="C910" s="18">
        <v>8.8000000000000007</v>
      </c>
      <c r="D910" s="18">
        <v>51.8</v>
      </c>
      <c r="E910" s="18">
        <v>91.7</v>
      </c>
      <c r="F910" s="18">
        <v>91.5</v>
      </c>
      <c r="G910" s="18">
        <v>49.5</v>
      </c>
      <c r="H910" s="18">
        <v>11.4</v>
      </c>
    </row>
    <row r="911" spans="1:8" x14ac:dyDescent="0.25">
      <c r="A911" s="11">
        <v>2018</v>
      </c>
      <c r="B911" s="11" t="s">
        <v>240</v>
      </c>
      <c r="C911" s="18">
        <v>15.8</v>
      </c>
      <c r="D911" s="18">
        <v>51.1</v>
      </c>
      <c r="E911" s="18">
        <v>94.7</v>
      </c>
      <c r="F911" s="18">
        <v>94.5</v>
      </c>
      <c r="G911" s="18">
        <v>48</v>
      </c>
      <c r="H911" s="18">
        <v>10.5</v>
      </c>
    </row>
    <row r="912" spans="1:8" x14ac:dyDescent="0.25">
      <c r="A912" s="11">
        <v>2018</v>
      </c>
      <c r="B912" s="11" t="s">
        <v>241</v>
      </c>
      <c r="C912" s="18">
        <v>11.9</v>
      </c>
      <c r="D912" s="18">
        <v>33.5</v>
      </c>
      <c r="E912" s="18">
        <v>59.5</v>
      </c>
      <c r="F912" s="18">
        <v>80.900000000000006</v>
      </c>
      <c r="G912" s="18">
        <v>55.1</v>
      </c>
      <c r="H912" s="18">
        <v>16.5</v>
      </c>
    </row>
    <row r="913" spans="1:8" x14ac:dyDescent="0.25">
      <c r="A913" s="11">
        <v>2018</v>
      </c>
      <c r="B913" s="11" t="s">
        <v>242</v>
      </c>
      <c r="C913" s="18">
        <v>12.2</v>
      </c>
      <c r="D913" s="18">
        <v>57.7</v>
      </c>
      <c r="E913" s="18">
        <v>93.5</v>
      </c>
      <c r="F913" s="18">
        <v>89.5</v>
      </c>
      <c r="G913" s="18">
        <v>52.1</v>
      </c>
      <c r="H913" s="18">
        <v>11.4</v>
      </c>
    </row>
    <row r="914" spans="1:8" x14ac:dyDescent="0.25">
      <c r="A914" s="11">
        <v>2018</v>
      </c>
      <c r="B914" s="11" t="s">
        <v>243</v>
      </c>
      <c r="C914" s="18">
        <v>14.6</v>
      </c>
      <c r="D914" s="18">
        <v>56.9</v>
      </c>
      <c r="E914" s="18">
        <v>84.8</v>
      </c>
      <c r="F914" s="18">
        <v>89.4</v>
      </c>
      <c r="G914" s="18">
        <v>50.3</v>
      </c>
      <c r="H914" s="18">
        <v>8</v>
      </c>
    </row>
    <row r="915" spans="1:8" x14ac:dyDescent="0.25">
      <c r="A915" s="11">
        <v>2018</v>
      </c>
      <c r="B915" s="11" t="s">
        <v>244</v>
      </c>
      <c r="C915" s="18">
        <v>8.6</v>
      </c>
      <c r="D915" s="18">
        <v>49</v>
      </c>
      <c r="E915" s="18">
        <v>104.8</v>
      </c>
      <c r="F915" s="18">
        <v>121.4</v>
      </c>
      <c r="G915" s="18">
        <v>61.8</v>
      </c>
      <c r="H915" s="18">
        <v>14</v>
      </c>
    </row>
    <row r="916" spans="1:8" x14ac:dyDescent="0.25">
      <c r="A916" s="11">
        <v>2018</v>
      </c>
      <c r="B916" s="11" t="s">
        <v>245</v>
      </c>
      <c r="C916" s="18">
        <v>8.8000000000000007</v>
      </c>
      <c r="D916" s="18">
        <v>64</v>
      </c>
      <c r="E916" s="18">
        <v>110.7</v>
      </c>
      <c r="F916" s="18">
        <v>78.3</v>
      </c>
      <c r="G916" s="18">
        <v>47.9</v>
      </c>
      <c r="H916" s="18">
        <v>9.3000000000000007</v>
      </c>
    </row>
    <row r="917" spans="1:8" x14ac:dyDescent="0.25">
      <c r="A917" s="11">
        <v>2018</v>
      </c>
      <c r="B917" s="11" t="s">
        <v>246</v>
      </c>
      <c r="C917" s="18">
        <v>6.8</v>
      </c>
      <c r="D917" s="18">
        <v>58.6</v>
      </c>
      <c r="E917" s="18">
        <v>71.400000000000006</v>
      </c>
      <c r="F917" s="18">
        <v>107.8</v>
      </c>
      <c r="G917" s="18">
        <v>61</v>
      </c>
      <c r="H917" s="18">
        <v>22.9</v>
      </c>
    </row>
    <row r="918" spans="1:8" x14ac:dyDescent="0.25">
      <c r="A918" s="11">
        <v>2018</v>
      </c>
      <c r="B918" s="11" t="s">
        <v>247</v>
      </c>
      <c r="C918" s="18">
        <v>18.5</v>
      </c>
      <c r="D918" s="18">
        <v>58.5</v>
      </c>
      <c r="E918" s="18">
        <v>87.8</v>
      </c>
      <c r="F918" s="18">
        <v>83.4</v>
      </c>
      <c r="G918" s="18">
        <v>43.3</v>
      </c>
      <c r="H918" s="18">
        <v>8.8000000000000007</v>
      </c>
    </row>
    <row r="919" spans="1:8" x14ac:dyDescent="0.25">
      <c r="A919" s="11">
        <v>2018</v>
      </c>
      <c r="B919" s="11" t="s">
        <v>248</v>
      </c>
      <c r="C919" s="18">
        <v>16</v>
      </c>
      <c r="D919" s="18">
        <v>55.6</v>
      </c>
      <c r="E919" s="18">
        <v>92.7</v>
      </c>
      <c r="F919" s="18">
        <v>92.6</v>
      </c>
      <c r="G919" s="18">
        <v>46.4</v>
      </c>
      <c r="H919" s="18">
        <v>10</v>
      </c>
    </row>
    <row r="920" spans="1:8" x14ac:dyDescent="0.25">
      <c r="A920" s="11">
        <v>2018</v>
      </c>
      <c r="B920" s="11" t="s">
        <v>249</v>
      </c>
      <c r="C920" s="18">
        <v>0</v>
      </c>
      <c r="D920" s="18">
        <v>39.200000000000003</v>
      </c>
      <c r="E920" s="18">
        <v>99.7</v>
      </c>
      <c r="F920" s="18">
        <v>112.3</v>
      </c>
      <c r="G920" s="18">
        <v>52.5</v>
      </c>
      <c r="H920" s="18">
        <v>8.3000000000000007</v>
      </c>
    </row>
    <row r="921" spans="1:8" x14ac:dyDescent="0.25">
      <c r="A921" s="11">
        <v>2018</v>
      </c>
      <c r="B921" s="11" t="s">
        <v>250</v>
      </c>
      <c r="C921" s="18">
        <v>6.7</v>
      </c>
      <c r="D921" s="18">
        <v>50.1</v>
      </c>
      <c r="E921" s="18">
        <v>86.6</v>
      </c>
      <c r="F921" s="18">
        <v>94.8</v>
      </c>
      <c r="G921" s="18">
        <v>53.9</v>
      </c>
      <c r="H921" s="18">
        <v>11.6</v>
      </c>
    </row>
    <row r="922" spans="1:8" x14ac:dyDescent="0.25">
      <c r="A922" s="11">
        <v>2018</v>
      </c>
      <c r="B922" s="11" t="s">
        <v>251</v>
      </c>
      <c r="C922" s="18">
        <v>8</v>
      </c>
      <c r="D922" s="18">
        <v>46.6</v>
      </c>
      <c r="E922" s="18">
        <v>79.900000000000006</v>
      </c>
      <c r="F922" s="18">
        <v>94.8</v>
      </c>
      <c r="G922" s="18">
        <v>53.1</v>
      </c>
      <c r="H922" s="18">
        <v>12.7</v>
      </c>
    </row>
    <row r="923" spans="1:8" x14ac:dyDescent="0.25">
      <c r="A923" s="11">
        <v>2018</v>
      </c>
      <c r="B923" s="11" t="s">
        <v>252</v>
      </c>
      <c r="C923" s="18">
        <v>8.3000000000000007</v>
      </c>
      <c r="D923" s="18">
        <v>51.6</v>
      </c>
      <c r="E923" s="18">
        <v>103.8</v>
      </c>
      <c r="F923" s="18">
        <v>108.2</v>
      </c>
      <c r="G923" s="18">
        <v>61.7</v>
      </c>
      <c r="H923" s="18">
        <v>11.9</v>
      </c>
    </row>
    <row r="924" spans="1:8" x14ac:dyDescent="0.25">
      <c r="A924" s="11">
        <v>2018</v>
      </c>
      <c r="B924" s="11" t="s">
        <v>253</v>
      </c>
      <c r="C924" s="18">
        <v>5.2</v>
      </c>
      <c r="D924" s="18">
        <v>61.2</v>
      </c>
      <c r="E924" s="18">
        <v>89.6</v>
      </c>
      <c r="F924" s="18">
        <v>101.9</v>
      </c>
      <c r="G924" s="18">
        <v>63.7</v>
      </c>
      <c r="H924" s="18">
        <v>18.2</v>
      </c>
    </row>
    <row r="925" spans="1:8" x14ac:dyDescent="0.25">
      <c r="A925" s="11">
        <v>2018</v>
      </c>
      <c r="B925" s="11" t="s">
        <v>254</v>
      </c>
      <c r="C925" s="18">
        <v>10.1</v>
      </c>
      <c r="D925" s="18">
        <v>51.5</v>
      </c>
      <c r="E925" s="18">
        <v>92.1</v>
      </c>
      <c r="F925" s="18">
        <v>108.2</v>
      </c>
      <c r="G925" s="18">
        <v>48.3</v>
      </c>
      <c r="H925" s="18">
        <v>11.1</v>
      </c>
    </row>
    <row r="926" spans="1:8" x14ac:dyDescent="0.25">
      <c r="A926" s="11">
        <v>2018</v>
      </c>
      <c r="B926" s="11" t="s">
        <v>255</v>
      </c>
      <c r="C926" s="18">
        <v>11.8</v>
      </c>
      <c r="D926" s="18">
        <v>46.3</v>
      </c>
      <c r="E926" s="18">
        <v>92.2</v>
      </c>
      <c r="F926" s="18">
        <v>105.3</v>
      </c>
      <c r="G926" s="18">
        <v>55.6</v>
      </c>
      <c r="H926" s="18">
        <v>13.7</v>
      </c>
    </row>
    <row r="927" spans="1:8" x14ac:dyDescent="0.25">
      <c r="A927" s="11">
        <v>2018</v>
      </c>
      <c r="B927" s="11" t="s">
        <v>256</v>
      </c>
      <c r="C927" s="18">
        <v>5.4</v>
      </c>
      <c r="D927" s="18">
        <v>26.2</v>
      </c>
      <c r="E927" s="18">
        <v>81.099999999999994</v>
      </c>
      <c r="F927" s="18">
        <v>95.3</v>
      </c>
      <c r="G927" s="18">
        <v>59.4</v>
      </c>
      <c r="H927" s="18">
        <v>15.8</v>
      </c>
    </row>
    <row r="928" spans="1:8" x14ac:dyDescent="0.25">
      <c r="A928" s="11">
        <v>2018</v>
      </c>
      <c r="B928" s="11" t="s">
        <v>257</v>
      </c>
      <c r="C928" s="18">
        <v>14.5</v>
      </c>
      <c r="D928" s="18">
        <v>54.5</v>
      </c>
      <c r="E928" s="18">
        <v>88.3</v>
      </c>
      <c r="F928" s="18">
        <v>95.2</v>
      </c>
      <c r="G928" s="18">
        <v>47.6</v>
      </c>
      <c r="H928" s="18">
        <v>13.2</v>
      </c>
    </row>
    <row r="929" spans="1:8" x14ac:dyDescent="0.25">
      <c r="A929" s="11">
        <v>2018</v>
      </c>
      <c r="B929" s="11" t="s">
        <v>258</v>
      </c>
      <c r="C929" s="18">
        <v>10.4</v>
      </c>
      <c r="D929" s="18">
        <v>53</v>
      </c>
      <c r="E929" s="18">
        <v>90.1</v>
      </c>
      <c r="F929" s="18">
        <v>95.9</v>
      </c>
      <c r="G929" s="18">
        <v>49.3</v>
      </c>
      <c r="H929" s="18">
        <v>9.9</v>
      </c>
    </row>
    <row r="930" spans="1:8" x14ac:dyDescent="0.25">
      <c r="A930" s="11">
        <v>2019</v>
      </c>
      <c r="B930" s="11" t="s">
        <v>11</v>
      </c>
      <c r="C930" s="18">
        <v>10</v>
      </c>
      <c r="D930" s="18">
        <v>39.4</v>
      </c>
      <c r="E930" s="18">
        <v>75.400000000000006</v>
      </c>
      <c r="F930" s="18">
        <v>92.4</v>
      </c>
      <c r="G930" s="18">
        <v>53.8</v>
      </c>
      <c r="H930" s="18">
        <v>12.8</v>
      </c>
    </row>
    <row r="931" spans="1:8" x14ac:dyDescent="0.25">
      <c r="A931" s="11">
        <v>2019</v>
      </c>
      <c r="B931" s="11" t="s">
        <v>227</v>
      </c>
      <c r="C931" s="18">
        <v>7.7</v>
      </c>
      <c r="D931" s="18">
        <v>22.9</v>
      </c>
      <c r="E931" s="18">
        <v>66</v>
      </c>
      <c r="F931" s="18">
        <v>88.7</v>
      </c>
      <c r="G931" s="18">
        <v>54.7</v>
      </c>
      <c r="H931" s="18">
        <v>17</v>
      </c>
    </row>
    <row r="932" spans="1:8" x14ac:dyDescent="0.25">
      <c r="A932" s="11">
        <v>2019</v>
      </c>
      <c r="B932" s="11" t="s">
        <v>228</v>
      </c>
      <c r="C932" s="18">
        <v>5.8</v>
      </c>
      <c r="D932" s="18">
        <v>41.1</v>
      </c>
      <c r="E932" s="18">
        <v>103.1</v>
      </c>
      <c r="F932" s="18">
        <v>109.1</v>
      </c>
      <c r="G932" s="18">
        <v>58</v>
      </c>
      <c r="H932" s="18">
        <v>9.1999999999999993</v>
      </c>
    </row>
    <row r="933" spans="1:8" x14ac:dyDescent="0.25">
      <c r="A933" s="11">
        <v>2019</v>
      </c>
      <c r="B933" s="11" t="s">
        <v>229</v>
      </c>
      <c r="C933" s="18">
        <v>12</v>
      </c>
      <c r="D933" s="18">
        <v>49.9</v>
      </c>
      <c r="E933" s="18">
        <v>102.3</v>
      </c>
      <c r="F933" s="18">
        <v>96.4</v>
      </c>
      <c r="G933" s="18">
        <v>45.8</v>
      </c>
      <c r="H933" s="18">
        <v>9.8000000000000007</v>
      </c>
    </row>
    <row r="934" spans="1:8" x14ac:dyDescent="0.25">
      <c r="A934" s="11">
        <v>2019</v>
      </c>
      <c r="B934" s="11" t="s">
        <v>230</v>
      </c>
      <c r="C934" s="18">
        <v>11.3</v>
      </c>
      <c r="D934" s="18">
        <v>54.2</v>
      </c>
      <c r="E934" s="18">
        <v>91.3</v>
      </c>
      <c r="F934" s="18">
        <v>98.3</v>
      </c>
      <c r="G934" s="18">
        <v>47.2</v>
      </c>
      <c r="H934" s="18">
        <v>10.9</v>
      </c>
    </row>
    <row r="935" spans="1:8" x14ac:dyDescent="0.25">
      <c r="A935" s="11">
        <v>2019</v>
      </c>
      <c r="B935" s="11" t="s">
        <v>231</v>
      </c>
      <c r="C935" s="18">
        <v>5.6</v>
      </c>
      <c r="D935" s="18">
        <v>15</v>
      </c>
      <c r="E935" s="18">
        <v>39.6</v>
      </c>
      <c r="F935" s="18">
        <v>81.900000000000006</v>
      </c>
      <c r="G935" s="18">
        <v>62.3</v>
      </c>
      <c r="H935" s="18">
        <v>17.899999999999999</v>
      </c>
    </row>
    <row r="936" spans="1:8" x14ac:dyDescent="0.25">
      <c r="A936" s="11">
        <v>2019</v>
      </c>
      <c r="B936" s="11" t="s">
        <v>232</v>
      </c>
      <c r="C936" s="18">
        <v>16.100000000000001</v>
      </c>
      <c r="D936" s="18">
        <v>60.5</v>
      </c>
      <c r="E936" s="18">
        <v>84.2</v>
      </c>
      <c r="F936" s="18">
        <v>82.8</v>
      </c>
      <c r="G936" s="18">
        <v>33.1</v>
      </c>
      <c r="H936" s="18">
        <v>5.2</v>
      </c>
    </row>
    <row r="937" spans="1:8" x14ac:dyDescent="0.25">
      <c r="A937" s="11">
        <v>2019</v>
      </c>
      <c r="B937" s="11" t="s">
        <v>233</v>
      </c>
      <c r="C937" s="18">
        <v>11.4</v>
      </c>
      <c r="D937" s="18">
        <v>64.099999999999994</v>
      </c>
      <c r="E937" s="18">
        <v>99</v>
      </c>
      <c r="F937" s="18">
        <v>89.7</v>
      </c>
      <c r="G937" s="18">
        <v>40.700000000000003</v>
      </c>
      <c r="H937" s="18">
        <v>9</v>
      </c>
    </row>
    <row r="938" spans="1:8" x14ac:dyDescent="0.25">
      <c r="A938" s="11">
        <v>2019</v>
      </c>
      <c r="B938" s="11" t="s">
        <v>234</v>
      </c>
      <c r="C938" s="18">
        <v>12.7</v>
      </c>
      <c r="D938" s="18">
        <v>35</v>
      </c>
      <c r="E938" s="18">
        <v>68.7</v>
      </c>
      <c r="F938" s="18">
        <v>76</v>
      </c>
      <c r="G938" s="18">
        <v>52.4</v>
      </c>
      <c r="H938" s="18">
        <v>13.1</v>
      </c>
    </row>
    <row r="939" spans="1:8" x14ac:dyDescent="0.25">
      <c r="A939" s="11">
        <v>2019</v>
      </c>
      <c r="B939" s="11" t="s">
        <v>235</v>
      </c>
      <c r="C939" s="18">
        <v>16.8</v>
      </c>
      <c r="D939" s="18">
        <v>66.400000000000006</v>
      </c>
      <c r="E939" s="18">
        <v>100.3</v>
      </c>
      <c r="F939" s="18">
        <v>95.2</v>
      </c>
      <c r="G939" s="18">
        <v>43.5</v>
      </c>
      <c r="H939" s="18">
        <v>10.8</v>
      </c>
    </row>
    <row r="940" spans="1:8" x14ac:dyDescent="0.25">
      <c r="A940" s="11">
        <v>2019</v>
      </c>
      <c r="B940" s="11" t="s">
        <v>236</v>
      </c>
      <c r="C940" s="18">
        <v>3.1</v>
      </c>
      <c r="D940" s="18">
        <v>22.5</v>
      </c>
      <c r="E940" s="18">
        <v>68.7</v>
      </c>
      <c r="F940" s="18">
        <v>133.80000000000001</v>
      </c>
      <c r="G940" s="18">
        <v>72.400000000000006</v>
      </c>
      <c r="H940" s="18">
        <v>17.100000000000001</v>
      </c>
    </row>
    <row r="941" spans="1:8" x14ac:dyDescent="0.25">
      <c r="A941" s="11">
        <v>2019</v>
      </c>
      <c r="B941" s="11" t="s">
        <v>237</v>
      </c>
      <c r="C941" s="18">
        <v>9.3000000000000007</v>
      </c>
      <c r="D941" s="18">
        <v>45.4</v>
      </c>
      <c r="E941" s="18">
        <v>76.400000000000006</v>
      </c>
      <c r="F941" s="18">
        <v>103.4</v>
      </c>
      <c r="G941" s="18">
        <v>60.3</v>
      </c>
      <c r="H941" s="18">
        <v>15.7</v>
      </c>
    </row>
    <row r="942" spans="1:8" x14ac:dyDescent="0.25">
      <c r="A942" s="11">
        <v>2019</v>
      </c>
      <c r="B942" s="11" t="s">
        <v>238</v>
      </c>
      <c r="C942" s="18">
        <v>1.9</v>
      </c>
      <c r="D942" s="18">
        <v>24</v>
      </c>
      <c r="E942" s="18">
        <v>78.2</v>
      </c>
      <c r="F942" s="18">
        <v>125.6</v>
      </c>
      <c r="G942" s="18">
        <v>71.2</v>
      </c>
      <c r="H942" s="18">
        <v>19.7</v>
      </c>
    </row>
    <row r="943" spans="1:8" x14ac:dyDescent="0.25">
      <c r="A943" s="11">
        <v>2019</v>
      </c>
      <c r="B943" s="11" t="s">
        <v>239</v>
      </c>
      <c r="C943" s="18">
        <v>11.2</v>
      </c>
      <c r="D943" s="18">
        <v>53</v>
      </c>
      <c r="E943" s="18">
        <v>84.6</v>
      </c>
      <c r="F943" s="18">
        <v>92.7</v>
      </c>
      <c r="G943" s="18">
        <v>50.4</v>
      </c>
      <c r="H943" s="18">
        <v>6.4</v>
      </c>
    </row>
    <row r="944" spans="1:8" x14ac:dyDescent="0.25">
      <c r="A944" s="11">
        <v>2019</v>
      </c>
      <c r="B944" s="11" t="s">
        <v>240</v>
      </c>
      <c r="C944" s="18">
        <v>14.3</v>
      </c>
      <c r="D944" s="18">
        <v>48.2</v>
      </c>
      <c r="E944" s="18">
        <v>92.2</v>
      </c>
      <c r="F944" s="18">
        <v>90.6</v>
      </c>
      <c r="G944" s="18">
        <v>46</v>
      </c>
      <c r="H944" s="18">
        <v>9.6</v>
      </c>
    </row>
    <row r="945" spans="1:8" x14ac:dyDescent="0.25">
      <c r="A945" s="11">
        <v>2019</v>
      </c>
      <c r="B945" s="11" t="s">
        <v>241</v>
      </c>
      <c r="C945" s="18">
        <v>10.6</v>
      </c>
      <c r="D945" s="18">
        <v>33.299999999999997</v>
      </c>
      <c r="E945" s="18">
        <v>57</v>
      </c>
      <c r="F945" s="18">
        <v>81.099999999999994</v>
      </c>
      <c r="G945" s="18">
        <v>57.1</v>
      </c>
      <c r="H945" s="18">
        <v>15.5</v>
      </c>
    </row>
    <row r="946" spans="1:8" x14ac:dyDescent="0.25">
      <c r="A946" s="11">
        <v>2019</v>
      </c>
      <c r="B946" s="11" t="s">
        <v>242</v>
      </c>
      <c r="C946" s="18">
        <v>10.1</v>
      </c>
      <c r="D946" s="18">
        <v>56.9</v>
      </c>
      <c r="E946" s="18">
        <v>89</v>
      </c>
      <c r="F946" s="18">
        <v>89.5</v>
      </c>
      <c r="G946" s="18">
        <v>53.1</v>
      </c>
      <c r="H946" s="18">
        <v>12.7</v>
      </c>
    </row>
    <row r="947" spans="1:8" x14ac:dyDescent="0.25">
      <c r="A947" s="11">
        <v>2019</v>
      </c>
      <c r="B947" s="11" t="s">
        <v>243</v>
      </c>
      <c r="C947" s="18">
        <v>6.6</v>
      </c>
      <c r="D947" s="18">
        <v>45.2</v>
      </c>
      <c r="E947" s="18">
        <v>79.599999999999994</v>
      </c>
      <c r="F947" s="18">
        <v>86.7</v>
      </c>
      <c r="G947" s="18">
        <v>43.6</v>
      </c>
      <c r="H947" s="18">
        <v>11</v>
      </c>
    </row>
    <row r="948" spans="1:8" x14ac:dyDescent="0.25">
      <c r="A948" s="11">
        <v>2019</v>
      </c>
      <c r="B948" s="11" t="s">
        <v>244</v>
      </c>
      <c r="C948" s="18">
        <v>11.1</v>
      </c>
      <c r="D948" s="18">
        <v>51.1</v>
      </c>
      <c r="E948" s="18">
        <v>97.8</v>
      </c>
      <c r="F948" s="18">
        <v>111</v>
      </c>
      <c r="G948" s="18">
        <v>61.4</v>
      </c>
      <c r="H948" s="18">
        <v>15.4</v>
      </c>
    </row>
    <row r="949" spans="1:8" x14ac:dyDescent="0.25">
      <c r="A949" s="11">
        <v>2019</v>
      </c>
      <c r="B949" s="11" t="s">
        <v>245</v>
      </c>
      <c r="C949" s="18">
        <v>8.6</v>
      </c>
      <c r="D949" s="18">
        <v>64.599999999999994</v>
      </c>
      <c r="E949" s="18">
        <v>92</v>
      </c>
      <c r="F949" s="18">
        <v>96.9</v>
      </c>
      <c r="G949" s="18">
        <v>43</v>
      </c>
      <c r="H949" s="18">
        <v>10.6</v>
      </c>
    </row>
    <row r="950" spans="1:8" x14ac:dyDescent="0.25">
      <c r="A950" s="11">
        <v>2019</v>
      </c>
      <c r="B950" s="11" t="s">
        <v>246</v>
      </c>
      <c r="C950" s="18">
        <v>9.8000000000000007</v>
      </c>
      <c r="D950" s="18">
        <v>55.6</v>
      </c>
      <c r="E950" s="18">
        <v>104.3</v>
      </c>
      <c r="F950" s="18">
        <v>97.5</v>
      </c>
      <c r="G950" s="18">
        <v>50.3</v>
      </c>
      <c r="H950" s="18">
        <v>13.6</v>
      </c>
    </row>
    <row r="951" spans="1:8" x14ac:dyDescent="0.25">
      <c r="A951" s="11">
        <v>2019</v>
      </c>
      <c r="B951" s="11" t="s">
        <v>247</v>
      </c>
      <c r="C951" s="18">
        <v>15.6</v>
      </c>
      <c r="D951" s="18">
        <v>61.6</v>
      </c>
      <c r="E951" s="18">
        <v>92.7</v>
      </c>
      <c r="F951" s="18">
        <v>85.2</v>
      </c>
      <c r="G951" s="18">
        <v>41.2</v>
      </c>
      <c r="H951" s="18">
        <v>7.2</v>
      </c>
    </row>
    <row r="952" spans="1:8" x14ac:dyDescent="0.25">
      <c r="A952" s="11">
        <v>2019</v>
      </c>
      <c r="B952" s="11" t="s">
        <v>248</v>
      </c>
      <c r="C952" s="18">
        <v>14.5</v>
      </c>
      <c r="D952" s="18">
        <v>53.2</v>
      </c>
      <c r="E952" s="18">
        <v>89.8</v>
      </c>
      <c r="F952" s="18">
        <v>99.2</v>
      </c>
      <c r="G952" s="18">
        <v>49.1</v>
      </c>
      <c r="H952" s="18">
        <v>11.3</v>
      </c>
    </row>
    <row r="953" spans="1:8" x14ac:dyDescent="0.25">
      <c r="A953" s="11">
        <v>2019</v>
      </c>
      <c r="B953" s="11" t="s">
        <v>249</v>
      </c>
      <c r="C953" s="18">
        <v>6.3</v>
      </c>
      <c r="D953" s="18">
        <v>40.799999999999997</v>
      </c>
      <c r="E953" s="18">
        <v>90</v>
      </c>
      <c r="F953" s="18">
        <v>97.4</v>
      </c>
      <c r="G953" s="18">
        <v>57.7</v>
      </c>
      <c r="H953" s="18">
        <v>17.600000000000001</v>
      </c>
    </row>
    <row r="954" spans="1:8" x14ac:dyDescent="0.25">
      <c r="A954" s="11">
        <v>2019</v>
      </c>
      <c r="B954" s="11" t="s">
        <v>250</v>
      </c>
      <c r="C954" s="18">
        <v>7.4</v>
      </c>
      <c r="D954" s="18">
        <v>48.8</v>
      </c>
      <c r="E954" s="18">
        <v>84.1</v>
      </c>
      <c r="F954" s="18">
        <v>94.1</v>
      </c>
      <c r="G954" s="18">
        <v>51</v>
      </c>
      <c r="H954" s="18">
        <v>13.5</v>
      </c>
    </row>
    <row r="955" spans="1:8" x14ac:dyDescent="0.25">
      <c r="A955" s="11">
        <v>2019</v>
      </c>
      <c r="B955" s="11" t="s">
        <v>251</v>
      </c>
      <c r="C955" s="18">
        <v>6.6</v>
      </c>
      <c r="D955" s="18">
        <v>37.299999999999997</v>
      </c>
      <c r="E955" s="18">
        <v>79.7</v>
      </c>
      <c r="F955" s="18">
        <v>99.3</v>
      </c>
      <c r="G955" s="18">
        <v>52.5</v>
      </c>
      <c r="H955" s="18">
        <v>12.8</v>
      </c>
    </row>
    <row r="956" spans="1:8" x14ac:dyDescent="0.25">
      <c r="A956" s="11">
        <v>2019</v>
      </c>
      <c r="B956" s="11" t="s">
        <v>252</v>
      </c>
      <c r="C956" s="18">
        <v>12</v>
      </c>
      <c r="D956" s="18">
        <v>45.8</v>
      </c>
      <c r="E956" s="18">
        <v>88.9</v>
      </c>
      <c r="F956" s="18">
        <v>104.6</v>
      </c>
      <c r="G956" s="18">
        <v>53.4</v>
      </c>
      <c r="H956" s="18">
        <v>16.2</v>
      </c>
    </row>
    <row r="957" spans="1:8" x14ac:dyDescent="0.25">
      <c r="A957" s="11">
        <v>2019</v>
      </c>
      <c r="B957" s="11" t="s">
        <v>253</v>
      </c>
      <c r="C957" s="18">
        <v>9.1</v>
      </c>
      <c r="D957" s="18">
        <v>53.6</v>
      </c>
      <c r="E957" s="18">
        <v>92.8</v>
      </c>
      <c r="F957" s="18">
        <v>98.8</v>
      </c>
      <c r="G957" s="18">
        <v>62.1</v>
      </c>
      <c r="H957" s="18">
        <v>13</v>
      </c>
    </row>
    <row r="958" spans="1:8" x14ac:dyDescent="0.25">
      <c r="A958" s="11">
        <v>2019</v>
      </c>
      <c r="B958" s="11" t="s">
        <v>254</v>
      </c>
      <c r="C958" s="18">
        <v>10.5</v>
      </c>
      <c r="D958" s="18">
        <v>45.9</v>
      </c>
      <c r="E958" s="18">
        <v>84.3</v>
      </c>
      <c r="F958" s="18">
        <v>91.4</v>
      </c>
      <c r="G958" s="18">
        <v>44.5</v>
      </c>
      <c r="H958" s="18">
        <v>12</v>
      </c>
    </row>
    <row r="959" spans="1:8" x14ac:dyDescent="0.25">
      <c r="A959" s="11">
        <v>2019</v>
      </c>
      <c r="B959" s="11" t="s">
        <v>255</v>
      </c>
      <c r="C959" s="18">
        <v>8.6999999999999993</v>
      </c>
      <c r="D959" s="18">
        <v>46.5</v>
      </c>
      <c r="E959" s="18">
        <v>88.1</v>
      </c>
      <c r="F959" s="18">
        <v>104.1</v>
      </c>
      <c r="G959" s="18">
        <v>59</v>
      </c>
      <c r="H959" s="18">
        <v>11.3</v>
      </c>
    </row>
    <row r="960" spans="1:8" x14ac:dyDescent="0.25">
      <c r="A960" s="11">
        <v>2019</v>
      </c>
      <c r="B960" s="11" t="s">
        <v>256</v>
      </c>
      <c r="C960" s="18">
        <v>5.6</v>
      </c>
      <c r="D960" s="18">
        <v>19</v>
      </c>
      <c r="E960" s="18">
        <v>73.2</v>
      </c>
      <c r="F960" s="18">
        <v>96.7</v>
      </c>
      <c r="G960" s="18">
        <v>66.599999999999994</v>
      </c>
      <c r="H960" s="18">
        <v>17.7</v>
      </c>
    </row>
    <row r="961" spans="1:8" x14ac:dyDescent="0.25">
      <c r="A961" s="11">
        <v>2019</v>
      </c>
      <c r="B961" s="11" t="s">
        <v>257</v>
      </c>
      <c r="C961" s="18">
        <v>14.7</v>
      </c>
      <c r="D961" s="18">
        <v>49.5</v>
      </c>
      <c r="E961" s="18">
        <v>93.5</v>
      </c>
      <c r="F961" s="18">
        <v>92.5</v>
      </c>
      <c r="G961" s="18">
        <v>43.4</v>
      </c>
      <c r="H961" s="18">
        <v>5.9</v>
      </c>
    </row>
    <row r="962" spans="1:8" x14ac:dyDescent="0.25">
      <c r="A962" s="11">
        <v>2019</v>
      </c>
      <c r="B962" s="11" t="s">
        <v>258</v>
      </c>
      <c r="C962" s="18">
        <v>12.6</v>
      </c>
      <c r="D962" s="18">
        <v>63.6</v>
      </c>
      <c r="E962" s="18">
        <v>93</v>
      </c>
      <c r="F962" s="18">
        <v>91</v>
      </c>
      <c r="G962" s="18">
        <v>49.5</v>
      </c>
      <c r="H962" s="18">
        <v>10.6</v>
      </c>
    </row>
    <row r="963" spans="1:8" x14ac:dyDescent="0.25">
      <c r="A963" s="11">
        <v>2020</v>
      </c>
      <c r="B963" s="11" t="s">
        <v>11</v>
      </c>
      <c r="C963" s="18">
        <v>8.9</v>
      </c>
      <c r="D963" s="18">
        <v>36.299999999999997</v>
      </c>
      <c r="E963" s="18">
        <v>71.099999999999994</v>
      </c>
      <c r="F963" s="18">
        <v>87.8</v>
      </c>
      <c r="G963" s="18">
        <v>50.6</v>
      </c>
      <c r="H963" s="18">
        <v>12.6</v>
      </c>
    </row>
    <row r="964" spans="1:8" x14ac:dyDescent="0.25">
      <c r="A964" s="11">
        <v>2020</v>
      </c>
      <c r="B964" s="11" t="s">
        <v>227</v>
      </c>
      <c r="C964" s="18">
        <v>5.8</v>
      </c>
      <c r="D964" s="18">
        <v>22.3</v>
      </c>
      <c r="E964" s="18">
        <v>59.7</v>
      </c>
      <c r="F964" s="18">
        <v>80.3</v>
      </c>
      <c r="G964" s="18">
        <v>47.3</v>
      </c>
      <c r="H964" s="18">
        <v>14.1</v>
      </c>
    </row>
    <row r="965" spans="1:8" x14ac:dyDescent="0.25">
      <c r="A965" s="11">
        <v>2020</v>
      </c>
      <c r="B965" s="11" t="s">
        <v>228</v>
      </c>
      <c r="C965" s="18">
        <v>7.7</v>
      </c>
      <c r="D965" s="18">
        <v>41.6</v>
      </c>
      <c r="E965" s="18">
        <v>100</v>
      </c>
      <c r="F965" s="18">
        <v>107.1</v>
      </c>
      <c r="G965" s="18">
        <v>51.3</v>
      </c>
      <c r="H965" s="18">
        <v>10.199999999999999</v>
      </c>
    </row>
    <row r="966" spans="1:8" x14ac:dyDescent="0.25">
      <c r="A966" s="11">
        <v>2020</v>
      </c>
      <c r="B966" s="11" t="s">
        <v>229</v>
      </c>
      <c r="C966" s="18">
        <v>11.2</v>
      </c>
      <c r="D966" s="18">
        <v>46.6</v>
      </c>
      <c r="E966" s="18">
        <v>93.2</v>
      </c>
      <c r="F966" s="18">
        <v>92.3</v>
      </c>
      <c r="G966" s="18">
        <v>32.5</v>
      </c>
      <c r="H966" s="18">
        <v>9.5</v>
      </c>
    </row>
    <row r="967" spans="1:8" x14ac:dyDescent="0.25">
      <c r="A967" s="11">
        <v>2020</v>
      </c>
      <c r="B967" s="11" t="s">
        <v>230</v>
      </c>
      <c r="C967" s="18">
        <v>8.1999999999999993</v>
      </c>
      <c r="D967" s="18">
        <v>50.1</v>
      </c>
      <c r="E967" s="18">
        <v>91.4</v>
      </c>
      <c r="F967" s="18">
        <v>89.3</v>
      </c>
      <c r="G967" s="18">
        <v>42.9</v>
      </c>
      <c r="H967" s="18">
        <v>13.9</v>
      </c>
    </row>
    <row r="968" spans="1:8" x14ac:dyDescent="0.25">
      <c r="A968" s="11">
        <v>2020</v>
      </c>
      <c r="B968" s="11" t="s">
        <v>231</v>
      </c>
      <c r="C968" s="18">
        <v>3.5</v>
      </c>
      <c r="D968" s="18">
        <v>13.7</v>
      </c>
      <c r="E968" s="18">
        <v>35.4</v>
      </c>
      <c r="F968" s="18">
        <v>81.8</v>
      </c>
      <c r="G968" s="18">
        <v>62</v>
      </c>
      <c r="H968" s="18">
        <v>19.600000000000001</v>
      </c>
    </row>
    <row r="969" spans="1:8" x14ac:dyDescent="0.25">
      <c r="A969" s="11">
        <v>2020</v>
      </c>
      <c r="B969" s="11" t="s">
        <v>232</v>
      </c>
      <c r="C969" s="18">
        <v>10.9</v>
      </c>
      <c r="D969" s="18">
        <v>66.3</v>
      </c>
      <c r="E969" s="18">
        <v>83.8</v>
      </c>
      <c r="F969" s="18">
        <v>88</v>
      </c>
      <c r="G969" s="18">
        <v>46.7</v>
      </c>
      <c r="H969" s="18">
        <v>5.9</v>
      </c>
    </row>
    <row r="970" spans="1:8" x14ac:dyDescent="0.25">
      <c r="A970" s="11">
        <v>2020</v>
      </c>
      <c r="B970" s="11" t="s">
        <v>233</v>
      </c>
      <c r="C970" s="18">
        <v>13.6</v>
      </c>
      <c r="D970" s="18">
        <v>57.2</v>
      </c>
      <c r="E970" s="18">
        <v>95.9</v>
      </c>
      <c r="F970" s="18">
        <v>86.2</v>
      </c>
      <c r="G970" s="18">
        <v>47.2</v>
      </c>
      <c r="H970" s="18">
        <v>10.5</v>
      </c>
    </row>
    <row r="971" spans="1:8" x14ac:dyDescent="0.25">
      <c r="A971" s="11">
        <v>2020</v>
      </c>
      <c r="B971" s="11" t="s">
        <v>234</v>
      </c>
      <c r="C971" s="18">
        <v>10.6</v>
      </c>
      <c r="D971" s="18">
        <v>29.4</v>
      </c>
      <c r="E971" s="18">
        <v>68.2</v>
      </c>
      <c r="F971" s="18">
        <v>71</v>
      </c>
      <c r="G971" s="18">
        <v>45.6</v>
      </c>
      <c r="H971" s="18">
        <v>10.199999999999999</v>
      </c>
    </row>
    <row r="972" spans="1:8" x14ac:dyDescent="0.25">
      <c r="A972" s="11">
        <v>2020</v>
      </c>
      <c r="B972" s="11" t="s">
        <v>235</v>
      </c>
      <c r="C972" s="18">
        <v>11.6</v>
      </c>
      <c r="D972" s="18">
        <v>69.3</v>
      </c>
      <c r="E972" s="18">
        <v>94.1</v>
      </c>
      <c r="F972" s="18">
        <v>91.2</v>
      </c>
      <c r="G972" s="18">
        <v>42.1</v>
      </c>
      <c r="H972" s="18">
        <v>10.6</v>
      </c>
    </row>
    <row r="973" spans="1:8" x14ac:dyDescent="0.25">
      <c r="A973" s="11">
        <v>2020</v>
      </c>
      <c r="B973" s="11" t="s">
        <v>236</v>
      </c>
      <c r="C973" s="18">
        <v>3.4</v>
      </c>
      <c r="D973" s="18">
        <v>26.2</v>
      </c>
      <c r="E973" s="18">
        <v>68.900000000000006</v>
      </c>
      <c r="F973" s="18">
        <v>123.2</v>
      </c>
      <c r="G973" s="18">
        <v>77.2</v>
      </c>
      <c r="H973" s="18">
        <v>13.2</v>
      </c>
    </row>
    <row r="974" spans="1:8" x14ac:dyDescent="0.25">
      <c r="A974" s="11">
        <v>2020</v>
      </c>
      <c r="B974" s="11" t="s">
        <v>237</v>
      </c>
      <c r="C974" s="18">
        <v>8.9</v>
      </c>
      <c r="D974" s="18">
        <v>40.6</v>
      </c>
      <c r="E974" s="18">
        <v>75.599999999999994</v>
      </c>
      <c r="F974" s="18">
        <v>100</v>
      </c>
      <c r="G974" s="18">
        <v>60</v>
      </c>
      <c r="H974" s="18">
        <v>17.399999999999999</v>
      </c>
    </row>
    <row r="975" spans="1:8" x14ac:dyDescent="0.25">
      <c r="A975" s="11">
        <v>2020</v>
      </c>
      <c r="B975" s="11" t="s">
        <v>238</v>
      </c>
      <c r="C975" s="18">
        <v>2.2999999999999998</v>
      </c>
      <c r="D975" s="18">
        <v>17.100000000000001</v>
      </c>
      <c r="E975" s="18">
        <v>72.5</v>
      </c>
      <c r="F975" s="18">
        <v>132.6</v>
      </c>
      <c r="G975" s="18">
        <v>74.3</v>
      </c>
      <c r="H975" s="18">
        <v>17.600000000000001</v>
      </c>
    </row>
    <row r="976" spans="1:8" x14ac:dyDescent="0.25">
      <c r="A976" s="11">
        <v>2020</v>
      </c>
      <c r="B976" s="11" t="s">
        <v>239</v>
      </c>
      <c r="C976" s="18">
        <v>11.9</v>
      </c>
      <c r="D976" s="18">
        <v>49.1</v>
      </c>
      <c r="E976" s="18">
        <v>90</v>
      </c>
      <c r="F976" s="18">
        <v>88</v>
      </c>
      <c r="G976" s="18">
        <v>45</v>
      </c>
      <c r="H976" s="18">
        <v>10.3</v>
      </c>
    </row>
    <row r="977" spans="1:8" x14ac:dyDescent="0.25">
      <c r="A977" s="11">
        <v>2020</v>
      </c>
      <c r="B977" s="11" t="s">
        <v>240</v>
      </c>
      <c r="C977" s="18">
        <v>14.1</v>
      </c>
      <c r="D977" s="18">
        <v>44.5</v>
      </c>
      <c r="E977" s="18">
        <v>82.4</v>
      </c>
      <c r="F977" s="18">
        <v>90.4</v>
      </c>
      <c r="G977" s="18">
        <v>43.3</v>
      </c>
      <c r="H977" s="18">
        <v>10.9</v>
      </c>
    </row>
    <row r="978" spans="1:8" x14ac:dyDescent="0.25">
      <c r="A978" s="11">
        <v>2020</v>
      </c>
      <c r="B978" s="11" t="s">
        <v>241</v>
      </c>
      <c r="C978" s="18">
        <v>8.6999999999999993</v>
      </c>
      <c r="D978" s="18">
        <v>27.6</v>
      </c>
      <c r="E978" s="18">
        <v>52.8</v>
      </c>
      <c r="F978" s="18">
        <v>72.599999999999994</v>
      </c>
      <c r="G978" s="18">
        <v>50.6</v>
      </c>
      <c r="H978" s="18">
        <v>14.8</v>
      </c>
    </row>
    <row r="979" spans="1:8" x14ac:dyDescent="0.25">
      <c r="A979" s="11">
        <v>2020</v>
      </c>
      <c r="B979" s="11" t="s">
        <v>242</v>
      </c>
      <c r="C979" s="18">
        <v>8.1999999999999993</v>
      </c>
      <c r="D979" s="18">
        <v>49.8</v>
      </c>
      <c r="E979" s="18">
        <v>85.9</v>
      </c>
      <c r="F979" s="18">
        <v>90.8</v>
      </c>
      <c r="G979" s="18">
        <v>50.2</v>
      </c>
      <c r="H979" s="18">
        <v>14.6</v>
      </c>
    </row>
    <row r="980" spans="1:8" x14ac:dyDescent="0.25">
      <c r="A980" s="11">
        <v>2020</v>
      </c>
      <c r="B980" s="11" t="s">
        <v>243</v>
      </c>
      <c r="C980" s="18">
        <v>10.9</v>
      </c>
      <c r="D980" s="18">
        <v>51</v>
      </c>
      <c r="E980" s="18">
        <v>74.3</v>
      </c>
      <c r="F980" s="18">
        <v>85.5</v>
      </c>
      <c r="G980" s="18">
        <v>42.3</v>
      </c>
      <c r="H980" s="18">
        <v>11.6</v>
      </c>
    </row>
    <row r="981" spans="1:8" x14ac:dyDescent="0.25">
      <c r="A981" s="11">
        <v>2020</v>
      </c>
      <c r="B981" s="11" t="s">
        <v>244</v>
      </c>
      <c r="C981" s="18">
        <v>10</v>
      </c>
      <c r="D981" s="18">
        <v>44.9</v>
      </c>
      <c r="E981" s="18">
        <v>84.1</v>
      </c>
      <c r="F981" s="18">
        <v>109.2</v>
      </c>
      <c r="G981" s="18">
        <v>56.7</v>
      </c>
      <c r="H981" s="18">
        <v>12.7</v>
      </c>
    </row>
    <row r="982" spans="1:8" x14ac:dyDescent="0.25">
      <c r="A982" s="11">
        <v>2020</v>
      </c>
      <c r="B982" s="11" t="s">
        <v>245</v>
      </c>
      <c r="C982" s="18">
        <v>16.399999999999999</v>
      </c>
      <c r="D982" s="18">
        <v>66.5</v>
      </c>
      <c r="E982" s="18">
        <v>105.6</v>
      </c>
      <c r="F982" s="18">
        <v>89</v>
      </c>
      <c r="G982" s="18">
        <v>47.9</v>
      </c>
      <c r="H982" s="18">
        <v>11.3</v>
      </c>
    </row>
    <row r="983" spans="1:8" x14ac:dyDescent="0.25">
      <c r="A983" s="11">
        <v>2020</v>
      </c>
      <c r="B983" s="11" t="s">
        <v>246</v>
      </c>
      <c r="C983" s="18">
        <v>6.6</v>
      </c>
      <c r="D983" s="18">
        <v>63.6</v>
      </c>
      <c r="E983" s="18">
        <v>60.6</v>
      </c>
      <c r="F983" s="18">
        <v>107</v>
      </c>
      <c r="G983" s="18">
        <v>50.7</v>
      </c>
      <c r="H983" s="18">
        <v>20.9</v>
      </c>
    </row>
    <row r="984" spans="1:8" x14ac:dyDescent="0.25">
      <c r="A984" s="11">
        <v>2020</v>
      </c>
      <c r="B984" s="11" t="s">
        <v>247</v>
      </c>
      <c r="C984" s="18">
        <v>13.3</v>
      </c>
      <c r="D984" s="18">
        <v>61.7</v>
      </c>
      <c r="E984" s="18">
        <v>92.2</v>
      </c>
      <c r="F984" s="18">
        <v>79.400000000000006</v>
      </c>
      <c r="G984" s="18">
        <v>45.1</v>
      </c>
      <c r="H984" s="18">
        <v>9.8000000000000007</v>
      </c>
    </row>
    <row r="985" spans="1:8" x14ac:dyDescent="0.25">
      <c r="A985" s="11">
        <v>2020</v>
      </c>
      <c r="B985" s="11" t="s">
        <v>248</v>
      </c>
      <c r="C985" s="18">
        <v>10.8</v>
      </c>
      <c r="D985" s="18">
        <v>47.1</v>
      </c>
      <c r="E985" s="18">
        <v>86.7</v>
      </c>
      <c r="F985" s="18">
        <v>86.4</v>
      </c>
      <c r="G985" s="18">
        <v>42.7</v>
      </c>
      <c r="H985" s="18">
        <v>9.4</v>
      </c>
    </row>
    <row r="986" spans="1:8" x14ac:dyDescent="0.25">
      <c r="A986" s="11">
        <v>2020</v>
      </c>
      <c r="B986" s="11" t="s">
        <v>249</v>
      </c>
      <c r="C986" s="18">
        <v>2.1</v>
      </c>
      <c r="D986" s="18">
        <v>40.6</v>
      </c>
      <c r="E986" s="18">
        <v>84.2</v>
      </c>
      <c r="F986" s="18">
        <v>110.6</v>
      </c>
      <c r="G986" s="18">
        <v>60.8</v>
      </c>
      <c r="H986" s="18">
        <v>11.8</v>
      </c>
    </row>
    <row r="987" spans="1:8" x14ac:dyDescent="0.25">
      <c r="A987" s="11">
        <v>2020</v>
      </c>
      <c r="B987" s="11" t="s">
        <v>250</v>
      </c>
      <c r="C987" s="18">
        <v>7.1</v>
      </c>
      <c r="D987" s="18">
        <v>54.6</v>
      </c>
      <c r="E987" s="18">
        <v>79.099999999999994</v>
      </c>
      <c r="F987" s="18">
        <v>95.7</v>
      </c>
      <c r="G987" s="18">
        <v>52.7</v>
      </c>
      <c r="H987" s="18">
        <v>12.2</v>
      </c>
    </row>
    <row r="988" spans="1:8" x14ac:dyDescent="0.25">
      <c r="A988" s="11">
        <v>2020</v>
      </c>
      <c r="B988" s="11" t="s">
        <v>251</v>
      </c>
      <c r="C988" s="18">
        <v>6</v>
      </c>
      <c r="D988" s="18">
        <v>32.5</v>
      </c>
      <c r="E988" s="18">
        <v>72.599999999999994</v>
      </c>
      <c r="F988" s="18">
        <v>87.7</v>
      </c>
      <c r="G988" s="18">
        <v>49.2</v>
      </c>
      <c r="H988" s="18">
        <v>12.1</v>
      </c>
    </row>
    <row r="989" spans="1:8" x14ac:dyDescent="0.25">
      <c r="A989" s="11">
        <v>2020</v>
      </c>
      <c r="B989" s="11" t="s">
        <v>252</v>
      </c>
      <c r="C989" s="18">
        <v>7.8</v>
      </c>
      <c r="D989" s="18">
        <v>42.3</v>
      </c>
      <c r="E989" s="18">
        <v>89</v>
      </c>
      <c r="F989" s="18">
        <v>101.9</v>
      </c>
      <c r="G989" s="18">
        <v>47.3</v>
      </c>
      <c r="H989" s="18">
        <v>9</v>
      </c>
    </row>
    <row r="990" spans="1:8" x14ac:dyDescent="0.25">
      <c r="A990" s="11">
        <v>2020</v>
      </c>
      <c r="B990" s="11" t="s">
        <v>253</v>
      </c>
      <c r="C990" s="18">
        <v>5.8</v>
      </c>
      <c r="D990" s="18">
        <v>30.4</v>
      </c>
      <c r="E990" s="18">
        <v>97.2</v>
      </c>
      <c r="F990" s="18">
        <v>104.4</v>
      </c>
      <c r="G990" s="18">
        <v>32.799999999999997</v>
      </c>
      <c r="H990" s="18">
        <v>11.3</v>
      </c>
    </row>
    <row r="991" spans="1:8" x14ac:dyDescent="0.25">
      <c r="A991" s="11">
        <v>2020</v>
      </c>
      <c r="B991" s="11" t="s">
        <v>254</v>
      </c>
      <c r="C991" s="18">
        <v>10</v>
      </c>
      <c r="D991" s="18">
        <v>49.2</v>
      </c>
      <c r="E991" s="18">
        <v>71.8</v>
      </c>
      <c r="F991" s="18">
        <v>97.1</v>
      </c>
      <c r="G991" s="18">
        <v>45.9</v>
      </c>
      <c r="H991" s="18">
        <v>12.8</v>
      </c>
    </row>
    <row r="992" spans="1:8" x14ac:dyDescent="0.25">
      <c r="A992" s="11">
        <v>2020</v>
      </c>
      <c r="B992" s="11" t="s">
        <v>255</v>
      </c>
      <c r="C992" s="18">
        <v>9.4</v>
      </c>
      <c r="D992" s="18">
        <v>47.4</v>
      </c>
      <c r="E992" s="18">
        <v>81.3</v>
      </c>
      <c r="F992" s="18">
        <v>95.8</v>
      </c>
      <c r="G992" s="18">
        <v>55.5</v>
      </c>
      <c r="H992" s="18">
        <v>9.3000000000000007</v>
      </c>
    </row>
    <row r="993" spans="1:8" x14ac:dyDescent="0.25">
      <c r="A993" s="11">
        <v>2020</v>
      </c>
      <c r="B993" s="11" t="s">
        <v>256</v>
      </c>
      <c r="C993" s="18">
        <v>5.9</v>
      </c>
      <c r="D993" s="18">
        <v>19</v>
      </c>
      <c r="E993" s="18">
        <v>66</v>
      </c>
      <c r="F993" s="18">
        <v>97.4</v>
      </c>
      <c r="G993" s="18">
        <v>63.6</v>
      </c>
      <c r="H993" s="18">
        <v>12.4</v>
      </c>
    </row>
    <row r="994" spans="1:8" x14ac:dyDescent="0.25">
      <c r="A994" s="11">
        <v>2020</v>
      </c>
      <c r="B994" s="11" t="s">
        <v>257</v>
      </c>
      <c r="C994" s="18">
        <v>15.9</v>
      </c>
      <c r="D994" s="18">
        <v>50.3</v>
      </c>
      <c r="E994" s="18">
        <v>83.5</v>
      </c>
      <c r="F994" s="18">
        <v>80.599999999999994</v>
      </c>
      <c r="G994" s="18">
        <v>39</v>
      </c>
      <c r="H994" s="18">
        <v>8.9</v>
      </c>
    </row>
    <row r="995" spans="1:8" x14ac:dyDescent="0.25">
      <c r="A995" s="11">
        <v>2020</v>
      </c>
      <c r="B995" s="11" t="s">
        <v>258</v>
      </c>
      <c r="C995" s="18">
        <v>10.7</v>
      </c>
      <c r="D995" s="18">
        <v>52.1</v>
      </c>
      <c r="E995" s="18">
        <v>90.8</v>
      </c>
      <c r="F995" s="18">
        <v>86.6</v>
      </c>
      <c r="G995" s="18">
        <v>46.5</v>
      </c>
      <c r="H995" s="18">
        <v>9.1</v>
      </c>
    </row>
    <row r="996" spans="1:8" x14ac:dyDescent="0.25">
      <c r="A996" s="11">
        <v>2021</v>
      </c>
      <c r="B996" s="11" t="s">
        <v>11</v>
      </c>
      <c r="C996" s="18">
        <v>7.2</v>
      </c>
      <c r="D996" s="18">
        <v>33</v>
      </c>
      <c r="E996" s="18">
        <v>74.400000000000006</v>
      </c>
      <c r="F996" s="18">
        <v>91.6</v>
      </c>
      <c r="G996" s="18">
        <v>54.5</v>
      </c>
      <c r="H996" s="18">
        <v>12.3</v>
      </c>
    </row>
    <row r="997" spans="1:8" x14ac:dyDescent="0.25">
      <c r="A997" s="11">
        <v>2021</v>
      </c>
      <c r="B997" s="11" t="s">
        <v>227</v>
      </c>
      <c r="C997" s="18">
        <v>6.9</v>
      </c>
      <c r="D997" s="18">
        <v>22.6</v>
      </c>
      <c r="E997" s="18">
        <v>60</v>
      </c>
      <c r="F997" s="18">
        <v>81.5</v>
      </c>
      <c r="G997" s="18">
        <v>55.4</v>
      </c>
      <c r="H997" s="18">
        <v>13.6</v>
      </c>
    </row>
    <row r="998" spans="1:8" x14ac:dyDescent="0.25">
      <c r="A998" s="11">
        <v>2021</v>
      </c>
      <c r="B998" s="11" t="s">
        <v>228</v>
      </c>
      <c r="C998" s="18">
        <v>5.3</v>
      </c>
      <c r="D998" s="18">
        <v>41.4</v>
      </c>
      <c r="E998" s="18">
        <v>107</v>
      </c>
      <c r="F998" s="18">
        <v>107.4</v>
      </c>
      <c r="G998" s="18">
        <v>52.8</v>
      </c>
      <c r="H998" s="18">
        <v>12.7</v>
      </c>
    </row>
    <row r="999" spans="1:8" x14ac:dyDescent="0.25">
      <c r="A999" s="11">
        <v>2021</v>
      </c>
      <c r="B999" s="11" t="s">
        <v>229</v>
      </c>
      <c r="C999" s="18">
        <v>9.8000000000000007</v>
      </c>
      <c r="D999" s="18">
        <v>48.4</v>
      </c>
      <c r="E999" s="18">
        <v>94.4</v>
      </c>
      <c r="F999" s="18">
        <v>87.5</v>
      </c>
      <c r="G999" s="18">
        <v>49</v>
      </c>
      <c r="H999" s="18">
        <v>11.2</v>
      </c>
    </row>
    <row r="1000" spans="1:8" x14ac:dyDescent="0.25">
      <c r="A1000" s="11">
        <v>2021</v>
      </c>
      <c r="B1000" s="11" t="s">
        <v>230</v>
      </c>
      <c r="C1000" s="18">
        <v>0.5</v>
      </c>
      <c r="D1000" s="18">
        <v>42.8</v>
      </c>
      <c r="E1000" s="18">
        <v>85.7</v>
      </c>
      <c r="F1000" s="18">
        <v>87.8</v>
      </c>
      <c r="G1000" s="18">
        <v>56</v>
      </c>
      <c r="H1000" s="18">
        <v>18.3</v>
      </c>
    </row>
    <row r="1001" spans="1:8" x14ac:dyDescent="0.25">
      <c r="A1001" s="11">
        <v>2021</v>
      </c>
      <c r="B1001" s="11" t="s">
        <v>231</v>
      </c>
      <c r="C1001" s="18">
        <v>4.3</v>
      </c>
      <c r="D1001" s="18">
        <v>12.3</v>
      </c>
      <c r="E1001" s="18">
        <v>37.299999999999997</v>
      </c>
      <c r="F1001" s="18">
        <v>85</v>
      </c>
      <c r="G1001" s="18">
        <v>68.400000000000006</v>
      </c>
      <c r="H1001" s="18">
        <v>15.9</v>
      </c>
    </row>
    <row r="1002" spans="1:8" x14ac:dyDescent="0.25">
      <c r="A1002" s="11">
        <v>2021</v>
      </c>
      <c r="B1002" s="11" t="s">
        <v>232</v>
      </c>
      <c r="C1002" s="18">
        <v>13</v>
      </c>
      <c r="D1002" s="18">
        <v>64.5</v>
      </c>
      <c r="E1002" s="18">
        <v>103.7</v>
      </c>
      <c r="F1002" s="18">
        <v>96.9</v>
      </c>
      <c r="G1002" s="18">
        <v>48.5</v>
      </c>
      <c r="H1002" s="18">
        <v>6.4</v>
      </c>
    </row>
    <row r="1003" spans="1:8" x14ac:dyDescent="0.25">
      <c r="A1003" s="11">
        <v>2021</v>
      </c>
      <c r="B1003" s="11" t="s">
        <v>233</v>
      </c>
      <c r="C1003" s="18">
        <v>8.6</v>
      </c>
      <c r="D1003" s="18">
        <v>43.3</v>
      </c>
      <c r="E1003" s="18">
        <v>101.3</v>
      </c>
      <c r="F1003" s="18">
        <v>90.7</v>
      </c>
      <c r="G1003" s="18">
        <v>41.2</v>
      </c>
      <c r="H1003" s="18">
        <v>9.6999999999999993</v>
      </c>
    </row>
    <row r="1004" spans="1:8" x14ac:dyDescent="0.25">
      <c r="A1004" s="11">
        <v>2021</v>
      </c>
      <c r="B1004" s="11" t="s">
        <v>234</v>
      </c>
      <c r="C1004" s="18">
        <v>9</v>
      </c>
      <c r="D1004" s="18">
        <v>29.6</v>
      </c>
      <c r="E1004" s="18">
        <v>69.900000000000006</v>
      </c>
      <c r="F1004" s="18">
        <v>75.7</v>
      </c>
      <c r="G1004" s="18">
        <v>39.799999999999997</v>
      </c>
      <c r="H1004" s="18">
        <v>8</v>
      </c>
    </row>
    <row r="1005" spans="1:8" x14ac:dyDescent="0.25">
      <c r="A1005" s="11">
        <v>2021</v>
      </c>
      <c r="B1005" s="11" t="s">
        <v>235</v>
      </c>
      <c r="C1005" s="18">
        <v>10.7</v>
      </c>
      <c r="D1005" s="18">
        <v>58.8</v>
      </c>
      <c r="E1005" s="18">
        <v>100.7</v>
      </c>
      <c r="F1005" s="18">
        <v>94.3</v>
      </c>
      <c r="G1005" s="18">
        <v>45.9</v>
      </c>
      <c r="H1005" s="18">
        <v>9.4</v>
      </c>
    </row>
    <row r="1006" spans="1:8" x14ac:dyDescent="0.25">
      <c r="A1006" s="11">
        <v>2021</v>
      </c>
      <c r="B1006" s="11" t="s">
        <v>236</v>
      </c>
      <c r="C1006" s="18">
        <v>6.1</v>
      </c>
      <c r="D1006" s="18">
        <v>20.399999999999999</v>
      </c>
      <c r="E1006" s="18">
        <v>62.1</v>
      </c>
      <c r="F1006" s="18">
        <v>118.9</v>
      </c>
      <c r="G1006" s="18">
        <v>87.7</v>
      </c>
      <c r="H1006" s="18">
        <v>17.899999999999999</v>
      </c>
    </row>
    <row r="1007" spans="1:8" x14ac:dyDescent="0.25">
      <c r="A1007" s="11">
        <v>2021</v>
      </c>
      <c r="B1007" s="11" t="s">
        <v>237</v>
      </c>
      <c r="C1007" s="18">
        <v>5</v>
      </c>
      <c r="D1007" s="18">
        <v>35.299999999999997</v>
      </c>
      <c r="E1007" s="18">
        <v>81.099999999999994</v>
      </c>
      <c r="F1007" s="18">
        <v>108.4</v>
      </c>
      <c r="G1007" s="18">
        <v>59.2</v>
      </c>
      <c r="H1007" s="18">
        <v>11.5</v>
      </c>
    </row>
    <row r="1008" spans="1:8" x14ac:dyDescent="0.25">
      <c r="A1008" s="11">
        <v>2021</v>
      </c>
      <c r="B1008" s="11" t="s">
        <v>238</v>
      </c>
      <c r="C1008" s="18">
        <v>2.5</v>
      </c>
      <c r="D1008" s="18">
        <v>14.5</v>
      </c>
      <c r="E1008" s="18">
        <v>80.900000000000006</v>
      </c>
      <c r="F1008" s="18">
        <v>129.4</v>
      </c>
      <c r="G1008" s="18">
        <v>78.2</v>
      </c>
      <c r="H1008" s="18">
        <v>12.9</v>
      </c>
    </row>
    <row r="1009" spans="1:8" x14ac:dyDescent="0.25">
      <c r="A1009" s="11">
        <v>2021</v>
      </c>
      <c r="B1009" s="11" t="s">
        <v>239</v>
      </c>
      <c r="C1009" s="18">
        <v>6.7</v>
      </c>
      <c r="D1009" s="18">
        <v>44.2</v>
      </c>
      <c r="E1009" s="18">
        <v>91.8</v>
      </c>
      <c r="F1009" s="18">
        <v>100.8</v>
      </c>
      <c r="G1009" s="18">
        <v>47</v>
      </c>
      <c r="H1009" s="18">
        <v>8.1999999999999993</v>
      </c>
    </row>
    <row r="1010" spans="1:8" x14ac:dyDescent="0.25">
      <c r="A1010" s="11">
        <v>2021</v>
      </c>
      <c r="B1010" s="11" t="s">
        <v>240</v>
      </c>
      <c r="C1010" s="18">
        <v>10.199999999999999</v>
      </c>
      <c r="D1010" s="18">
        <v>42.3</v>
      </c>
      <c r="E1010" s="18">
        <v>94.8</v>
      </c>
      <c r="F1010" s="18">
        <v>85.1</v>
      </c>
      <c r="G1010" s="18">
        <v>45.1</v>
      </c>
      <c r="H1010" s="18">
        <v>11.4</v>
      </c>
    </row>
    <row r="1011" spans="1:8" x14ac:dyDescent="0.25">
      <c r="A1011" s="11">
        <v>2021</v>
      </c>
      <c r="B1011" s="11" t="s">
        <v>241</v>
      </c>
      <c r="C1011" s="18">
        <v>8.4</v>
      </c>
      <c r="D1011" s="18">
        <v>23.8</v>
      </c>
      <c r="E1011" s="18">
        <v>51.8</v>
      </c>
      <c r="F1011" s="18">
        <v>77</v>
      </c>
      <c r="G1011" s="18">
        <v>53.5</v>
      </c>
      <c r="H1011" s="18">
        <v>15.7</v>
      </c>
    </row>
    <row r="1012" spans="1:8" x14ac:dyDescent="0.25">
      <c r="A1012" s="11">
        <v>2021</v>
      </c>
      <c r="B1012" s="11" t="s">
        <v>242</v>
      </c>
      <c r="C1012" s="18">
        <v>9.3000000000000007</v>
      </c>
      <c r="D1012" s="18">
        <v>49.5</v>
      </c>
      <c r="E1012" s="18">
        <v>90.6</v>
      </c>
      <c r="F1012" s="18">
        <v>87.1</v>
      </c>
      <c r="G1012" s="18">
        <v>49.9</v>
      </c>
      <c r="H1012" s="18">
        <v>14</v>
      </c>
    </row>
    <row r="1013" spans="1:8" x14ac:dyDescent="0.25">
      <c r="A1013" s="11">
        <v>2021</v>
      </c>
      <c r="B1013" s="11" t="s">
        <v>243</v>
      </c>
      <c r="C1013" s="18">
        <v>6.2</v>
      </c>
      <c r="D1013" s="18">
        <v>36.9</v>
      </c>
      <c r="E1013" s="18">
        <v>86.3</v>
      </c>
      <c r="F1013" s="18">
        <v>80</v>
      </c>
      <c r="G1013" s="18">
        <v>51.1</v>
      </c>
      <c r="H1013" s="18">
        <v>9.3000000000000007</v>
      </c>
    </row>
    <row r="1014" spans="1:8" x14ac:dyDescent="0.25">
      <c r="A1014" s="11">
        <v>2021</v>
      </c>
      <c r="B1014" s="11" t="s">
        <v>244</v>
      </c>
      <c r="C1014" s="18">
        <v>9.5</v>
      </c>
      <c r="D1014" s="18">
        <v>46.2</v>
      </c>
      <c r="E1014" s="18">
        <v>96.2</v>
      </c>
      <c r="F1014" s="18">
        <v>109.9</v>
      </c>
      <c r="G1014" s="18">
        <v>62.9</v>
      </c>
      <c r="H1014" s="18">
        <v>14.5</v>
      </c>
    </row>
    <row r="1015" spans="1:8" x14ac:dyDescent="0.25">
      <c r="A1015" s="11">
        <v>2021</v>
      </c>
      <c r="B1015" s="11" t="s">
        <v>245</v>
      </c>
      <c r="C1015" s="18">
        <v>8.3000000000000007</v>
      </c>
      <c r="D1015" s="18">
        <v>56.3</v>
      </c>
      <c r="E1015" s="18">
        <v>108.7</v>
      </c>
      <c r="F1015" s="18">
        <v>100.2</v>
      </c>
      <c r="G1015" s="18">
        <v>46.5</v>
      </c>
      <c r="H1015" s="18">
        <v>10</v>
      </c>
    </row>
    <row r="1016" spans="1:8" x14ac:dyDescent="0.25">
      <c r="A1016" s="11">
        <v>2021</v>
      </c>
      <c r="B1016" s="11" t="s">
        <v>246</v>
      </c>
      <c r="C1016" s="18">
        <v>8.3000000000000007</v>
      </c>
      <c r="D1016" s="18">
        <v>43.5</v>
      </c>
      <c r="E1016" s="18">
        <v>73.5</v>
      </c>
      <c r="F1016" s="18">
        <v>104.3</v>
      </c>
      <c r="G1016" s="18">
        <v>56.2</v>
      </c>
      <c r="H1016" s="18">
        <v>13.7</v>
      </c>
    </row>
    <row r="1017" spans="1:8" x14ac:dyDescent="0.25">
      <c r="A1017" s="11">
        <v>2021</v>
      </c>
      <c r="B1017" s="11" t="s">
        <v>247</v>
      </c>
      <c r="C1017" s="18">
        <v>9.6999999999999993</v>
      </c>
      <c r="D1017" s="18">
        <v>50.7</v>
      </c>
      <c r="E1017" s="18">
        <v>86</v>
      </c>
      <c r="F1017" s="18">
        <v>89.1</v>
      </c>
      <c r="G1017" s="18">
        <v>46.4</v>
      </c>
      <c r="H1017" s="18">
        <v>8.1999999999999993</v>
      </c>
    </row>
    <row r="1018" spans="1:8" x14ac:dyDescent="0.25">
      <c r="A1018" s="11">
        <v>2021</v>
      </c>
      <c r="B1018" s="11" t="s">
        <v>248</v>
      </c>
      <c r="C1018" s="18">
        <v>7.5</v>
      </c>
      <c r="D1018" s="18">
        <v>52.6</v>
      </c>
      <c r="E1018" s="18">
        <v>94.8</v>
      </c>
      <c r="F1018" s="18">
        <v>93.7</v>
      </c>
      <c r="G1018" s="18">
        <v>48.9</v>
      </c>
      <c r="H1018" s="18">
        <v>10.1</v>
      </c>
    </row>
    <row r="1019" spans="1:8" x14ac:dyDescent="0.25">
      <c r="A1019" s="11">
        <v>2021</v>
      </c>
      <c r="B1019" s="11" t="s">
        <v>249</v>
      </c>
      <c r="C1019" s="18">
        <v>4</v>
      </c>
      <c r="D1019" s="18">
        <v>23.6</v>
      </c>
      <c r="E1019" s="18">
        <v>97.8</v>
      </c>
      <c r="F1019" s="18">
        <v>85.9</v>
      </c>
      <c r="G1019" s="18">
        <v>53.8</v>
      </c>
      <c r="H1019" s="18">
        <v>19.7</v>
      </c>
    </row>
    <row r="1020" spans="1:8" x14ac:dyDescent="0.25">
      <c r="A1020" s="11">
        <v>2021</v>
      </c>
      <c r="B1020" s="11" t="s">
        <v>250</v>
      </c>
      <c r="C1020" s="18">
        <v>2.2000000000000002</v>
      </c>
      <c r="D1020" s="18">
        <v>41</v>
      </c>
      <c r="E1020" s="18">
        <v>93.1</v>
      </c>
      <c r="F1020" s="18">
        <v>97.5</v>
      </c>
      <c r="G1020" s="18">
        <v>52.8</v>
      </c>
      <c r="H1020" s="18">
        <v>11.7</v>
      </c>
    </row>
    <row r="1021" spans="1:8" x14ac:dyDescent="0.25">
      <c r="A1021" s="11">
        <v>2021</v>
      </c>
      <c r="B1021" s="11" t="s">
        <v>251</v>
      </c>
      <c r="C1021" s="18">
        <v>5.8</v>
      </c>
      <c r="D1021" s="18">
        <v>32.700000000000003</v>
      </c>
      <c r="E1021" s="18">
        <v>74.5</v>
      </c>
      <c r="F1021" s="18">
        <v>97.2</v>
      </c>
      <c r="G1021" s="18">
        <v>55.2</v>
      </c>
      <c r="H1021" s="18">
        <v>8.6999999999999993</v>
      </c>
    </row>
    <row r="1022" spans="1:8" x14ac:dyDescent="0.25">
      <c r="A1022" s="11">
        <v>2021</v>
      </c>
      <c r="B1022" s="11" t="s">
        <v>252</v>
      </c>
      <c r="C1022" s="18">
        <v>8.1</v>
      </c>
      <c r="D1022" s="18">
        <v>40.6</v>
      </c>
      <c r="E1022" s="18">
        <v>87.2</v>
      </c>
      <c r="F1022" s="18">
        <v>102.7</v>
      </c>
      <c r="G1022" s="18">
        <v>48.6</v>
      </c>
      <c r="H1022" s="18">
        <v>9.6999999999999993</v>
      </c>
    </row>
    <row r="1023" spans="1:8" x14ac:dyDescent="0.25">
      <c r="A1023" s="11">
        <v>2021</v>
      </c>
      <c r="B1023" s="11" t="s">
        <v>253</v>
      </c>
      <c r="C1023" s="18">
        <v>7</v>
      </c>
      <c r="D1023" s="18">
        <v>40.5</v>
      </c>
      <c r="E1023" s="18">
        <v>103.3</v>
      </c>
      <c r="F1023" s="18">
        <v>94</v>
      </c>
      <c r="G1023" s="18">
        <v>58.5</v>
      </c>
      <c r="H1023" s="18">
        <v>16.3</v>
      </c>
    </row>
    <row r="1024" spans="1:8" x14ac:dyDescent="0.25">
      <c r="A1024" s="11">
        <v>2021</v>
      </c>
      <c r="B1024" s="11" t="s">
        <v>254</v>
      </c>
      <c r="C1024" s="18">
        <v>8</v>
      </c>
      <c r="D1024" s="18">
        <v>45.7</v>
      </c>
      <c r="E1024" s="18">
        <v>76</v>
      </c>
      <c r="F1024" s="18">
        <v>90.4</v>
      </c>
      <c r="G1024" s="18">
        <v>47.9</v>
      </c>
      <c r="H1024" s="18">
        <v>6.7</v>
      </c>
    </row>
    <row r="1025" spans="1:8" x14ac:dyDescent="0.25">
      <c r="A1025" s="11">
        <v>2021</v>
      </c>
      <c r="B1025" s="11" t="s">
        <v>255</v>
      </c>
      <c r="C1025" s="18">
        <v>6.6</v>
      </c>
      <c r="D1025" s="18">
        <v>39.1</v>
      </c>
      <c r="E1025" s="18">
        <v>83.9</v>
      </c>
      <c r="F1025" s="18">
        <v>109.9</v>
      </c>
      <c r="G1025" s="18">
        <v>60.6</v>
      </c>
      <c r="H1025" s="18">
        <v>13.2</v>
      </c>
    </row>
    <row r="1026" spans="1:8" x14ac:dyDescent="0.25">
      <c r="A1026" s="11">
        <v>2021</v>
      </c>
      <c r="B1026" s="11" t="s">
        <v>256</v>
      </c>
      <c r="C1026" s="18">
        <v>7.3</v>
      </c>
      <c r="D1026" s="18">
        <v>14.8</v>
      </c>
      <c r="E1026" s="18">
        <v>64.2</v>
      </c>
      <c r="F1026" s="18">
        <v>97.8</v>
      </c>
      <c r="G1026" s="18">
        <v>61.1</v>
      </c>
      <c r="H1026" s="18">
        <v>12.8</v>
      </c>
    </row>
    <row r="1027" spans="1:8" x14ac:dyDescent="0.25">
      <c r="A1027" s="11">
        <v>2021</v>
      </c>
      <c r="B1027" s="11" t="s">
        <v>257</v>
      </c>
      <c r="C1027" s="18">
        <v>8.9</v>
      </c>
      <c r="D1027" s="18">
        <v>41.5</v>
      </c>
      <c r="E1027" s="18">
        <v>83.1</v>
      </c>
      <c r="F1027" s="18">
        <v>94.8</v>
      </c>
      <c r="G1027" s="18">
        <v>42.7</v>
      </c>
      <c r="H1027" s="18">
        <v>7.9</v>
      </c>
    </row>
    <row r="1028" spans="1:8" x14ac:dyDescent="0.25">
      <c r="A1028" s="11">
        <v>2021</v>
      </c>
      <c r="B1028" s="11" t="s">
        <v>258</v>
      </c>
      <c r="C1028" s="18">
        <v>7.4</v>
      </c>
      <c r="D1028" s="18">
        <v>42.2</v>
      </c>
      <c r="E1028" s="18">
        <v>87.6</v>
      </c>
      <c r="F1028" s="18">
        <v>98.3</v>
      </c>
      <c r="G1028" s="18">
        <v>55.2</v>
      </c>
      <c r="H1028" s="18">
        <v>11.1</v>
      </c>
    </row>
    <row r="1029" spans="1:8" x14ac:dyDescent="0.25">
      <c r="A1029" s="11">
        <v>2022</v>
      </c>
      <c r="B1029" s="11" t="s">
        <v>11</v>
      </c>
      <c r="C1029" s="18">
        <v>7.5</v>
      </c>
      <c r="D1029" s="18">
        <v>32.1</v>
      </c>
      <c r="E1029" s="18">
        <v>71.7</v>
      </c>
      <c r="F1029" s="18">
        <v>88.7</v>
      </c>
      <c r="G1029" s="18">
        <v>53.2</v>
      </c>
      <c r="H1029" s="18">
        <v>12.9</v>
      </c>
    </row>
    <row r="1030" spans="1:8" x14ac:dyDescent="0.25">
      <c r="A1030" s="11">
        <v>2022</v>
      </c>
      <c r="B1030" s="11" t="s">
        <v>227</v>
      </c>
      <c r="C1030" s="18">
        <v>3.7</v>
      </c>
      <c r="D1030" s="18">
        <v>20.3</v>
      </c>
      <c r="E1030" s="18">
        <v>57.2</v>
      </c>
      <c r="F1030" s="18">
        <v>79.2</v>
      </c>
      <c r="G1030" s="18">
        <v>50.9</v>
      </c>
      <c r="H1030" s="18">
        <v>11.6</v>
      </c>
    </row>
    <row r="1031" spans="1:8" x14ac:dyDescent="0.25">
      <c r="A1031" s="11">
        <v>2022</v>
      </c>
      <c r="B1031" s="11" t="s">
        <v>228</v>
      </c>
      <c r="C1031" s="18">
        <v>4.3</v>
      </c>
      <c r="D1031" s="18">
        <v>40.200000000000003</v>
      </c>
      <c r="E1031" s="18">
        <v>95.2</v>
      </c>
      <c r="F1031" s="18">
        <v>108.4</v>
      </c>
      <c r="G1031" s="18">
        <v>48</v>
      </c>
      <c r="H1031" s="18">
        <v>10.4</v>
      </c>
    </row>
    <row r="1032" spans="1:8" x14ac:dyDescent="0.25">
      <c r="A1032" s="11">
        <v>2022</v>
      </c>
      <c r="B1032" s="11" t="s">
        <v>229</v>
      </c>
      <c r="C1032" s="18">
        <v>10.1</v>
      </c>
      <c r="D1032" s="18">
        <v>45.8</v>
      </c>
      <c r="E1032" s="18">
        <v>101.3</v>
      </c>
      <c r="F1032" s="18">
        <v>97</v>
      </c>
      <c r="G1032" s="18">
        <v>43</v>
      </c>
      <c r="H1032" s="18">
        <v>8.5</v>
      </c>
    </row>
    <row r="1033" spans="1:8" x14ac:dyDescent="0.25">
      <c r="A1033" s="11">
        <v>2022</v>
      </c>
      <c r="B1033" s="11" t="s">
        <v>230</v>
      </c>
      <c r="C1033" s="18">
        <v>3.1</v>
      </c>
      <c r="D1033" s="18">
        <v>37.799999999999997</v>
      </c>
      <c r="E1033" s="18">
        <v>81.599999999999994</v>
      </c>
      <c r="F1033" s="18">
        <v>91.7</v>
      </c>
      <c r="G1033" s="18">
        <v>58.4</v>
      </c>
      <c r="H1033" s="18">
        <v>12.4</v>
      </c>
    </row>
    <row r="1034" spans="1:8" x14ac:dyDescent="0.25">
      <c r="A1034" s="11">
        <v>2022</v>
      </c>
      <c r="B1034" s="11" t="s">
        <v>231</v>
      </c>
      <c r="C1034" s="18">
        <v>4.9000000000000004</v>
      </c>
      <c r="D1034" s="18">
        <v>10.4</v>
      </c>
      <c r="E1034" s="18">
        <v>34.9</v>
      </c>
      <c r="F1034" s="18">
        <v>75.7</v>
      </c>
      <c r="G1034" s="18">
        <v>64.599999999999994</v>
      </c>
      <c r="H1034" s="18">
        <v>18.100000000000001</v>
      </c>
    </row>
    <row r="1035" spans="1:8" x14ac:dyDescent="0.25">
      <c r="A1035" s="11">
        <v>2022</v>
      </c>
      <c r="B1035" s="11" t="s">
        <v>232</v>
      </c>
      <c r="C1035" s="18">
        <v>9</v>
      </c>
      <c r="D1035" s="18">
        <v>53.9</v>
      </c>
      <c r="E1035" s="18">
        <v>102.2</v>
      </c>
      <c r="F1035" s="18">
        <v>73</v>
      </c>
      <c r="G1035" s="18">
        <v>54.2</v>
      </c>
      <c r="H1035" s="18">
        <v>7.5</v>
      </c>
    </row>
    <row r="1036" spans="1:8" x14ac:dyDescent="0.25">
      <c r="A1036" s="11">
        <v>2022</v>
      </c>
      <c r="B1036" s="11" t="s">
        <v>233</v>
      </c>
      <c r="C1036" s="18">
        <v>8.5</v>
      </c>
      <c r="D1036" s="18">
        <v>50.5</v>
      </c>
      <c r="E1036" s="18">
        <v>98</v>
      </c>
      <c r="F1036" s="18">
        <v>96.4</v>
      </c>
      <c r="G1036" s="18">
        <v>41.3</v>
      </c>
      <c r="H1036" s="18">
        <v>8.4</v>
      </c>
    </row>
    <row r="1037" spans="1:8" x14ac:dyDescent="0.25">
      <c r="A1037" s="11">
        <v>2022</v>
      </c>
      <c r="B1037" s="11" t="s">
        <v>234</v>
      </c>
      <c r="C1037" s="18">
        <v>12.1</v>
      </c>
      <c r="D1037" s="18">
        <v>25.1</v>
      </c>
      <c r="E1037" s="18">
        <v>61.5</v>
      </c>
      <c r="F1037" s="18">
        <v>85.9</v>
      </c>
      <c r="G1037" s="18">
        <v>46</v>
      </c>
      <c r="H1037" s="18">
        <v>14.6</v>
      </c>
    </row>
    <row r="1038" spans="1:8" x14ac:dyDescent="0.25">
      <c r="A1038" s="11">
        <v>2022</v>
      </c>
      <c r="B1038" s="11" t="s">
        <v>235</v>
      </c>
      <c r="C1038" s="18">
        <v>11.1</v>
      </c>
      <c r="D1038" s="18">
        <v>54.7</v>
      </c>
      <c r="E1038" s="18">
        <v>100.7</v>
      </c>
      <c r="F1038" s="18">
        <v>80.400000000000006</v>
      </c>
      <c r="G1038" s="18">
        <v>39.4</v>
      </c>
      <c r="H1038" s="18">
        <v>8.5</v>
      </c>
    </row>
    <row r="1039" spans="1:8" x14ac:dyDescent="0.25">
      <c r="A1039" s="11">
        <v>2022</v>
      </c>
      <c r="B1039" s="11" t="s">
        <v>236</v>
      </c>
      <c r="C1039" s="18">
        <v>3</v>
      </c>
      <c r="D1039" s="18">
        <v>19.600000000000001</v>
      </c>
      <c r="E1039" s="18">
        <v>72.2</v>
      </c>
      <c r="F1039" s="18">
        <v>111</v>
      </c>
      <c r="G1039" s="18">
        <v>81</v>
      </c>
      <c r="H1039" s="18">
        <v>15.8</v>
      </c>
    </row>
    <row r="1040" spans="1:8" x14ac:dyDescent="0.25">
      <c r="A1040" s="11">
        <v>2022</v>
      </c>
      <c r="B1040" s="11" t="s">
        <v>237</v>
      </c>
      <c r="C1040" s="18">
        <v>4.5</v>
      </c>
      <c r="D1040" s="18">
        <v>39</v>
      </c>
      <c r="E1040" s="18">
        <v>83.2</v>
      </c>
      <c r="F1040" s="18">
        <v>105.9</v>
      </c>
      <c r="G1040" s="18">
        <v>62.4</v>
      </c>
      <c r="H1040" s="18">
        <v>17.8</v>
      </c>
    </row>
    <row r="1041" spans="1:8" x14ac:dyDescent="0.25">
      <c r="A1041" s="11">
        <v>2022</v>
      </c>
      <c r="B1041" s="11" t="s">
        <v>238</v>
      </c>
      <c r="C1041" s="18">
        <v>2.4</v>
      </c>
      <c r="D1041" s="18">
        <v>18.3</v>
      </c>
      <c r="E1041" s="18">
        <v>69.8</v>
      </c>
      <c r="F1041" s="18">
        <v>125.7</v>
      </c>
      <c r="G1041" s="18">
        <v>68.900000000000006</v>
      </c>
      <c r="H1041" s="18">
        <v>14.8</v>
      </c>
    </row>
    <row r="1042" spans="1:8" x14ac:dyDescent="0.25">
      <c r="A1042" s="11">
        <v>2022</v>
      </c>
      <c r="B1042" s="11" t="s">
        <v>239</v>
      </c>
      <c r="C1042" s="18">
        <v>10.1</v>
      </c>
      <c r="D1042" s="18">
        <v>49.5</v>
      </c>
      <c r="E1042" s="18">
        <v>84.7</v>
      </c>
      <c r="F1042" s="18">
        <v>89.5</v>
      </c>
      <c r="G1042" s="18">
        <v>45.7</v>
      </c>
      <c r="H1042" s="18">
        <v>11.8</v>
      </c>
    </row>
    <row r="1043" spans="1:8" x14ac:dyDescent="0.25">
      <c r="A1043" s="11">
        <v>2022</v>
      </c>
      <c r="B1043" s="11" t="s">
        <v>240</v>
      </c>
      <c r="C1043" s="18">
        <v>9.3000000000000007</v>
      </c>
      <c r="D1043" s="18">
        <v>37.799999999999997</v>
      </c>
      <c r="E1043" s="18">
        <v>85</v>
      </c>
      <c r="F1043" s="18">
        <v>83.4</v>
      </c>
      <c r="G1043" s="18">
        <v>46.2</v>
      </c>
      <c r="H1043" s="18">
        <v>10.1</v>
      </c>
    </row>
    <row r="1044" spans="1:8" x14ac:dyDescent="0.25">
      <c r="A1044" s="11">
        <v>2022</v>
      </c>
      <c r="B1044" s="11" t="s">
        <v>241</v>
      </c>
      <c r="C1044" s="18">
        <v>9</v>
      </c>
      <c r="D1044" s="18">
        <v>25.5</v>
      </c>
      <c r="E1044" s="18">
        <v>54.5</v>
      </c>
      <c r="F1044" s="18">
        <v>72.5</v>
      </c>
      <c r="G1044" s="18">
        <v>53.2</v>
      </c>
      <c r="H1044" s="18">
        <v>16.7</v>
      </c>
    </row>
    <row r="1045" spans="1:8" x14ac:dyDescent="0.25">
      <c r="A1045" s="11">
        <v>2022</v>
      </c>
      <c r="B1045" s="11" t="s">
        <v>242</v>
      </c>
      <c r="C1045" s="18">
        <v>8.6999999999999993</v>
      </c>
      <c r="D1045" s="18">
        <v>48.4</v>
      </c>
      <c r="E1045" s="18">
        <v>90.4</v>
      </c>
      <c r="F1045" s="18">
        <v>91.5</v>
      </c>
      <c r="G1045" s="18">
        <v>55.8</v>
      </c>
      <c r="H1045" s="18">
        <v>12.6</v>
      </c>
    </row>
    <row r="1046" spans="1:8" x14ac:dyDescent="0.25">
      <c r="A1046" s="11">
        <v>2022</v>
      </c>
      <c r="B1046" s="11" t="s">
        <v>243</v>
      </c>
      <c r="C1046" s="18">
        <v>7.7</v>
      </c>
      <c r="D1046" s="18">
        <v>42.7</v>
      </c>
      <c r="E1046" s="18">
        <v>88.1</v>
      </c>
      <c r="F1046" s="18">
        <v>89.6</v>
      </c>
      <c r="G1046" s="18">
        <v>55</v>
      </c>
      <c r="H1046" s="18">
        <v>8.6</v>
      </c>
    </row>
    <row r="1047" spans="1:8" x14ac:dyDescent="0.25">
      <c r="A1047" s="11">
        <v>2022</v>
      </c>
      <c r="B1047" s="11" t="s">
        <v>244</v>
      </c>
      <c r="C1047" s="18">
        <v>8.6999999999999993</v>
      </c>
      <c r="D1047" s="18">
        <v>57.1</v>
      </c>
      <c r="E1047" s="18">
        <v>86.5</v>
      </c>
      <c r="F1047" s="18">
        <v>104.1</v>
      </c>
      <c r="G1047" s="18">
        <v>60.5</v>
      </c>
      <c r="H1047" s="18">
        <v>12.1</v>
      </c>
    </row>
    <row r="1048" spans="1:8" x14ac:dyDescent="0.25">
      <c r="A1048" s="11">
        <v>2022</v>
      </c>
      <c r="B1048" s="11" t="s">
        <v>245</v>
      </c>
      <c r="C1048" s="18">
        <v>6.9</v>
      </c>
      <c r="D1048" s="18">
        <v>46.6</v>
      </c>
      <c r="E1048" s="18">
        <v>88.5</v>
      </c>
      <c r="F1048" s="18">
        <v>88.1</v>
      </c>
      <c r="G1048" s="18">
        <v>48.5</v>
      </c>
      <c r="H1048" s="18">
        <v>12.7</v>
      </c>
    </row>
    <row r="1049" spans="1:8" x14ac:dyDescent="0.25">
      <c r="A1049" s="11">
        <v>2022</v>
      </c>
      <c r="B1049" s="11" t="s">
        <v>246</v>
      </c>
      <c r="C1049" s="18">
        <v>11.3</v>
      </c>
      <c r="D1049" s="18">
        <v>30.2</v>
      </c>
      <c r="E1049" s="18">
        <v>79.400000000000006</v>
      </c>
      <c r="F1049" s="18">
        <v>123.1</v>
      </c>
      <c r="G1049" s="18">
        <v>50.2</v>
      </c>
      <c r="H1049" s="18">
        <v>6.2</v>
      </c>
    </row>
    <row r="1050" spans="1:8" x14ac:dyDescent="0.25">
      <c r="A1050" s="11">
        <v>2022</v>
      </c>
      <c r="B1050" s="11" t="s">
        <v>247</v>
      </c>
      <c r="C1050" s="18">
        <v>11.2</v>
      </c>
      <c r="D1050" s="18">
        <v>48.4</v>
      </c>
      <c r="E1050" s="18">
        <v>83</v>
      </c>
      <c r="F1050" s="18">
        <v>91.5</v>
      </c>
      <c r="G1050" s="18">
        <v>45</v>
      </c>
      <c r="H1050" s="18">
        <v>9.1</v>
      </c>
    </row>
    <row r="1051" spans="1:8" x14ac:dyDescent="0.25">
      <c r="A1051" s="11">
        <v>2022</v>
      </c>
      <c r="B1051" s="11" t="s">
        <v>248</v>
      </c>
      <c r="C1051" s="18">
        <v>9.1999999999999993</v>
      </c>
      <c r="D1051" s="18">
        <v>45.9</v>
      </c>
      <c r="E1051" s="18">
        <v>91.3</v>
      </c>
      <c r="F1051" s="18">
        <v>91.5</v>
      </c>
      <c r="G1051" s="18">
        <v>45.8</v>
      </c>
      <c r="H1051" s="18">
        <v>10.199999999999999</v>
      </c>
    </row>
    <row r="1052" spans="1:8" x14ac:dyDescent="0.25">
      <c r="A1052" s="11">
        <v>2022</v>
      </c>
      <c r="B1052" s="11" t="s">
        <v>249</v>
      </c>
      <c r="C1052" s="18">
        <v>4</v>
      </c>
      <c r="D1052" s="18">
        <v>46.5</v>
      </c>
      <c r="E1052" s="18">
        <v>68.8</v>
      </c>
      <c r="F1052" s="18">
        <v>97.5</v>
      </c>
      <c r="G1052" s="18">
        <v>48.4</v>
      </c>
      <c r="H1052" s="18">
        <v>17.7</v>
      </c>
    </row>
    <row r="1053" spans="1:8" x14ac:dyDescent="0.25">
      <c r="A1053" s="11">
        <v>2022</v>
      </c>
      <c r="B1053" s="11" t="s">
        <v>250</v>
      </c>
      <c r="C1053" s="18">
        <v>6.3</v>
      </c>
      <c r="D1053" s="18">
        <v>46.1</v>
      </c>
      <c r="E1053" s="18">
        <v>79.900000000000006</v>
      </c>
      <c r="F1053" s="18">
        <v>97.9</v>
      </c>
      <c r="G1053" s="18">
        <v>51.5</v>
      </c>
      <c r="H1053" s="18">
        <v>9.6</v>
      </c>
    </row>
    <row r="1054" spans="1:8" x14ac:dyDescent="0.25">
      <c r="A1054" s="11">
        <v>2022</v>
      </c>
      <c r="B1054" s="11" t="s">
        <v>251</v>
      </c>
      <c r="C1054" s="18">
        <v>5.7</v>
      </c>
      <c r="D1054" s="18">
        <v>32.799999999999997</v>
      </c>
      <c r="E1054" s="18">
        <v>81.5</v>
      </c>
      <c r="F1054" s="18">
        <v>96.3</v>
      </c>
      <c r="G1054" s="18">
        <v>57.2</v>
      </c>
      <c r="H1054" s="18">
        <v>12</v>
      </c>
    </row>
    <row r="1055" spans="1:8" x14ac:dyDescent="0.25">
      <c r="A1055" s="11">
        <v>2022</v>
      </c>
      <c r="B1055" s="11" t="s">
        <v>252</v>
      </c>
      <c r="C1055" s="18">
        <v>7.2</v>
      </c>
      <c r="D1055" s="18">
        <v>46.5</v>
      </c>
      <c r="E1055" s="18">
        <v>80.2</v>
      </c>
      <c r="F1055" s="18">
        <v>99</v>
      </c>
      <c r="G1055" s="18">
        <v>51.8</v>
      </c>
      <c r="H1055" s="18">
        <v>13.5</v>
      </c>
    </row>
    <row r="1056" spans="1:8" x14ac:dyDescent="0.25">
      <c r="A1056" s="11">
        <v>2022</v>
      </c>
      <c r="B1056" s="11" t="s">
        <v>253</v>
      </c>
      <c r="C1056" s="18">
        <v>6.6</v>
      </c>
      <c r="D1056" s="18">
        <v>48.6</v>
      </c>
      <c r="E1056" s="18">
        <v>109</v>
      </c>
      <c r="F1056" s="18">
        <v>109.9</v>
      </c>
      <c r="G1056" s="18">
        <v>53.2</v>
      </c>
      <c r="H1056" s="18">
        <v>8.6999999999999993</v>
      </c>
    </row>
    <row r="1057" spans="1:8" x14ac:dyDescent="0.25">
      <c r="A1057" s="11">
        <v>2022</v>
      </c>
      <c r="B1057" s="11" t="s">
        <v>254</v>
      </c>
      <c r="C1057" s="18">
        <v>7.3</v>
      </c>
      <c r="D1057" s="18">
        <v>36.4</v>
      </c>
      <c r="E1057" s="18">
        <v>74.7</v>
      </c>
      <c r="F1057" s="18">
        <v>86.2</v>
      </c>
      <c r="G1057" s="18">
        <v>46.8</v>
      </c>
      <c r="H1057" s="18">
        <v>10.3</v>
      </c>
    </row>
    <row r="1058" spans="1:8" x14ac:dyDescent="0.25">
      <c r="A1058" s="11">
        <v>2022</v>
      </c>
      <c r="B1058" s="11" t="s">
        <v>255</v>
      </c>
      <c r="C1058" s="18">
        <v>7.2</v>
      </c>
      <c r="D1058" s="18">
        <v>44</v>
      </c>
      <c r="E1058" s="18">
        <v>87.7</v>
      </c>
      <c r="F1058" s="18">
        <v>103.7</v>
      </c>
      <c r="G1058" s="18">
        <v>61.1</v>
      </c>
      <c r="H1058" s="18">
        <v>12.6</v>
      </c>
    </row>
    <row r="1059" spans="1:8" x14ac:dyDescent="0.25">
      <c r="A1059" s="11">
        <v>2022</v>
      </c>
      <c r="B1059" s="11" t="s">
        <v>256</v>
      </c>
      <c r="C1059" s="18">
        <v>4.5</v>
      </c>
      <c r="D1059" s="18">
        <v>16.7</v>
      </c>
      <c r="E1059" s="18">
        <v>54.5</v>
      </c>
      <c r="F1059" s="18">
        <v>100.1</v>
      </c>
      <c r="G1059" s="18">
        <v>60.1</v>
      </c>
      <c r="H1059" s="18">
        <v>15.5</v>
      </c>
    </row>
    <row r="1060" spans="1:8" x14ac:dyDescent="0.25">
      <c r="A1060" s="11">
        <v>2022</v>
      </c>
      <c r="B1060" s="11" t="s">
        <v>257</v>
      </c>
      <c r="C1060" s="18">
        <v>13.3</v>
      </c>
      <c r="D1060" s="18">
        <v>54.8</v>
      </c>
      <c r="E1060" s="18">
        <v>91.7</v>
      </c>
      <c r="F1060" s="18">
        <v>93.6</v>
      </c>
      <c r="G1060" s="18">
        <v>45.2</v>
      </c>
      <c r="H1060" s="18">
        <v>13.7</v>
      </c>
    </row>
    <row r="1061" spans="1:8" x14ac:dyDescent="0.25">
      <c r="A1061" s="11">
        <v>2022</v>
      </c>
      <c r="B1061" s="11" t="s">
        <v>258</v>
      </c>
      <c r="C1061" s="18">
        <v>7.3</v>
      </c>
      <c r="D1061" s="18">
        <v>48.1</v>
      </c>
      <c r="E1061" s="18">
        <v>83.4</v>
      </c>
      <c r="F1061" s="18">
        <v>93.8</v>
      </c>
      <c r="G1061" s="18">
        <v>46.6</v>
      </c>
      <c r="H1061" s="18">
        <v>12.8</v>
      </c>
    </row>
    <row r="1062" spans="1:8" x14ac:dyDescent="0.25">
      <c r="A1062" s="11">
        <v>2023</v>
      </c>
      <c r="B1062" s="11" t="s">
        <v>11</v>
      </c>
      <c r="C1062" s="18">
        <v>7.7</v>
      </c>
      <c r="D1062" s="18">
        <v>29.8</v>
      </c>
      <c r="E1062" s="18">
        <v>66.8</v>
      </c>
      <c r="F1062" s="18">
        <v>87</v>
      </c>
      <c r="G1062" s="18">
        <v>50.7</v>
      </c>
      <c r="H1062" s="18">
        <v>12.2</v>
      </c>
    </row>
    <row r="1063" spans="1:8" x14ac:dyDescent="0.25">
      <c r="A1063" s="11">
        <v>2023</v>
      </c>
      <c r="B1063" s="11" t="s">
        <v>227</v>
      </c>
      <c r="C1063" s="18">
        <v>6.5</v>
      </c>
      <c r="D1063" s="18">
        <v>20.5</v>
      </c>
      <c r="E1063" s="18">
        <v>58.3</v>
      </c>
      <c r="F1063" s="18">
        <v>85.5</v>
      </c>
      <c r="G1063" s="18">
        <v>48</v>
      </c>
      <c r="H1063" s="18">
        <v>14.4</v>
      </c>
    </row>
    <row r="1064" spans="1:8" x14ac:dyDescent="0.25">
      <c r="A1064" s="11">
        <v>2023</v>
      </c>
      <c r="B1064" s="11" t="s">
        <v>228</v>
      </c>
      <c r="C1064" s="18">
        <v>4.4000000000000004</v>
      </c>
      <c r="D1064" s="18">
        <v>38.6</v>
      </c>
      <c r="E1064" s="18">
        <v>96.5</v>
      </c>
      <c r="F1064" s="18">
        <v>102.7</v>
      </c>
      <c r="G1064" s="18">
        <v>46.9</v>
      </c>
      <c r="H1064" s="18">
        <v>10.6</v>
      </c>
    </row>
    <row r="1065" spans="1:8" x14ac:dyDescent="0.25">
      <c r="A1065" s="11">
        <v>2023</v>
      </c>
      <c r="B1065" s="11" t="s">
        <v>229</v>
      </c>
      <c r="C1065" s="18">
        <v>10.1</v>
      </c>
      <c r="D1065" s="18">
        <v>45.5</v>
      </c>
      <c r="E1065" s="18">
        <v>94.6</v>
      </c>
      <c r="F1065" s="18">
        <v>78.2</v>
      </c>
      <c r="G1065" s="18">
        <v>39.5</v>
      </c>
      <c r="H1065" s="18">
        <v>8</v>
      </c>
    </row>
    <row r="1066" spans="1:8" x14ac:dyDescent="0.25">
      <c r="A1066" s="11">
        <v>2023</v>
      </c>
      <c r="B1066" s="11" t="s">
        <v>230</v>
      </c>
      <c r="C1066" s="18">
        <v>9.1999999999999993</v>
      </c>
      <c r="D1066" s="18">
        <v>44.4</v>
      </c>
      <c r="E1066" s="18">
        <v>73.5</v>
      </c>
      <c r="F1066" s="18">
        <v>97.2</v>
      </c>
      <c r="G1066" s="18">
        <v>51.9</v>
      </c>
      <c r="H1066" s="18">
        <v>11.7</v>
      </c>
    </row>
    <row r="1067" spans="1:8" x14ac:dyDescent="0.25">
      <c r="A1067" s="11">
        <v>2023</v>
      </c>
      <c r="B1067" s="11" t="s">
        <v>231</v>
      </c>
      <c r="C1067" s="18">
        <v>4.8</v>
      </c>
      <c r="D1067" s="18">
        <v>10</v>
      </c>
      <c r="E1067" s="18">
        <v>30</v>
      </c>
      <c r="F1067" s="18">
        <v>73</v>
      </c>
      <c r="G1067" s="18">
        <v>58.3</v>
      </c>
      <c r="H1067" s="18">
        <v>14.3</v>
      </c>
    </row>
    <row r="1068" spans="1:8" x14ac:dyDescent="0.25">
      <c r="A1068" s="11">
        <v>2023</v>
      </c>
      <c r="B1068" s="11" t="s">
        <v>232</v>
      </c>
      <c r="C1068" s="18">
        <v>10.4</v>
      </c>
      <c r="D1068" s="18">
        <v>59.6</v>
      </c>
      <c r="E1068" s="18">
        <v>85.2</v>
      </c>
      <c r="F1068" s="18">
        <v>79.2</v>
      </c>
      <c r="G1068" s="18">
        <v>47.1</v>
      </c>
      <c r="H1068" s="18">
        <v>10.6</v>
      </c>
    </row>
    <row r="1069" spans="1:8" x14ac:dyDescent="0.25">
      <c r="A1069" s="11">
        <v>2023</v>
      </c>
      <c r="B1069" s="11" t="s">
        <v>233</v>
      </c>
      <c r="C1069" s="18">
        <v>10.5</v>
      </c>
      <c r="D1069" s="18">
        <v>54.8</v>
      </c>
      <c r="E1069" s="18">
        <v>100.4</v>
      </c>
      <c r="F1069" s="18">
        <v>96.6</v>
      </c>
      <c r="G1069" s="18">
        <v>40.4</v>
      </c>
      <c r="H1069" s="18">
        <v>11.7</v>
      </c>
    </row>
    <row r="1070" spans="1:8" x14ac:dyDescent="0.25">
      <c r="A1070" s="11">
        <v>2023</v>
      </c>
      <c r="B1070" s="11" t="s">
        <v>234</v>
      </c>
      <c r="C1070" s="18">
        <v>12.8</v>
      </c>
      <c r="D1070" s="18">
        <v>25.1</v>
      </c>
      <c r="E1070" s="18">
        <v>63.3</v>
      </c>
      <c r="F1070" s="18">
        <v>81.900000000000006</v>
      </c>
      <c r="G1070" s="18">
        <v>42</v>
      </c>
      <c r="H1070" s="18">
        <v>8.5</v>
      </c>
    </row>
    <row r="1071" spans="1:8" x14ac:dyDescent="0.25">
      <c r="A1071" s="11">
        <v>2023</v>
      </c>
      <c r="B1071" s="11" t="s">
        <v>235</v>
      </c>
      <c r="C1071" s="18">
        <v>13.8</v>
      </c>
      <c r="D1071" s="18">
        <v>56.9</v>
      </c>
      <c r="E1071" s="18">
        <v>90.7</v>
      </c>
      <c r="F1071" s="18">
        <v>89.3</v>
      </c>
      <c r="G1071" s="18">
        <v>43.5</v>
      </c>
      <c r="H1071" s="18">
        <v>6.5</v>
      </c>
    </row>
    <row r="1072" spans="1:8" x14ac:dyDescent="0.25">
      <c r="A1072" s="11">
        <v>2023</v>
      </c>
      <c r="B1072" s="11" t="s">
        <v>236</v>
      </c>
      <c r="C1072" s="18">
        <v>1.4</v>
      </c>
      <c r="D1072" s="18">
        <v>20.8</v>
      </c>
      <c r="E1072" s="18">
        <v>61.9</v>
      </c>
      <c r="F1072" s="18">
        <v>117.5</v>
      </c>
      <c r="G1072" s="18">
        <v>76.2</v>
      </c>
      <c r="H1072" s="18">
        <v>16.600000000000001</v>
      </c>
    </row>
    <row r="1073" spans="1:8" x14ac:dyDescent="0.25">
      <c r="A1073" s="11">
        <v>2023</v>
      </c>
      <c r="B1073" s="11" t="s">
        <v>237</v>
      </c>
      <c r="C1073" s="18">
        <v>2.2000000000000002</v>
      </c>
      <c r="D1073" s="18">
        <v>35.9</v>
      </c>
      <c r="E1073" s="18">
        <v>74.099999999999994</v>
      </c>
      <c r="F1073" s="18">
        <v>96.1</v>
      </c>
      <c r="G1073" s="18">
        <v>60.4</v>
      </c>
      <c r="H1073" s="18">
        <v>13.1</v>
      </c>
    </row>
    <row r="1074" spans="1:8" x14ac:dyDescent="0.25">
      <c r="A1074" s="11">
        <v>2023</v>
      </c>
      <c r="B1074" s="11" t="s">
        <v>238</v>
      </c>
      <c r="C1074" s="18">
        <v>3.3</v>
      </c>
      <c r="D1074" s="18">
        <v>17</v>
      </c>
      <c r="E1074" s="18">
        <v>69.3</v>
      </c>
      <c r="F1074" s="18">
        <v>136.6</v>
      </c>
      <c r="G1074" s="18">
        <v>74.3</v>
      </c>
      <c r="H1074" s="18">
        <v>13.2</v>
      </c>
    </row>
    <row r="1075" spans="1:8" x14ac:dyDescent="0.25">
      <c r="A1075" s="11">
        <v>2023</v>
      </c>
      <c r="B1075" s="11" t="s">
        <v>239</v>
      </c>
      <c r="C1075" s="18">
        <v>7.9</v>
      </c>
      <c r="D1075" s="18">
        <v>43.3</v>
      </c>
      <c r="E1075" s="18">
        <v>77.099999999999994</v>
      </c>
      <c r="F1075" s="18">
        <v>88.4</v>
      </c>
      <c r="G1075" s="18">
        <v>43.5</v>
      </c>
      <c r="H1075" s="18">
        <v>9.5</v>
      </c>
    </row>
    <row r="1076" spans="1:8" x14ac:dyDescent="0.25">
      <c r="A1076" s="11">
        <v>2023</v>
      </c>
      <c r="B1076" s="11" t="s">
        <v>240</v>
      </c>
      <c r="C1076" s="18">
        <v>9.3000000000000007</v>
      </c>
      <c r="D1076" s="18">
        <v>35.6</v>
      </c>
      <c r="E1076" s="18">
        <v>82.5</v>
      </c>
      <c r="F1076" s="18">
        <v>84.4</v>
      </c>
      <c r="G1076" s="18">
        <v>44.4</v>
      </c>
      <c r="H1076" s="18">
        <v>9</v>
      </c>
    </row>
    <row r="1077" spans="1:8" x14ac:dyDescent="0.25">
      <c r="A1077" s="11">
        <v>2023</v>
      </c>
      <c r="B1077" s="11" t="s">
        <v>241</v>
      </c>
      <c r="C1077" s="18">
        <v>8.4</v>
      </c>
      <c r="D1077" s="18">
        <v>20.3</v>
      </c>
      <c r="E1077" s="18">
        <v>46.9</v>
      </c>
      <c r="F1077" s="18">
        <v>72.400000000000006</v>
      </c>
      <c r="G1077" s="18">
        <v>50</v>
      </c>
      <c r="H1077" s="18">
        <v>16.5</v>
      </c>
    </row>
    <row r="1078" spans="1:8" x14ac:dyDescent="0.25">
      <c r="A1078" s="11">
        <v>2023</v>
      </c>
      <c r="B1078" s="11" t="s">
        <v>242</v>
      </c>
      <c r="C1078" s="18">
        <v>7</v>
      </c>
      <c r="D1078" s="18">
        <v>48.7</v>
      </c>
      <c r="E1078" s="18">
        <v>85</v>
      </c>
      <c r="F1078" s="18">
        <v>86.5</v>
      </c>
      <c r="G1078" s="18">
        <v>49.3</v>
      </c>
      <c r="H1078" s="18">
        <v>12.9</v>
      </c>
    </row>
    <row r="1079" spans="1:8" x14ac:dyDescent="0.25">
      <c r="A1079" s="11">
        <v>2023</v>
      </c>
      <c r="B1079" s="11" t="s">
        <v>243</v>
      </c>
      <c r="C1079" s="18">
        <v>8.1</v>
      </c>
      <c r="D1079" s="18">
        <v>47.3</v>
      </c>
      <c r="E1079" s="18">
        <v>73.2</v>
      </c>
      <c r="F1079" s="18">
        <v>95.5</v>
      </c>
      <c r="G1079" s="18">
        <v>41.4</v>
      </c>
      <c r="H1079" s="18">
        <v>10.6</v>
      </c>
    </row>
    <row r="1080" spans="1:8" x14ac:dyDescent="0.25">
      <c r="A1080" s="11">
        <v>2023</v>
      </c>
      <c r="B1080" s="11" t="s">
        <v>244</v>
      </c>
      <c r="C1080" s="18">
        <v>12.4</v>
      </c>
      <c r="D1080" s="18">
        <v>45.9</v>
      </c>
      <c r="E1080" s="18">
        <v>83.5</v>
      </c>
      <c r="F1080" s="18">
        <v>96.4</v>
      </c>
      <c r="G1080" s="18">
        <v>53.2</v>
      </c>
      <c r="H1080" s="18">
        <v>12.7</v>
      </c>
    </row>
    <row r="1081" spans="1:8" x14ac:dyDescent="0.25">
      <c r="A1081" s="11">
        <v>2023</v>
      </c>
      <c r="B1081" s="11" t="s">
        <v>245</v>
      </c>
      <c r="C1081" s="18">
        <v>10</v>
      </c>
      <c r="D1081" s="18">
        <v>51.1</v>
      </c>
      <c r="E1081" s="18">
        <v>95.4</v>
      </c>
      <c r="F1081" s="18">
        <v>92.4</v>
      </c>
      <c r="G1081" s="18">
        <v>44.2</v>
      </c>
      <c r="H1081" s="18">
        <v>9.3000000000000007</v>
      </c>
    </row>
    <row r="1082" spans="1:8" x14ac:dyDescent="0.25">
      <c r="A1082" s="11">
        <v>2023</v>
      </c>
      <c r="B1082" s="11" t="s">
        <v>246</v>
      </c>
      <c r="C1082" s="18">
        <v>3.3</v>
      </c>
      <c r="D1082" s="18">
        <v>38.9</v>
      </c>
      <c r="E1082" s="18">
        <v>77.3</v>
      </c>
      <c r="F1082" s="18">
        <v>102.4</v>
      </c>
      <c r="G1082" s="18">
        <v>54.6</v>
      </c>
      <c r="H1082" s="18">
        <v>17.3</v>
      </c>
    </row>
    <row r="1083" spans="1:8" x14ac:dyDescent="0.25">
      <c r="A1083" s="11">
        <v>2023</v>
      </c>
      <c r="B1083" s="11" t="s">
        <v>247</v>
      </c>
      <c r="C1083" s="18">
        <v>8.8000000000000007</v>
      </c>
      <c r="D1083" s="18">
        <v>43.8</v>
      </c>
      <c r="E1083" s="18">
        <v>88.6</v>
      </c>
      <c r="F1083" s="18">
        <v>80.599999999999994</v>
      </c>
      <c r="G1083" s="18">
        <v>39.5</v>
      </c>
      <c r="H1083" s="18">
        <v>9.6999999999999993</v>
      </c>
    </row>
    <row r="1084" spans="1:8" x14ac:dyDescent="0.25">
      <c r="A1084" s="11">
        <v>2023</v>
      </c>
      <c r="B1084" s="11" t="s">
        <v>248</v>
      </c>
      <c r="C1084" s="18">
        <v>9</v>
      </c>
      <c r="D1084" s="18">
        <v>44.1</v>
      </c>
      <c r="E1084" s="18">
        <v>87.7</v>
      </c>
      <c r="F1084" s="18">
        <v>86.6</v>
      </c>
      <c r="G1084" s="18">
        <v>46.8</v>
      </c>
      <c r="H1084" s="18">
        <v>10.1</v>
      </c>
    </row>
    <row r="1085" spans="1:8" x14ac:dyDescent="0.25">
      <c r="A1085" s="11">
        <v>2023</v>
      </c>
      <c r="B1085" s="11" t="s">
        <v>249</v>
      </c>
      <c r="C1085" s="18">
        <v>7.5</v>
      </c>
      <c r="D1085" s="18">
        <v>47.9</v>
      </c>
      <c r="E1085" s="18">
        <v>72.900000000000006</v>
      </c>
      <c r="F1085" s="18">
        <v>103.1</v>
      </c>
      <c r="G1085" s="18">
        <v>45</v>
      </c>
      <c r="H1085" s="18">
        <v>9</v>
      </c>
    </row>
    <row r="1086" spans="1:8" x14ac:dyDescent="0.25">
      <c r="A1086" s="11">
        <v>2023</v>
      </c>
      <c r="B1086" s="11" t="s">
        <v>250</v>
      </c>
      <c r="C1086" s="18">
        <v>6.4</v>
      </c>
      <c r="D1086" s="18">
        <v>43.8</v>
      </c>
      <c r="E1086" s="18">
        <v>81</v>
      </c>
      <c r="F1086" s="18">
        <v>94.3</v>
      </c>
      <c r="G1086" s="18">
        <v>44.1</v>
      </c>
      <c r="H1086" s="18">
        <v>13.4</v>
      </c>
    </row>
    <row r="1087" spans="1:8" x14ac:dyDescent="0.25">
      <c r="A1087" s="11">
        <v>2023</v>
      </c>
      <c r="B1087" s="11" t="s">
        <v>251</v>
      </c>
      <c r="C1087" s="18">
        <v>7.2</v>
      </c>
      <c r="D1087" s="18">
        <v>30.8</v>
      </c>
      <c r="E1087" s="18">
        <v>68.099999999999994</v>
      </c>
      <c r="F1087" s="18">
        <v>92.2</v>
      </c>
      <c r="G1087" s="18">
        <v>54.3</v>
      </c>
      <c r="H1087" s="18">
        <v>10.4</v>
      </c>
    </row>
    <row r="1088" spans="1:8" x14ac:dyDescent="0.25">
      <c r="A1088" s="11">
        <v>2023</v>
      </c>
      <c r="B1088" s="11" t="s">
        <v>252</v>
      </c>
      <c r="C1088" s="18">
        <v>6.1</v>
      </c>
      <c r="D1088" s="18">
        <v>44.6</v>
      </c>
      <c r="E1088" s="18">
        <v>83.7</v>
      </c>
      <c r="F1088" s="18">
        <v>90.5</v>
      </c>
      <c r="G1088" s="18">
        <v>57.5</v>
      </c>
      <c r="H1088" s="18">
        <v>10.5</v>
      </c>
    </row>
    <row r="1089" spans="1:8" x14ac:dyDescent="0.25">
      <c r="A1089" s="11">
        <v>2023</v>
      </c>
      <c r="B1089" s="11" t="s">
        <v>253</v>
      </c>
      <c r="C1089" s="18">
        <v>1.6</v>
      </c>
      <c r="D1089" s="18">
        <v>59.7</v>
      </c>
      <c r="E1089" s="18">
        <v>83.8</v>
      </c>
      <c r="F1089" s="18">
        <v>83</v>
      </c>
      <c r="G1089" s="18">
        <v>45.9</v>
      </c>
      <c r="H1089" s="18">
        <v>13.8</v>
      </c>
    </row>
    <row r="1090" spans="1:8" x14ac:dyDescent="0.25">
      <c r="A1090" s="11">
        <v>2023</v>
      </c>
      <c r="B1090" s="11" t="s">
        <v>254</v>
      </c>
      <c r="C1090" s="18">
        <v>9.6</v>
      </c>
      <c r="D1090" s="18">
        <v>46.5</v>
      </c>
      <c r="E1090" s="18">
        <v>69.400000000000006</v>
      </c>
      <c r="F1090" s="18">
        <v>97.8</v>
      </c>
      <c r="G1090" s="18">
        <v>54.9</v>
      </c>
      <c r="H1090" s="18">
        <v>9.8000000000000007</v>
      </c>
    </row>
    <row r="1091" spans="1:8" x14ac:dyDescent="0.25">
      <c r="A1091" s="11">
        <v>2023</v>
      </c>
      <c r="B1091" s="11" t="s">
        <v>255</v>
      </c>
      <c r="C1091" s="18">
        <v>5.7</v>
      </c>
      <c r="D1091" s="18">
        <v>38</v>
      </c>
      <c r="E1091" s="18">
        <v>84</v>
      </c>
      <c r="F1091" s="18">
        <v>99.5</v>
      </c>
      <c r="G1091" s="18">
        <v>59.3</v>
      </c>
      <c r="H1091" s="18">
        <v>12.2</v>
      </c>
    </row>
    <row r="1092" spans="1:8" x14ac:dyDescent="0.25">
      <c r="A1092" s="11">
        <v>2023</v>
      </c>
      <c r="B1092" s="11" t="s">
        <v>256</v>
      </c>
      <c r="C1092" s="18">
        <v>6.3</v>
      </c>
      <c r="D1092" s="18">
        <v>14.7</v>
      </c>
      <c r="E1092" s="18">
        <v>62.4</v>
      </c>
      <c r="F1092" s="18">
        <v>90.5</v>
      </c>
      <c r="G1092" s="18">
        <v>56.2</v>
      </c>
      <c r="H1092" s="18">
        <v>12.5</v>
      </c>
    </row>
    <row r="1093" spans="1:8" x14ac:dyDescent="0.25">
      <c r="A1093" s="11">
        <v>2023</v>
      </c>
      <c r="B1093" s="11" t="s">
        <v>257</v>
      </c>
      <c r="C1093" s="18">
        <v>12.3</v>
      </c>
      <c r="D1093" s="18">
        <v>48.8</v>
      </c>
      <c r="E1093" s="18">
        <v>82.2</v>
      </c>
      <c r="F1093" s="18">
        <v>86.7</v>
      </c>
      <c r="G1093" s="18">
        <v>42</v>
      </c>
      <c r="H1093" s="18">
        <v>12.4</v>
      </c>
    </row>
    <row r="1094" spans="1:8" x14ac:dyDescent="0.25">
      <c r="A1094" s="11">
        <v>2023</v>
      </c>
      <c r="B1094" s="11" t="s">
        <v>258</v>
      </c>
      <c r="C1094" s="18">
        <v>11.7</v>
      </c>
      <c r="D1094" s="18">
        <v>49.6</v>
      </c>
      <c r="E1094" s="18">
        <v>87.8</v>
      </c>
      <c r="F1094" s="18">
        <v>103.2</v>
      </c>
      <c r="G1094" s="18">
        <v>51.9</v>
      </c>
      <c r="H1094" s="18">
        <v>13.2</v>
      </c>
    </row>
    <row r="1095" spans="1:8" x14ac:dyDescent="0.25">
      <c r="A1095" s="11">
        <v>2024</v>
      </c>
      <c r="B1095" s="11" t="s">
        <v>11</v>
      </c>
      <c r="C1095" s="18">
        <v>7.3</v>
      </c>
      <c r="D1095" s="18">
        <v>29.1</v>
      </c>
      <c r="E1095" s="18">
        <v>64.099999999999994</v>
      </c>
      <c r="F1095" s="18">
        <v>86.5</v>
      </c>
      <c r="G1095" s="18">
        <v>50</v>
      </c>
      <c r="H1095" s="18">
        <v>12.5</v>
      </c>
    </row>
    <row r="1096" spans="1:8" x14ac:dyDescent="0.25">
      <c r="A1096" s="11">
        <v>2024</v>
      </c>
      <c r="B1096" s="11" t="s">
        <v>227</v>
      </c>
      <c r="C1096" s="18">
        <v>7.1</v>
      </c>
      <c r="D1096" s="18">
        <v>18.8</v>
      </c>
      <c r="E1096" s="18">
        <v>50.5</v>
      </c>
      <c r="F1096" s="18">
        <v>75.7</v>
      </c>
      <c r="G1096" s="18">
        <v>45.7</v>
      </c>
      <c r="H1096" s="18">
        <v>13.5</v>
      </c>
    </row>
    <row r="1097" spans="1:8" x14ac:dyDescent="0.25">
      <c r="A1097" s="11">
        <v>2024</v>
      </c>
      <c r="B1097" s="11" t="s">
        <v>228</v>
      </c>
      <c r="C1097" s="18">
        <v>3</v>
      </c>
      <c r="D1097" s="18">
        <v>31.4</v>
      </c>
      <c r="E1097" s="18">
        <v>92.8</v>
      </c>
      <c r="F1097" s="18">
        <v>96</v>
      </c>
      <c r="G1097" s="18">
        <v>42.8</v>
      </c>
      <c r="H1097" s="18">
        <v>9.3000000000000007</v>
      </c>
    </row>
    <row r="1098" spans="1:8" x14ac:dyDescent="0.25">
      <c r="A1098" s="11">
        <v>2024</v>
      </c>
      <c r="B1098" s="11" t="s">
        <v>229</v>
      </c>
      <c r="C1098" s="18">
        <v>7.9</v>
      </c>
      <c r="D1098" s="18">
        <v>52.2</v>
      </c>
      <c r="E1098" s="18">
        <v>89.5</v>
      </c>
      <c r="F1098" s="18">
        <v>87.8</v>
      </c>
      <c r="G1098" s="18">
        <v>47.8</v>
      </c>
      <c r="H1098" s="18">
        <v>11</v>
      </c>
    </row>
    <row r="1099" spans="1:8" x14ac:dyDescent="0.25">
      <c r="A1099" s="11">
        <v>2024</v>
      </c>
      <c r="B1099" s="11" t="s">
        <v>230</v>
      </c>
      <c r="C1099" s="18">
        <v>3.3</v>
      </c>
      <c r="D1099" s="18">
        <v>38.6</v>
      </c>
      <c r="E1099" s="18">
        <v>77.7</v>
      </c>
      <c r="F1099" s="18">
        <v>92.1</v>
      </c>
      <c r="G1099" s="18">
        <v>45.3</v>
      </c>
      <c r="H1099" s="18">
        <v>18.899999999999999</v>
      </c>
    </row>
    <row r="1100" spans="1:8" x14ac:dyDescent="0.25">
      <c r="A1100" s="11">
        <v>2024</v>
      </c>
      <c r="B1100" s="11" t="s">
        <v>231</v>
      </c>
      <c r="C1100" s="18">
        <v>5</v>
      </c>
      <c r="D1100" s="18">
        <v>10.3</v>
      </c>
      <c r="E1100" s="18">
        <v>29.8</v>
      </c>
      <c r="F1100" s="18">
        <v>73.900000000000006</v>
      </c>
      <c r="G1100" s="18">
        <v>60.4</v>
      </c>
      <c r="H1100" s="18">
        <v>18.100000000000001</v>
      </c>
    </row>
    <row r="1101" spans="1:8" x14ac:dyDescent="0.25">
      <c r="A1101" s="11">
        <v>2024</v>
      </c>
      <c r="B1101" s="11" t="s">
        <v>232</v>
      </c>
      <c r="C1101" s="18">
        <v>7.4</v>
      </c>
      <c r="D1101" s="18">
        <v>52.9</v>
      </c>
      <c r="E1101" s="18">
        <v>83.7</v>
      </c>
      <c r="F1101" s="18">
        <v>77.099999999999994</v>
      </c>
      <c r="G1101" s="18">
        <v>30.4</v>
      </c>
      <c r="H1101" s="18">
        <v>11.8</v>
      </c>
    </row>
    <row r="1102" spans="1:8" x14ac:dyDescent="0.25">
      <c r="A1102" s="11">
        <v>2024</v>
      </c>
      <c r="B1102" s="11" t="s">
        <v>233</v>
      </c>
      <c r="C1102" s="18">
        <v>10.8</v>
      </c>
      <c r="D1102" s="18">
        <v>51.7</v>
      </c>
      <c r="E1102" s="18">
        <v>90.2</v>
      </c>
      <c r="F1102" s="18">
        <v>90.7</v>
      </c>
      <c r="G1102" s="18">
        <v>42.9</v>
      </c>
      <c r="H1102" s="18">
        <v>10.4</v>
      </c>
    </row>
    <row r="1103" spans="1:8" x14ac:dyDescent="0.25">
      <c r="A1103" s="11">
        <v>2024</v>
      </c>
      <c r="B1103" s="11" t="s">
        <v>234</v>
      </c>
      <c r="C1103" s="18">
        <v>10.8</v>
      </c>
      <c r="D1103" s="18">
        <v>22.9</v>
      </c>
      <c r="E1103" s="18">
        <v>67.5</v>
      </c>
      <c r="F1103" s="18">
        <v>80.900000000000006</v>
      </c>
      <c r="G1103" s="18">
        <v>40.200000000000003</v>
      </c>
      <c r="H1103" s="18">
        <v>12.8</v>
      </c>
    </row>
    <row r="1104" spans="1:8" x14ac:dyDescent="0.25">
      <c r="A1104" s="11">
        <v>2024</v>
      </c>
      <c r="B1104" s="11" t="s">
        <v>235</v>
      </c>
      <c r="C1104" s="18">
        <v>9.5</v>
      </c>
      <c r="D1104" s="18">
        <v>62.8</v>
      </c>
      <c r="E1104" s="18">
        <v>84.4</v>
      </c>
      <c r="F1104" s="18">
        <v>86.5</v>
      </c>
      <c r="G1104" s="18">
        <v>47.9</v>
      </c>
      <c r="H1104" s="18">
        <v>7.7</v>
      </c>
    </row>
    <row r="1105" spans="1:8" x14ac:dyDescent="0.25">
      <c r="A1105" s="11">
        <v>2024</v>
      </c>
      <c r="B1105" s="11" t="s">
        <v>236</v>
      </c>
      <c r="C1105" s="18">
        <v>3.8</v>
      </c>
      <c r="D1105" s="18">
        <v>19.2</v>
      </c>
      <c r="E1105" s="18">
        <v>53.7</v>
      </c>
      <c r="F1105" s="18">
        <v>127.4</v>
      </c>
      <c r="G1105" s="18">
        <v>69.5</v>
      </c>
      <c r="H1105" s="18">
        <v>15.5</v>
      </c>
    </row>
    <row r="1106" spans="1:8" x14ac:dyDescent="0.25">
      <c r="A1106" s="11">
        <v>2024</v>
      </c>
      <c r="B1106" s="11" t="s">
        <v>237</v>
      </c>
      <c r="C1106" s="18">
        <v>6.1</v>
      </c>
      <c r="D1106" s="18">
        <v>32.9</v>
      </c>
      <c r="E1106" s="18">
        <v>73</v>
      </c>
      <c r="F1106" s="18">
        <v>101.5</v>
      </c>
      <c r="G1106" s="18">
        <v>62.5</v>
      </c>
      <c r="H1106" s="18">
        <v>13.7</v>
      </c>
    </row>
    <row r="1107" spans="1:8" x14ac:dyDescent="0.25">
      <c r="A1107" s="11">
        <v>2024</v>
      </c>
      <c r="B1107" s="11" t="s">
        <v>238</v>
      </c>
      <c r="C1107" s="18">
        <v>2.2000000000000002</v>
      </c>
      <c r="D1107" s="18">
        <v>21.8</v>
      </c>
      <c r="E1107" s="18">
        <v>66.400000000000006</v>
      </c>
      <c r="F1107" s="18">
        <v>132.6</v>
      </c>
      <c r="G1107" s="18">
        <v>70.2</v>
      </c>
      <c r="H1107" s="18">
        <v>15.1</v>
      </c>
    </row>
    <row r="1108" spans="1:8" x14ac:dyDescent="0.25">
      <c r="A1108" s="11">
        <v>2024</v>
      </c>
      <c r="B1108" s="11" t="s">
        <v>239</v>
      </c>
      <c r="C1108" s="18">
        <v>8.4</v>
      </c>
      <c r="D1108" s="18">
        <v>45.5</v>
      </c>
      <c r="E1108" s="18">
        <v>80.3</v>
      </c>
      <c r="F1108" s="18">
        <v>82.1</v>
      </c>
      <c r="G1108" s="18">
        <v>46.1</v>
      </c>
      <c r="H1108" s="18">
        <v>9.3000000000000007</v>
      </c>
    </row>
    <row r="1109" spans="1:8" x14ac:dyDescent="0.25">
      <c r="A1109" s="11">
        <v>2024</v>
      </c>
      <c r="B1109" s="11" t="s">
        <v>240</v>
      </c>
      <c r="C1109" s="18">
        <v>7.8</v>
      </c>
      <c r="D1109" s="18">
        <v>33.299999999999997</v>
      </c>
      <c r="E1109" s="18">
        <v>73.400000000000006</v>
      </c>
      <c r="F1109" s="18">
        <v>82.3</v>
      </c>
      <c r="G1109" s="18">
        <v>46.3</v>
      </c>
      <c r="H1109" s="18">
        <v>9.5</v>
      </c>
    </row>
    <row r="1110" spans="1:8" x14ac:dyDescent="0.25">
      <c r="A1110" s="11">
        <v>2024</v>
      </c>
      <c r="B1110" s="11" t="s">
        <v>241</v>
      </c>
      <c r="C1110" s="18">
        <v>7.5</v>
      </c>
      <c r="D1110" s="18">
        <v>20.3</v>
      </c>
      <c r="E1110" s="18">
        <v>45.5</v>
      </c>
      <c r="F1110" s="18">
        <v>71.8</v>
      </c>
      <c r="G1110" s="18">
        <v>51.2</v>
      </c>
      <c r="H1110" s="18">
        <v>15.6</v>
      </c>
    </row>
    <row r="1111" spans="1:8" x14ac:dyDescent="0.25">
      <c r="A1111" s="11">
        <v>2024</v>
      </c>
      <c r="B1111" s="11" t="s">
        <v>242</v>
      </c>
      <c r="C1111" s="18">
        <v>9.6999999999999993</v>
      </c>
      <c r="D1111" s="18">
        <v>43.8</v>
      </c>
      <c r="E1111" s="18">
        <v>81.5</v>
      </c>
      <c r="F1111" s="18">
        <v>88</v>
      </c>
      <c r="G1111" s="18">
        <v>46.8</v>
      </c>
      <c r="H1111" s="18">
        <v>12.5</v>
      </c>
    </row>
    <row r="1112" spans="1:8" x14ac:dyDescent="0.25">
      <c r="A1112" s="11">
        <v>2024</v>
      </c>
      <c r="B1112" s="11" t="s">
        <v>243</v>
      </c>
      <c r="C1112" s="18">
        <v>10.1</v>
      </c>
      <c r="D1112" s="18">
        <v>38.5</v>
      </c>
      <c r="E1112" s="18">
        <v>75</v>
      </c>
      <c r="F1112" s="18">
        <v>82.3</v>
      </c>
      <c r="G1112" s="18">
        <v>50.1</v>
      </c>
      <c r="H1112" s="18">
        <v>7.7</v>
      </c>
    </row>
    <row r="1113" spans="1:8" x14ac:dyDescent="0.25">
      <c r="A1113" s="11">
        <v>2024</v>
      </c>
      <c r="B1113" s="11" t="s">
        <v>244</v>
      </c>
      <c r="C1113" s="18">
        <v>8.4</v>
      </c>
      <c r="D1113" s="18">
        <v>51.3</v>
      </c>
      <c r="E1113" s="18">
        <v>91.9</v>
      </c>
      <c r="F1113" s="18">
        <v>113.7</v>
      </c>
      <c r="G1113" s="18">
        <v>54.2</v>
      </c>
      <c r="H1113" s="18">
        <v>13.8</v>
      </c>
    </row>
    <row r="1114" spans="1:8" x14ac:dyDescent="0.25">
      <c r="A1114" s="11">
        <v>2024</v>
      </c>
      <c r="B1114" s="11" t="s">
        <v>245</v>
      </c>
      <c r="C1114" s="18">
        <v>6.1</v>
      </c>
      <c r="D1114" s="18">
        <v>57.4</v>
      </c>
      <c r="E1114" s="18">
        <v>86.8</v>
      </c>
      <c r="F1114" s="18">
        <v>84.2</v>
      </c>
      <c r="G1114" s="18">
        <v>37.200000000000003</v>
      </c>
      <c r="H1114" s="18">
        <v>8.3000000000000007</v>
      </c>
    </row>
    <row r="1115" spans="1:8" x14ac:dyDescent="0.25">
      <c r="A1115" s="11">
        <v>2024</v>
      </c>
      <c r="B1115" s="11" t="s">
        <v>246</v>
      </c>
      <c r="C1115" s="18">
        <v>4.9000000000000004</v>
      </c>
      <c r="D1115" s="18">
        <v>44.1</v>
      </c>
      <c r="E1115" s="18">
        <v>91.9</v>
      </c>
      <c r="F1115" s="18">
        <v>97.4</v>
      </c>
      <c r="G1115" s="18">
        <v>58</v>
      </c>
      <c r="H1115" s="18">
        <v>7.9</v>
      </c>
    </row>
    <row r="1116" spans="1:8" x14ac:dyDescent="0.25">
      <c r="A1116" s="11">
        <v>2024</v>
      </c>
      <c r="B1116" s="11" t="s">
        <v>247</v>
      </c>
      <c r="C1116" s="18">
        <v>11.2</v>
      </c>
      <c r="D1116" s="18">
        <v>47.6</v>
      </c>
      <c r="E1116" s="18">
        <v>87.4</v>
      </c>
      <c r="F1116" s="18">
        <v>87.3</v>
      </c>
      <c r="G1116" s="18">
        <v>37.5</v>
      </c>
      <c r="H1116" s="18">
        <v>8.9</v>
      </c>
    </row>
    <row r="1117" spans="1:8" x14ac:dyDescent="0.25">
      <c r="A1117" s="11">
        <v>2024</v>
      </c>
      <c r="B1117" s="11" t="s">
        <v>248</v>
      </c>
      <c r="C1117" s="18">
        <v>9.5</v>
      </c>
      <c r="D1117" s="18">
        <v>44.3</v>
      </c>
      <c r="E1117" s="18">
        <v>88.4</v>
      </c>
      <c r="F1117" s="18">
        <v>93.1</v>
      </c>
      <c r="G1117" s="18">
        <v>46.3</v>
      </c>
      <c r="H1117" s="18">
        <v>9.9</v>
      </c>
    </row>
    <row r="1118" spans="1:8" x14ac:dyDescent="0.25">
      <c r="A1118" s="11">
        <v>2024</v>
      </c>
      <c r="B1118" s="11" t="s">
        <v>249</v>
      </c>
      <c r="C1118" s="18">
        <v>3.6</v>
      </c>
      <c r="D1118" s="18">
        <v>47.4</v>
      </c>
      <c r="E1118" s="18">
        <v>85.6</v>
      </c>
      <c r="F1118" s="18">
        <v>88.3</v>
      </c>
      <c r="G1118" s="18">
        <v>30.3</v>
      </c>
      <c r="H1118" s="18">
        <v>12.5</v>
      </c>
    </row>
    <row r="1119" spans="1:8" x14ac:dyDescent="0.25">
      <c r="A1119" s="11">
        <v>2024</v>
      </c>
      <c r="B1119" s="11" t="s">
        <v>250</v>
      </c>
      <c r="C1119" s="18">
        <v>7.2</v>
      </c>
      <c r="D1119" s="18">
        <v>41</v>
      </c>
      <c r="E1119" s="18">
        <v>79.400000000000006</v>
      </c>
      <c r="F1119" s="18">
        <v>100.9</v>
      </c>
      <c r="G1119" s="18">
        <v>49</v>
      </c>
      <c r="H1119" s="18">
        <v>10</v>
      </c>
    </row>
    <row r="1120" spans="1:8" x14ac:dyDescent="0.25">
      <c r="A1120" s="11">
        <v>2024</v>
      </c>
      <c r="B1120" s="11" t="s">
        <v>251</v>
      </c>
      <c r="C1120" s="18">
        <v>6.8</v>
      </c>
      <c r="D1120" s="18">
        <v>26.6</v>
      </c>
      <c r="E1120" s="18">
        <v>67.599999999999994</v>
      </c>
      <c r="F1120" s="18">
        <v>93.9</v>
      </c>
      <c r="G1120" s="18">
        <v>59.4</v>
      </c>
      <c r="H1120" s="18">
        <v>11.3</v>
      </c>
    </row>
    <row r="1121" spans="1:8" x14ac:dyDescent="0.25">
      <c r="A1121" s="11">
        <v>2024</v>
      </c>
      <c r="B1121" s="11" t="s">
        <v>252</v>
      </c>
      <c r="C1121" s="18">
        <v>6.8</v>
      </c>
      <c r="D1121" s="18">
        <v>54.7</v>
      </c>
      <c r="E1121" s="18">
        <v>82.6</v>
      </c>
      <c r="F1121" s="18">
        <v>97.8</v>
      </c>
      <c r="G1121" s="18">
        <v>43.5</v>
      </c>
      <c r="H1121" s="18">
        <v>13.6</v>
      </c>
    </row>
    <row r="1122" spans="1:8" x14ac:dyDescent="0.25">
      <c r="A1122" s="11">
        <v>2024</v>
      </c>
      <c r="B1122" s="11" t="s">
        <v>253</v>
      </c>
      <c r="C1122" s="18">
        <v>4.5</v>
      </c>
      <c r="D1122" s="18">
        <v>36.700000000000003</v>
      </c>
      <c r="E1122" s="18">
        <v>91.8</v>
      </c>
      <c r="F1122" s="18">
        <v>70.599999999999994</v>
      </c>
      <c r="G1122" s="18">
        <v>51.2</v>
      </c>
      <c r="H1122" s="18">
        <v>8.1</v>
      </c>
    </row>
    <row r="1123" spans="1:8" x14ac:dyDescent="0.25">
      <c r="A1123" s="11">
        <v>2024</v>
      </c>
      <c r="B1123" s="11" t="s">
        <v>254</v>
      </c>
      <c r="C1123" s="18">
        <v>8.1999999999999993</v>
      </c>
      <c r="D1123" s="18">
        <v>42.3</v>
      </c>
      <c r="E1123" s="18">
        <v>76.099999999999994</v>
      </c>
      <c r="F1123" s="18">
        <v>88</v>
      </c>
      <c r="G1123" s="18">
        <v>43.5</v>
      </c>
      <c r="H1123" s="18">
        <v>10.7</v>
      </c>
    </row>
    <row r="1124" spans="1:8" x14ac:dyDescent="0.25">
      <c r="A1124" s="11">
        <v>2024</v>
      </c>
      <c r="B1124" s="11" t="s">
        <v>255</v>
      </c>
      <c r="C1124" s="18">
        <v>6.6</v>
      </c>
      <c r="D1124" s="18">
        <v>38.6</v>
      </c>
      <c r="E1124" s="18">
        <v>82.2</v>
      </c>
      <c r="F1124" s="18">
        <v>100.9</v>
      </c>
      <c r="G1124" s="18">
        <v>53.3</v>
      </c>
      <c r="H1124" s="18">
        <v>11.9</v>
      </c>
    </row>
    <row r="1125" spans="1:8" x14ac:dyDescent="0.25">
      <c r="A1125" s="11">
        <v>2024</v>
      </c>
      <c r="B1125" s="11" t="s">
        <v>256</v>
      </c>
      <c r="C1125" s="18">
        <v>6</v>
      </c>
      <c r="D1125" s="18">
        <v>14.2</v>
      </c>
      <c r="E1125" s="18">
        <v>47</v>
      </c>
      <c r="F1125" s="18">
        <v>87.8</v>
      </c>
      <c r="G1125" s="18">
        <v>61.4</v>
      </c>
      <c r="H1125" s="18">
        <v>20</v>
      </c>
    </row>
    <row r="1126" spans="1:8" x14ac:dyDescent="0.25">
      <c r="A1126" s="11">
        <v>2024</v>
      </c>
      <c r="B1126" s="11" t="s">
        <v>257</v>
      </c>
      <c r="C1126" s="18">
        <v>12.2</v>
      </c>
      <c r="D1126" s="18">
        <v>55.1</v>
      </c>
      <c r="E1126" s="18">
        <v>80.900000000000006</v>
      </c>
      <c r="F1126" s="18">
        <v>93</v>
      </c>
      <c r="G1126" s="18">
        <v>41.6</v>
      </c>
      <c r="H1126" s="18">
        <v>8</v>
      </c>
    </row>
    <row r="1127" spans="1:8" x14ac:dyDescent="0.25">
      <c r="A1127" s="11">
        <v>2024</v>
      </c>
      <c r="B1127" s="11" t="s">
        <v>258</v>
      </c>
      <c r="C1127" s="18">
        <v>6.9</v>
      </c>
      <c r="D1127" s="18">
        <v>42.9</v>
      </c>
      <c r="E1127" s="18">
        <v>88.6</v>
      </c>
      <c r="F1127" s="18">
        <v>96.4</v>
      </c>
      <c r="G1127" s="18">
        <v>44.9</v>
      </c>
      <c r="H1127" s="18">
        <v>10.199999999999999</v>
      </c>
    </row>
  </sheetData>
  <pageMargins left="0.7" right="0.7" top="0.75" bottom="0.75" header="0.3" footer="0.3"/>
  <pageSetup paperSize="9" orientation="portrait" horizontalDpi="300" verticalDpi="300"/>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515"/>
  <sheetViews>
    <sheetView workbookViewId="0"/>
  </sheetViews>
  <sheetFormatPr defaultColWidth="11.6328125" defaultRowHeight="15" x14ac:dyDescent="0.25"/>
  <cols>
    <col min="1" max="1" width="10.6328125" bestFit="1" customWidth="1"/>
    <col min="2" max="2" width="25.6328125" bestFit="1" customWidth="1"/>
    <col min="3" max="8" width="12.90625" customWidth="1"/>
  </cols>
  <sheetData>
    <row r="1" spans="1:8" ht="21" x14ac:dyDescent="0.4">
      <c r="A1" s="5" t="s">
        <v>293</v>
      </c>
    </row>
    <row r="2" spans="1:8" x14ac:dyDescent="0.25">
      <c r="A2" t="s">
        <v>29</v>
      </c>
    </row>
    <row r="3" spans="1:8" x14ac:dyDescent="0.25">
      <c r="A3" t="s">
        <v>278</v>
      </c>
    </row>
    <row r="4" spans="1:8" x14ac:dyDescent="0.25">
      <c r="A4" s="16" t="str">
        <f>HYPERLINK("#'Contents'!A1", "back to contents")</f>
        <v>back to contents</v>
      </c>
    </row>
    <row r="5" spans="1:8" ht="31.2" x14ac:dyDescent="0.3">
      <c r="A5" s="10" t="s">
        <v>69</v>
      </c>
      <c r="B5" s="10" t="s">
        <v>279</v>
      </c>
      <c r="C5" s="12" t="s">
        <v>287</v>
      </c>
      <c r="D5" s="14" t="s">
        <v>288</v>
      </c>
      <c r="E5" s="14" t="s">
        <v>289</v>
      </c>
      <c r="F5" s="14" t="s">
        <v>290</v>
      </c>
      <c r="G5" s="14" t="s">
        <v>291</v>
      </c>
      <c r="H5" s="14" t="s">
        <v>292</v>
      </c>
    </row>
    <row r="6" spans="1:8" x14ac:dyDescent="0.25">
      <c r="A6" s="11">
        <v>1991</v>
      </c>
      <c r="B6" s="11" t="s">
        <v>11</v>
      </c>
      <c r="C6" s="18">
        <v>33.299999999999997</v>
      </c>
      <c r="D6" s="18">
        <v>82.3</v>
      </c>
      <c r="E6" s="18">
        <v>116.5</v>
      </c>
      <c r="F6" s="18">
        <v>78.3</v>
      </c>
      <c r="G6" s="18">
        <v>26.8</v>
      </c>
      <c r="H6" s="18">
        <v>4</v>
      </c>
    </row>
    <row r="7" spans="1:8" x14ac:dyDescent="0.25">
      <c r="A7" s="11">
        <v>1991</v>
      </c>
      <c r="B7" s="11" t="s">
        <v>260</v>
      </c>
      <c r="C7" s="18">
        <v>40.9</v>
      </c>
      <c r="D7" s="18">
        <v>97.3</v>
      </c>
      <c r="E7" s="18">
        <v>116.9</v>
      </c>
      <c r="F7" s="18">
        <v>72</v>
      </c>
      <c r="G7" s="18">
        <v>24.1</v>
      </c>
      <c r="H7" s="18">
        <v>3.2</v>
      </c>
    </row>
    <row r="8" spans="1:8" x14ac:dyDescent="0.25">
      <c r="A8" s="11">
        <v>1991</v>
      </c>
      <c r="B8" s="11" t="s">
        <v>261</v>
      </c>
      <c r="C8" s="18">
        <v>28.4</v>
      </c>
      <c r="D8" s="18">
        <v>82.5</v>
      </c>
      <c r="E8" s="18">
        <v>136.6</v>
      </c>
      <c r="F8" s="18">
        <v>86.5</v>
      </c>
      <c r="G8" s="18">
        <v>25.2</v>
      </c>
      <c r="H8" s="18">
        <v>2.6</v>
      </c>
    </row>
    <row r="9" spans="1:8" x14ac:dyDescent="0.25">
      <c r="A9" s="11">
        <v>1991</v>
      </c>
      <c r="B9" s="11" t="s">
        <v>233</v>
      </c>
      <c r="C9" s="18">
        <v>30.8</v>
      </c>
      <c r="D9" s="18">
        <v>105.9</v>
      </c>
      <c r="E9" s="18">
        <v>123.7</v>
      </c>
      <c r="F9" s="18">
        <v>70.400000000000006</v>
      </c>
      <c r="G9" s="18">
        <v>22.3</v>
      </c>
      <c r="H9" s="18">
        <v>4.0999999999999996</v>
      </c>
    </row>
    <row r="10" spans="1:8" x14ac:dyDescent="0.25">
      <c r="A10" s="11">
        <v>1991</v>
      </c>
      <c r="B10" s="11" t="s">
        <v>240</v>
      </c>
      <c r="C10" s="18">
        <v>37.1</v>
      </c>
      <c r="D10" s="18">
        <v>87.7</v>
      </c>
      <c r="E10" s="18">
        <v>120</v>
      </c>
      <c r="F10" s="18">
        <v>67.8</v>
      </c>
      <c r="G10" s="18">
        <v>20.5</v>
      </c>
      <c r="H10" s="18">
        <v>3.1</v>
      </c>
    </row>
    <row r="11" spans="1:8" x14ac:dyDescent="0.25">
      <c r="A11" s="11">
        <v>1991</v>
      </c>
      <c r="B11" s="11" t="s">
        <v>262</v>
      </c>
      <c r="C11" s="18">
        <v>33.4</v>
      </c>
      <c r="D11" s="18">
        <v>87.3</v>
      </c>
      <c r="E11" s="18">
        <v>123.5</v>
      </c>
      <c r="F11" s="18">
        <v>74.3</v>
      </c>
      <c r="G11" s="18">
        <v>22.7</v>
      </c>
      <c r="H11" s="18">
        <v>3.1</v>
      </c>
    </row>
    <row r="12" spans="1:8" x14ac:dyDescent="0.25">
      <c r="A12" s="11">
        <v>1991</v>
      </c>
      <c r="B12" s="11" t="s">
        <v>263</v>
      </c>
      <c r="C12" s="18">
        <v>26.7</v>
      </c>
      <c r="D12" s="18">
        <v>80.599999999999994</v>
      </c>
      <c r="E12" s="18">
        <v>122.8</v>
      </c>
      <c r="F12" s="18">
        <v>79.5</v>
      </c>
      <c r="G12" s="18">
        <v>25.4</v>
      </c>
      <c r="H12" s="18">
        <v>4.5999999999999996</v>
      </c>
    </row>
    <row r="13" spans="1:8" x14ac:dyDescent="0.25">
      <c r="A13" s="11">
        <v>1991</v>
      </c>
      <c r="B13" s="11" t="s">
        <v>264</v>
      </c>
      <c r="C13" s="18">
        <v>36.4</v>
      </c>
      <c r="D13" s="18">
        <v>76.099999999999994</v>
      </c>
      <c r="E13" s="18">
        <v>108.9</v>
      </c>
      <c r="F13" s="18">
        <v>80.2</v>
      </c>
      <c r="G13" s="18">
        <v>31</v>
      </c>
      <c r="H13" s="18">
        <v>4.9000000000000004</v>
      </c>
    </row>
    <row r="14" spans="1:8" x14ac:dyDescent="0.25">
      <c r="A14" s="11">
        <v>1991</v>
      </c>
      <c r="B14" s="11" t="s">
        <v>242</v>
      </c>
      <c r="C14" s="18">
        <v>31.1</v>
      </c>
      <c r="D14" s="18">
        <v>104.3</v>
      </c>
      <c r="E14" s="18">
        <v>125.2</v>
      </c>
      <c r="F14" s="18">
        <v>84.5</v>
      </c>
      <c r="G14" s="18">
        <v>29.4</v>
      </c>
      <c r="H14" s="18">
        <v>4.7</v>
      </c>
    </row>
    <row r="15" spans="1:8" x14ac:dyDescent="0.25">
      <c r="A15" s="11">
        <v>1991</v>
      </c>
      <c r="B15" s="11" t="s">
        <v>265</v>
      </c>
      <c r="C15" s="18">
        <v>34.200000000000003</v>
      </c>
      <c r="D15" s="18">
        <v>87.7</v>
      </c>
      <c r="E15" s="18">
        <v>122.2</v>
      </c>
      <c r="F15" s="18">
        <v>73.7</v>
      </c>
      <c r="G15" s="18">
        <v>23.6</v>
      </c>
      <c r="H15" s="18">
        <v>3</v>
      </c>
    </row>
    <row r="16" spans="1:8" x14ac:dyDescent="0.25">
      <c r="A16" s="11">
        <v>1991</v>
      </c>
      <c r="B16" s="11" t="s">
        <v>266</v>
      </c>
      <c r="C16" s="18">
        <v>28.8</v>
      </c>
      <c r="D16" s="18">
        <v>63.9</v>
      </c>
      <c r="E16" s="18">
        <v>108</v>
      </c>
      <c r="F16" s="18">
        <v>85.9</v>
      </c>
      <c r="G16" s="18">
        <v>30.9</v>
      </c>
      <c r="H16" s="18">
        <v>4.4000000000000004</v>
      </c>
    </row>
    <row r="17" spans="1:8" x14ac:dyDescent="0.25">
      <c r="A17" s="11">
        <v>1991</v>
      </c>
      <c r="B17" s="11" t="s">
        <v>267</v>
      </c>
      <c r="C17" s="18">
        <v>26.2</v>
      </c>
      <c r="D17" s="18">
        <v>100.4</v>
      </c>
      <c r="E17" s="18">
        <v>133.30000000000001</v>
      </c>
      <c r="F17" s="18">
        <v>79.2</v>
      </c>
      <c r="G17" s="18">
        <v>23.1</v>
      </c>
      <c r="H17" s="18">
        <v>11.3</v>
      </c>
    </row>
    <row r="18" spans="1:8" x14ac:dyDescent="0.25">
      <c r="A18" s="11">
        <v>1991</v>
      </c>
      <c r="B18" s="11" t="s">
        <v>268</v>
      </c>
      <c r="C18" s="18">
        <v>30.6</v>
      </c>
      <c r="D18" s="18">
        <v>129.69999999999999</v>
      </c>
      <c r="E18" s="18">
        <v>137.30000000000001</v>
      </c>
      <c r="F18" s="18">
        <v>91.5</v>
      </c>
      <c r="G18" s="18">
        <v>31.4</v>
      </c>
      <c r="H18" s="18">
        <v>1.3</v>
      </c>
    </row>
    <row r="19" spans="1:8" x14ac:dyDescent="0.25">
      <c r="A19" s="11">
        <v>1991</v>
      </c>
      <c r="B19" s="11" t="s">
        <v>269</v>
      </c>
      <c r="C19" s="18">
        <v>33.700000000000003</v>
      </c>
      <c r="D19" s="18">
        <v>92.2</v>
      </c>
      <c r="E19" s="18">
        <v>119.4</v>
      </c>
      <c r="F19" s="18">
        <v>73.7</v>
      </c>
      <c r="G19" s="18">
        <v>23.9</v>
      </c>
      <c r="H19" s="18">
        <v>3.4</v>
      </c>
    </row>
    <row r="20" spans="1:8" x14ac:dyDescent="0.25">
      <c r="A20" s="11">
        <v>1991</v>
      </c>
      <c r="B20" s="11" t="s">
        <v>270</v>
      </c>
      <c r="C20" s="18">
        <v>23.9</v>
      </c>
      <c r="D20" s="18">
        <v>95</v>
      </c>
      <c r="E20" s="18">
        <v>114.5</v>
      </c>
      <c r="F20" s="18">
        <v>104</v>
      </c>
      <c r="G20" s="18">
        <v>35.299999999999997</v>
      </c>
      <c r="H20" s="18">
        <v>5.2</v>
      </c>
    </row>
    <row r="21" spans="1:8" x14ac:dyDescent="0.25">
      <c r="A21" s="11">
        <v>1992</v>
      </c>
      <c r="B21" s="11" t="s">
        <v>11</v>
      </c>
      <c r="C21" s="18">
        <v>33.1</v>
      </c>
      <c r="D21" s="18">
        <v>77.7</v>
      </c>
      <c r="E21" s="18">
        <v>113.6</v>
      </c>
      <c r="F21" s="18">
        <v>80.7</v>
      </c>
      <c r="G21" s="18">
        <v>27.8</v>
      </c>
      <c r="H21" s="18">
        <v>4</v>
      </c>
    </row>
    <row r="22" spans="1:8" x14ac:dyDescent="0.25">
      <c r="A22" s="11">
        <v>1992</v>
      </c>
      <c r="B22" s="11" t="s">
        <v>260</v>
      </c>
      <c r="C22" s="18">
        <v>38.6</v>
      </c>
      <c r="D22" s="18">
        <v>93.2</v>
      </c>
      <c r="E22" s="18">
        <v>117.9</v>
      </c>
      <c r="F22" s="18">
        <v>72.900000000000006</v>
      </c>
      <c r="G22" s="18">
        <v>23.2</v>
      </c>
      <c r="H22" s="18">
        <v>3.4</v>
      </c>
    </row>
    <row r="23" spans="1:8" x14ac:dyDescent="0.25">
      <c r="A23" s="11">
        <v>1992</v>
      </c>
      <c r="B23" s="11" t="s">
        <v>261</v>
      </c>
      <c r="C23" s="18">
        <v>23.8</v>
      </c>
      <c r="D23" s="18">
        <v>79.900000000000006</v>
      </c>
      <c r="E23" s="18">
        <v>128.30000000000001</v>
      </c>
      <c r="F23" s="18">
        <v>78.2</v>
      </c>
      <c r="G23" s="18">
        <v>28</v>
      </c>
      <c r="H23" s="18">
        <v>3.9</v>
      </c>
    </row>
    <row r="24" spans="1:8" x14ac:dyDescent="0.25">
      <c r="A24" s="11">
        <v>1992</v>
      </c>
      <c r="B24" s="11" t="s">
        <v>233</v>
      </c>
      <c r="C24" s="18">
        <v>35.5</v>
      </c>
      <c r="D24" s="18">
        <v>100.4</v>
      </c>
      <c r="E24" s="18">
        <v>123.1</v>
      </c>
      <c r="F24" s="18">
        <v>67.8</v>
      </c>
      <c r="G24" s="18">
        <v>24</v>
      </c>
      <c r="H24" s="18">
        <v>3.8</v>
      </c>
    </row>
    <row r="25" spans="1:8" x14ac:dyDescent="0.25">
      <c r="A25" s="11">
        <v>1992</v>
      </c>
      <c r="B25" s="11" t="s">
        <v>240</v>
      </c>
      <c r="C25" s="18">
        <v>35.799999999999997</v>
      </c>
      <c r="D25" s="18">
        <v>85.4</v>
      </c>
      <c r="E25" s="18">
        <v>116.3</v>
      </c>
      <c r="F25" s="18">
        <v>69.2</v>
      </c>
      <c r="G25" s="18">
        <v>22.4</v>
      </c>
      <c r="H25" s="18">
        <v>3.1</v>
      </c>
    </row>
    <row r="26" spans="1:8" x14ac:dyDescent="0.25">
      <c r="A26" s="11">
        <v>1992</v>
      </c>
      <c r="B26" s="11" t="s">
        <v>262</v>
      </c>
      <c r="C26" s="18">
        <v>30.6</v>
      </c>
      <c r="D26" s="18">
        <v>78.400000000000006</v>
      </c>
      <c r="E26" s="18">
        <v>121.2</v>
      </c>
      <c r="F26" s="18">
        <v>79.099999999999994</v>
      </c>
      <c r="G26" s="18">
        <v>23.3</v>
      </c>
      <c r="H26" s="18">
        <v>3.3</v>
      </c>
    </row>
    <row r="27" spans="1:8" x14ac:dyDescent="0.25">
      <c r="A27" s="11">
        <v>1992</v>
      </c>
      <c r="B27" s="11" t="s">
        <v>263</v>
      </c>
      <c r="C27" s="18">
        <v>27.4</v>
      </c>
      <c r="D27" s="18">
        <v>75.599999999999994</v>
      </c>
      <c r="E27" s="18">
        <v>120.4</v>
      </c>
      <c r="F27" s="18">
        <v>84.5</v>
      </c>
      <c r="G27" s="18">
        <v>27</v>
      </c>
      <c r="H27" s="18">
        <v>4.2</v>
      </c>
    </row>
    <row r="28" spans="1:8" x14ac:dyDescent="0.25">
      <c r="A28" s="11">
        <v>1992</v>
      </c>
      <c r="B28" s="11" t="s">
        <v>264</v>
      </c>
      <c r="C28" s="18">
        <v>38.299999999999997</v>
      </c>
      <c r="D28" s="18">
        <v>73.5</v>
      </c>
      <c r="E28" s="18">
        <v>104.5</v>
      </c>
      <c r="F28" s="18">
        <v>84.6</v>
      </c>
      <c r="G28" s="18">
        <v>30.6</v>
      </c>
      <c r="H28" s="18">
        <v>4.2</v>
      </c>
    </row>
    <row r="29" spans="1:8" x14ac:dyDescent="0.25">
      <c r="A29" s="11">
        <v>1992</v>
      </c>
      <c r="B29" s="11" t="s">
        <v>242</v>
      </c>
      <c r="C29" s="18">
        <v>30.3</v>
      </c>
      <c r="D29" s="18">
        <v>94.3</v>
      </c>
      <c r="E29" s="18">
        <v>131.6</v>
      </c>
      <c r="F29" s="18">
        <v>81.099999999999994</v>
      </c>
      <c r="G29" s="18">
        <v>33.200000000000003</v>
      </c>
      <c r="H29" s="18">
        <v>5.0999999999999996</v>
      </c>
    </row>
    <row r="30" spans="1:8" x14ac:dyDescent="0.25">
      <c r="A30" s="11">
        <v>1992</v>
      </c>
      <c r="B30" s="11" t="s">
        <v>265</v>
      </c>
      <c r="C30" s="18">
        <v>34</v>
      </c>
      <c r="D30" s="18">
        <v>79.5</v>
      </c>
      <c r="E30" s="18">
        <v>115</v>
      </c>
      <c r="F30" s="18">
        <v>79.7</v>
      </c>
      <c r="G30" s="18">
        <v>23.3</v>
      </c>
      <c r="H30" s="18">
        <v>3.5</v>
      </c>
    </row>
    <row r="31" spans="1:8" x14ac:dyDescent="0.25">
      <c r="A31" s="11">
        <v>1992</v>
      </c>
      <c r="B31" s="11" t="s">
        <v>266</v>
      </c>
      <c r="C31" s="18">
        <v>26.6</v>
      </c>
      <c r="D31" s="18">
        <v>62.2</v>
      </c>
      <c r="E31" s="18">
        <v>106.2</v>
      </c>
      <c r="F31" s="18">
        <v>85</v>
      </c>
      <c r="G31" s="18">
        <v>32.700000000000003</v>
      </c>
      <c r="H31" s="18">
        <v>4.5999999999999996</v>
      </c>
    </row>
    <row r="32" spans="1:8" x14ac:dyDescent="0.25">
      <c r="A32" s="11">
        <v>1992</v>
      </c>
      <c r="B32" s="11" t="s">
        <v>267</v>
      </c>
      <c r="C32" s="18">
        <v>25.5</v>
      </c>
      <c r="D32" s="18">
        <v>95.9</v>
      </c>
      <c r="E32" s="18">
        <v>133.9</v>
      </c>
      <c r="F32" s="18">
        <v>87</v>
      </c>
      <c r="G32" s="18">
        <v>27.4</v>
      </c>
      <c r="H32" s="18">
        <v>5.7</v>
      </c>
    </row>
    <row r="33" spans="1:8" x14ac:dyDescent="0.25">
      <c r="A33" s="11">
        <v>1992</v>
      </c>
      <c r="B33" s="11" t="s">
        <v>268</v>
      </c>
      <c r="C33" s="18">
        <v>27.9</v>
      </c>
      <c r="D33" s="18">
        <v>140.69999999999999</v>
      </c>
      <c r="E33" s="18">
        <v>125.2</v>
      </c>
      <c r="F33" s="18">
        <v>86.3</v>
      </c>
      <c r="G33" s="18">
        <v>38.200000000000003</v>
      </c>
      <c r="H33" s="18">
        <v>2.6</v>
      </c>
    </row>
    <row r="34" spans="1:8" x14ac:dyDescent="0.25">
      <c r="A34" s="11">
        <v>1992</v>
      </c>
      <c r="B34" s="11" t="s">
        <v>269</v>
      </c>
      <c r="C34" s="18">
        <v>34</v>
      </c>
      <c r="D34" s="18">
        <v>83.9</v>
      </c>
      <c r="E34" s="18">
        <v>117</v>
      </c>
      <c r="F34" s="18">
        <v>77.599999999999994</v>
      </c>
      <c r="G34" s="18">
        <v>26.9</v>
      </c>
      <c r="H34" s="18">
        <v>3.9</v>
      </c>
    </row>
    <row r="35" spans="1:8" x14ac:dyDescent="0.25">
      <c r="A35" s="11">
        <v>1992</v>
      </c>
      <c r="B35" s="11" t="s">
        <v>270</v>
      </c>
      <c r="C35" s="18">
        <v>36.4</v>
      </c>
      <c r="D35" s="18">
        <v>78.8</v>
      </c>
      <c r="E35" s="18">
        <v>121.5</v>
      </c>
      <c r="F35" s="18">
        <v>98.6</v>
      </c>
      <c r="G35" s="18">
        <v>33</v>
      </c>
      <c r="H35" s="18">
        <v>11.6</v>
      </c>
    </row>
    <row r="36" spans="1:8" x14ac:dyDescent="0.25">
      <c r="A36" s="11">
        <v>1993</v>
      </c>
      <c r="B36" s="11" t="s">
        <v>11</v>
      </c>
      <c r="C36" s="18">
        <v>31.2</v>
      </c>
      <c r="D36" s="18">
        <v>72.5</v>
      </c>
      <c r="E36" s="18">
        <v>110</v>
      </c>
      <c r="F36" s="18">
        <v>79.8</v>
      </c>
      <c r="G36" s="18">
        <v>28</v>
      </c>
      <c r="H36" s="18">
        <v>4.3</v>
      </c>
    </row>
    <row r="37" spans="1:8" x14ac:dyDescent="0.25">
      <c r="A37" s="11">
        <v>1993</v>
      </c>
      <c r="B37" s="11" t="s">
        <v>260</v>
      </c>
      <c r="C37" s="18">
        <v>38.9</v>
      </c>
      <c r="D37" s="18">
        <v>90.7</v>
      </c>
      <c r="E37" s="18">
        <v>111.8</v>
      </c>
      <c r="F37" s="18">
        <v>74.5</v>
      </c>
      <c r="G37" s="18">
        <v>24</v>
      </c>
      <c r="H37" s="18">
        <v>3.5</v>
      </c>
    </row>
    <row r="38" spans="1:8" x14ac:dyDescent="0.25">
      <c r="A38" s="11">
        <v>1993</v>
      </c>
      <c r="B38" s="11" t="s">
        <v>261</v>
      </c>
      <c r="C38" s="18">
        <v>17.3</v>
      </c>
      <c r="D38" s="18">
        <v>72.2</v>
      </c>
      <c r="E38" s="18">
        <v>122.1</v>
      </c>
      <c r="F38" s="18">
        <v>82.3</v>
      </c>
      <c r="G38" s="18">
        <v>27</v>
      </c>
      <c r="H38" s="18">
        <v>2.8</v>
      </c>
    </row>
    <row r="39" spans="1:8" x14ac:dyDescent="0.25">
      <c r="A39" s="11">
        <v>1993</v>
      </c>
      <c r="B39" s="11" t="s">
        <v>233</v>
      </c>
      <c r="C39" s="18">
        <v>35</v>
      </c>
      <c r="D39" s="18">
        <v>93.8</v>
      </c>
      <c r="E39" s="18">
        <v>119.6</v>
      </c>
      <c r="F39" s="18">
        <v>74.900000000000006</v>
      </c>
      <c r="G39" s="18">
        <v>21.7</v>
      </c>
      <c r="H39" s="18">
        <v>2.2000000000000002</v>
      </c>
    </row>
    <row r="40" spans="1:8" x14ac:dyDescent="0.25">
      <c r="A40" s="11">
        <v>1993</v>
      </c>
      <c r="B40" s="11" t="s">
        <v>240</v>
      </c>
      <c r="C40" s="18">
        <v>32</v>
      </c>
      <c r="D40" s="18">
        <v>81.900000000000006</v>
      </c>
      <c r="E40" s="18">
        <v>119.4</v>
      </c>
      <c r="F40" s="18">
        <v>71.5</v>
      </c>
      <c r="G40" s="18">
        <v>24.4</v>
      </c>
      <c r="H40" s="18">
        <v>3.3</v>
      </c>
    </row>
    <row r="41" spans="1:8" x14ac:dyDescent="0.25">
      <c r="A41" s="11">
        <v>1993</v>
      </c>
      <c r="B41" s="11" t="s">
        <v>262</v>
      </c>
      <c r="C41" s="18">
        <v>30.7</v>
      </c>
      <c r="D41" s="18">
        <v>73.900000000000006</v>
      </c>
      <c r="E41" s="18">
        <v>119.8</v>
      </c>
      <c r="F41" s="18">
        <v>75.3</v>
      </c>
      <c r="G41" s="18">
        <v>23.6</v>
      </c>
      <c r="H41" s="18">
        <v>3</v>
      </c>
    </row>
    <row r="42" spans="1:8" x14ac:dyDescent="0.25">
      <c r="A42" s="11">
        <v>1993</v>
      </c>
      <c r="B42" s="11" t="s">
        <v>263</v>
      </c>
      <c r="C42" s="18">
        <v>23</v>
      </c>
      <c r="D42" s="18">
        <v>69.7</v>
      </c>
      <c r="E42" s="18">
        <v>116.8</v>
      </c>
      <c r="F42" s="18">
        <v>81.900000000000006</v>
      </c>
      <c r="G42" s="18">
        <v>27.2</v>
      </c>
      <c r="H42" s="18">
        <v>4.7</v>
      </c>
    </row>
    <row r="43" spans="1:8" x14ac:dyDescent="0.25">
      <c r="A43" s="11">
        <v>1993</v>
      </c>
      <c r="B43" s="11" t="s">
        <v>264</v>
      </c>
      <c r="C43" s="18">
        <v>35.4</v>
      </c>
      <c r="D43" s="18">
        <v>67.400000000000006</v>
      </c>
      <c r="E43" s="18">
        <v>99.5</v>
      </c>
      <c r="F43" s="18">
        <v>82.9</v>
      </c>
      <c r="G43" s="18">
        <v>31.6</v>
      </c>
      <c r="H43" s="18">
        <v>4.5999999999999996</v>
      </c>
    </row>
    <row r="44" spans="1:8" x14ac:dyDescent="0.25">
      <c r="A44" s="11">
        <v>1993</v>
      </c>
      <c r="B44" s="11" t="s">
        <v>242</v>
      </c>
      <c r="C44" s="18">
        <v>29.7</v>
      </c>
      <c r="D44" s="18">
        <v>90</v>
      </c>
      <c r="E44" s="18">
        <v>116.2</v>
      </c>
      <c r="F44" s="18">
        <v>80.599999999999994</v>
      </c>
      <c r="G44" s="18">
        <v>31</v>
      </c>
      <c r="H44" s="18">
        <v>4.7</v>
      </c>
    </row>
    <row r="45" spans="1:8" x14ac:dyDescent="0.25">
      <c r="A45" s="11">
        <v>1993</v>
      </c>
      <c r="B45" s="11" t="s">
        <v>265</v>
      </c>
      <c r="C45" s="18">
        <v>30.2</v>
      </c>
      <c r="D45" s="18">
        <v>77.900000000000006</v>
      </c>
      <c r="E45" s="18">
        <v>117</v>
      </c>
      <c r="F45" s="18">
        <v>78</v>
      </c>
      <c r="G45" s="18">
        <v>24.8</v>
      </c>
      <c r="H45" s="18">
        <v>3.9</v>
      </c>
    </row>
    <row r="46" spans="1:8" x14ac:dyDescent="0.25">
      <c r="A46" s="11">
        <v>1993</v>
      </c>
      <c r="B46" s="11" t="s">
        <v>266</v>
      </c>
      <c r="C46" s="18">
        <v>27.8</v>
      </c>
      <c r="D46" s="18">
        <v>55.1</v>
      </c>
      <c r="E46" s="18">
        <v>99.1</v>
      </c>
      <c r="F46" s="18">
        <v>84.4</v>
      </c>
      <c r="G46" s="18">
        <v>32.200000000000003</v>
      </c>
      <c r="H46" s="18">
        <v>5.5</v>
      </c>
    </row>
    <row r="47" spans="1:8" x14ac:dyDescent="0.25">
      <c r="A47" s="11">
        <v>1993</v>
      </c>
      <c r="B47" s="11" t="s">
        <v>267</v>
      </c>
      <c r="C47" s="18">
        <v>24.2</v>
      </c>
      <c r="D47" s="18">
        <v>111.1</v>
      </c>
      <c r="E47" s="18">
        <v>135</v>
      </c>
      <c r="F47" s="18">
        <v>77.400000000000006</v>
      </c>
      <c r="G47" s="18">
        <v>23</v>
      </c>
      <c r="H47" s="18">
        <v>4.3</v>
      </c>
    </row>
    <row r="48" spans="1:8" x14ac:dyDescent="0.25">
      <c r="A48" s="11">
        <v>1993</v>
      </c>
      <c r="B48" s="11" t="s">
        <v>268</v>
      </c>
      <c r="C48" s="18">
        <v>25.5</v>
      </c>
      <c r="D48" s="18">
        <v>112.5</v>
      </c>
      <c r="E48" s="18">
        <v>139.1</v>
      </c>
      <c r="F48" s="18">
        <v>84.3</v>
      </c>
      <c r="G48" s="18">
        <v>35.200000000000003</v>
      </c>
      <c r="H48" s="18">
        <v>2.6</v>
      </c>
    </row>
    <row r="49" spans="1:8" x14ac:dyDescent="0.25">
      <c r="A49" s="11">
        <v>1993</v>
      </c>
      <c r="B49" s="11" t="s">
        <v>269</v>
      </c>
      <c r="C49" s="18">
        <v>35.700000000000003</v>
      </c>
      <c r="D49" s="18">
        <v>77.3</v>
      </c>
      <c r="E49" s="18">
        <v>118.8</v>
      </c>
      <c r="F49" s="18">
        <v>75.5</v>
      </c>
      <c r="G49" s="18">
        <v>25.3</v>
      </c>
      <c r="H49" s="18">
        <v>3.9</v>
      </c>
    </row>
    <row r="50" spans="1:8" x14ac:dyDescent="0.25">
      <c r="A50" s="11">
        <v>1993</v>
      </c>
      <c r="B50" s="11" t="s">
        <v>270</v>
      </c>
      <c r="C50" s="18">
        <v>18</v>
      </c>
      <c r="D50" s="18">
        <v>71.2</v>
      </c>
      <c r="E50" s="18">
        <v>103.7</v>
      </c>
      <c r="F50" s="18">
        <v>82</v>
      </c>
      <c r="G50" s="18">
        <v>32.4</v>
      </c>
      <c r="H50" s="18">
        <v>9.5</v>
      </c>
    </row>
    <row r="51" spans="1:8" x14ac:dyDescent="0.25">
      <c r="A51" s="11">
        <v>1994</v>
      </c>
      <c r="B51" s="11" t="s">
        <v>11</v>
      </c>
      <c r="C51" s="18">
        <v>28.5</v>
      </c>
      <c r="D51" s="18">
        <v>68.2</v>
      </c>
      <c r="E51" s="18">
        <v>106.5</v>
      </c>
      <c r="F51" s="18">
        <v>81.3</v>
      </c>
      <c r="G51" s="18">
        <v>28.8</v>
      </c>
      <c r="H51" s="18">
        <v>4.5</v>
      </c>
    </row>
    <row r="52" spans="1:8" x14ac:dyDescent="0.25">
      <c r="A52" s="11">
        <v>1994</v>
      </c>
      <c r="B52" s="11" t="s">
        <v>260</v>
      </c>
      <c r="C52" s="18">
        <v>30.4</v>
      </c>
      <c r="D52" s="18">
        <v>79.900000000000006</v>
      </c>
      <c r="E52" s="18">
        <v>111.5</v>
      </c>
      <c r="F52" s="18">
        <v>73</v>
      </c>
      <c r="G52" s="18">
        <v>26.3</v>
      </c>
      <c r="H52" s="18">
        <v>3.2</v>
      </c>
    </row>
    <row r="53" spans="1:8" x14ac:dyDescent="0.25">
      <c r="A53" s="11">
        <v>1994</v>
      </c>
      <c r="B53" s="11" t="s">
        <v>261</v>
      </c>
      <c r="C53" s="18">
        <v>23.9</v>
      </c>
      <c r="D53" s="18">
        <v>74.099999999999994</v>
      </c>
      <c r="E53" s="18">
        <v>116.6</v>
      </c>
      <c r="F53" s="18">
        <v>82.1</v>
      </c>
      <c r="G53" s="18">
        <v>26.7</v>
      </c>
      <c r="H53" s="18">
        <v>5.4</v>
      </c>
    </row>
    <row r="54" spans="1:8" x14ac:dyDescent="0.25">
      <c r="A54" s="11">
        <v>1994</v>
      </c>
      <c r="B54" s="11" t="s">
        <v>233</v>
      </c>
      <c r="C54" s="18">
        <v>35.700000000000003</v>
      </c>
      <c r="D54" s="18">
        <v>96.7</v>
      </c>
      <c r="E54" s="18">
        <v>118.9</v>
      </c>
      <c r="F54" s="18">
        <v>81.5</v>
      </c>
      <c r="G54" s="18">
        <v>23.7</v>
      </c>
      <c r="H54" s="18">
        <v>4.3</v>
      </c>
    </row>
    <row r="55" spans="1:8" x14ac:dyDescent="0.25">
      <c r="A55" s="11">
        <v>1994</v>
      </c>
      <c r="B55" s="11" t="s">
        <v>240</v>
      </c>
      <c r="C55" s="18">
        <v>29.5</v>
      </c>
      <c r="D55" s="18">
        <v>75.7</v>
      </c>
      <c r="E55" s="18">
        <v>117.6</v>
      </c>
      <c r="F55" s="18">
        <v>72.2</v>
      </c>
      <c r="G55" s="18">
        <v>22.6</v>
      </c>
      <c r="H55" s="18">
        <v>3.1</v>
      </c>
    </row>
    <row r="56" spans="1:8" x14ac:dyDescent="0.25">
      <c r="A56" s="11">
        <v>1994</v>
      </c>
      <c r="B56" s="11" t="s">
        <v>262</v>
      </c>
      <c r="C56" s="18">
        <v>30</v>
      </c>
      <c r="D56" s="18">
        <v>67.099999999999994</v>
      </c>
      <c r="E56" s="18">
        <v>108.3</v>
      </c>
      <c r="F56" s="18">
        <v>79.599999999999994</v>
      </c>
      <c r="G56" s="18">
        <v>27.4</v>
      </c>
      <c r="H56" s="18">
        <v>2.5</v>
      </c>
    </row>
    <row r="57" spans="1:8" x14ac:dyDescent="0.25">
      <c r="A57" s="11">
        <v>1994</v>
      </c>
      <c r="B57" s="11" t="s">
        <v>263</v>
      </c>
      <c r="C57" s="18">
        <v>22.1</v>
      </c>
      <c r="D57" s="18">
        <v>65.099999999999994</v>
      </c>
      <c r="E57" s="18">
        <v>116.7</v>
      </c>
      <c r="F57" s="18">
        <v>85.5</v>
      </c>
      <c r="G57" s="18">
        <v>26.8</v>
      </c>
      <c r="H57" s="18">
        <v>5.3</v>
      </c>
    </row>
    <row r="58" spans="1:8" x14ac:dyDescent="0.25">
      <c r="A58" s="11">
        <v>1994</v>
      </c>
      <c r="B58" s="11" t="s">
        <v>264</v>
      </c>
      <c r="C58" s="18">
        <v>32.299999999999997</v>
      </c>
      <c r="D58" s="18">
        <v>66</v>
      </c>
      <c r="E58" s="18">
        <v>96</v>
      </c>
      <c r="F58" s="18">
        <v>81.7</v>
      </c>
      <c r="G58" s="18">
        <v>31.3</v>
      </c>
      <c r="H58" s="18">
        <v>5</v>
      </c>
    </row>
    <row r="59" spans="1:8" x14ac:dyDescent="0.25">
      <c r="A59" s="11">
        <v>1994</v>
      </c>
      <c r="B59" s="11" t="s">
        <v>242</v>
      </c>
      <c r="C59" s="18">
        <v>25.4</v>
      </c>
      <c r="D59" s="18">
        <v>87.5</v>
      </c>
      <c r="E59" s="18">
        <v>117.6</v>
      </c>
      <c r="F59" s="18">
        <v>82.4</v>
      </c>
      <c r="G59" s="18">
        <v>32.799999999999997</v>
      </c>
      <c r="H59" s="18">
        <v>5.7</v>
      </c>
    </row>
    <row r="60" spans="1:8" x14ac:dyDescent="0.25">
      <c r="A60" s="11">
        <v>1994</v>
      </c>
      <c r="B60" s="11" t="s">
        <v>265</v>
      </c>
      <c r="C60" s="18">
        <v>29.2</v>
      </c>
      <c r="D60" s="18">
        <v>70</v>
      </c>
      <c r="E60" s="18">
        <v>113.1</v>
      </c>
      <c r="F60" s="18">
        <v>78.7</v>
      </c>
      <c r="G60" s="18">
        <v>25.3</v>
      </c>
      <c r="H60" s="18">
        <v>4.3</v>
      </c>
    </row>
    <row r="61" spans="1:8" x14ac:dyDescent="0.25">
      <c r="A61" s="11">
        <v>1994</v>
      </c>
      <c r="B61" s="11" t="s">
        <v>266</v>
      </c>
      <c r="C61" s="18">
        <v>25</v>
      </c>
      <c r="D61" s="18">
        <v>51.9</v>
      </c>
      <c r="E61" s="18">
        <v>96.1</v>
      </c>
      <c r="F61" s="18">
        <v>89</v>
      </c>
      <c r="G61" s="18">
        <v>34</v>
      </c>
      <c r="H61" s="18">
        <v>5.0999999999999996</v>
      </c>
    </row>
    <row r="62" spans="1:8" x14ac:dyDescent="0.25">
      <c r="A62" s="11">
        <v>1994</v>
      </c>
      <c r="B62" s="11" t="s">
        <v>267</v>
      </c>
      <c r="C62" s="18">
        <v>20</v>
      </c>
      <c r="D62" s="18">
        <v>94.1</v>
      </c>
      <c r="E62" s="18">
        <v>138.30000000000001</v>
      </c>
      <c r="F62" s="18">
        <v>91.7</v>
      </c>
      <c r="G62" s="18">
        <v>40.299999999999997</v>
      </c>
      <c r="H62" s="18">
        <v>7.3</v>
      </c>
    </row>
    <row r="63" spans="1:8" x14ac:dyDescent="0.25">
      <c r="A63" s="11">
        <v>1994</v>
      </c>
      <c r="B63" s="11" t="s">
        <v>268</v>
      </c>
      <c r="C63" s="18">
        <v>24.4</v>
      </c>
      <c r="D63" s="18">
        <v>92.8</v>
      </c>
      <c r="E63" s="18">
        <v>154.69999999999999</v>
      </c>
      <c r="F63" s="18">
        <v>98.5</v>
      </c>
      <c r="G63" s="18">
        <v>24.2</v>
      </c>
      <c r="H63" s="18">
        <v>5.2</v>
      </c>
    </row>
    <row r="64" spans="1:8" x14ac:dyDescent="0.25">
      <c r="A64" s="11">
        <v>1994</v>
      </c>
      <c r="B64" s="11" t="s">
        <v>269</v>
      </c>
      <c r="C64" s="18">
        <v>30.4</v>
      </c>
      <c r="D64" s="18">
        <v>72.8</v>
      </c>
      <c r="E64" s="18">
        <v>105.3</v>
      </c>
      <c r="F64" s="18">
        <v>76.3</v>
      </c>
      <c r="G64" s="18">
        <v>26.9</v>
      </c>
      <c r="H64" s="18">
        <v>3.9</v>
      </c>
    </row>
    <row r="65" spans="1:8" x14ac:dyDescent="0.25">
      <c r="A65" s="11">
        <v>1994</v>
      </c>
      <c r="B65" s="11" t="s">
        <v>270</v>
      </c>
      <c r="C65" s="18">
        <v>10.6</v>
      </c>
      <c r="D65" s="18">
        <v>88.8</v>
      </c>
      <c r="E65" s="18">
        <v>117.5</v>
      </c>
      <c r="F65" s="18">
        <v>78.3</v>
      </c>
      <c r="G65" s="18">
        <v>42.5</v>
      </c>
      <c r="H65" s="18">
        <v>5.4</v>
      </c>
    </row>
    <row r="66" spans="1:8" x14ac:dyDescent="0.25">
      <c r="A66" s="11">
        <v>1995</v>
      </c>
      <c r="B66" s="11" t="s">
        <v>11</v>
      </c>
      <c r="C66" s="18">
        <v>28.2</v>
      </c>
      <c r="D66" s="18">
        <v>66.599999999999994</v>
      </c>
      <c r="E66" s="18">
        <v>101.3</v>
      </c>
      <c r="F66" s="18">
        <v>80.599999999999994</v>
      </c>
      <c r="G66" s="18">
        <v>30.4</v>
      </c>
      <c r="H66" s="18">
        <v>4.9000000000000004</v>
      </c>
    </row>
    <row r="67" spans="1:8" x14ac:dyDescent="0.25">
      <c r="A67" s="11">
        <v>1995</v>
      </c>
      <c r="B67" s="11" t="s">
        <v>260</v>
      </c>
      <c r="C67" s="18">
        <v>33.4</v>
      </c>
      <c r="D67" s="18">
        <v>79.599999999999994</v>
      </c>
      <c r="E67" s="18">
        <v>106.1</v>
      </c>
      <c r="F67" s="18">
        <v>71.8</v>
      </c>
      <c r="G67" s="18">
        <v>25.3</v>
      </c>
      <c r="H67" s="18">
        <v>3.6</v>
      </c>
    </row>
    <row r="68" spans="1:8" x14ac:dyDescent="0.25">
      <c r="A68" s="11">
        <v>1995</v>
      </c>
      <c r="B68" s="11" t="s">
        <v>261</v>
      </c>
      <c r="C68" s="18">
        <v>25.4</v>
      </c>
      <c r="D68" s="18">
        <v>76.099999999999994</v>
      </c>
      <c r="E68" s="18">
        <v>114.4</v>
      </c>
      <c r="F68" s="18">
        <v>85.6</v>
      </c>
      <c r="G68" s="18">
        <v>29.2</v>
      </c>
      <c r="H68" s="18">
        <v>8.6</v>
      </c>
    </row>
    <row r="69" spans="1:8" x14ac:dyDescent="0.25">
      <c r="A69" s="11">
        <v>1995</v>
      </c>
      <c r="B69" s="11" t="s">
        <v>233</v>
      </c>
      <c r="C69" s="18">
        <v>27.4</v>
      </c>
      <c r="D69" s="18">
        <v>90.2</v>
      </c>
      <c r="E69" s="18">
        <v>118.3</v>
      </c>
      <c r="F69" s="18">
        <v>74.599999999999994</v>
      </c>
      <c r="G69" s="18">
        <v>26.3</v>
      </c>
      <c r="H69" s="18">
        <v>4.5</v>
      </c>
    </row>
    <row r="70" spans="1:8" x14ac:dyDescent="0.25">
      <c r="A70" s="11">
        <v>1995</v>
      </c>
      <c r="B70" s="11" t="s">
        <v>240</v>
      </c>
      <c r="C70" s="18">
        <v>27.8</v>
      </c>
      <c r="D70" s="18">
        <v>72.900000000000006</v>
      </c>
      <c r="E70" s="18">
        <v>113.5</v>
      </c>
      <c r="F70" s="18">
        <v>73.599999999999994</v>
      </c>
      <c r="G70" s="18">
        <v>26.2</v>
      </c>
      <c r="H70" s="18">
        <v>5.2</v>
      </c>
    </row>
    <row r="71" spans="1:8" x14ac:dyDescent="0.25">
      <c r="A71" s="11">
        <v>1995</v>
      </c>
      <c r="B71" s="11" t="s">
        <v>262</v>
      </c>
      <c r="C71" s="18">
        <v>25.4</v>
      </c>
      <c r="D71" s="18">
        <v>70.3</v>
      </c>
      <c r="E71" s="18">
        <v>104.2</v>
      </c>
      <c r="F71" s="18">
        <v>80.400000000000006</v>
      </c>
      <c r="G71" s="18">
        <v>28.3</v>
      </c>
      <c r="H71" s="18">
        <v>4.4000000000000004</v>
      </c>
    </row>
    <row r="72" spans="1:8" x14ac:dyDescent="0.25">
      <c r="A72" s="11">
        <v>1995</v>
      </c>
      <c r="B72" s="11" t="s">
        <v>263</v>
      </c>
      <c r="C72" s="18">
        <v>19.2</v>
      </c>
      <c r="D72" s="18">
        <v>57.8</v>
      </c>
      <c r="E72" s="18">
        <v>104.1</v>
      </c>
      <c r="F72" s="18">
        <v>84.1</v>
      </c>
      <c r="G72" s="18">
        <v>29.6</v>
      </c>
      <c r="H72" s="18">
        <v>5</v>
      </c>
    </row>
    <row r="73" spans="1:8" x14ac:dyDescent="0.25">
      <c r="A73" s="11">
        <v>1995</v>
      </c>
      <c r="B73" s="11" t="s">
        <v>264</v>
      </c>
      <c r="C73" s="18">
        <v>33.9</v>
      </c>
      <c r="D73" s="18">
        <v>65</v>
      </c>
      <c r="E73" s="18">
        <v>94.4</v>
      </c>
      <c r="F73" s="18">
        <v>80.900000000000006</v>
      </c>
      <c r="G73" s="18">
        <v>33.700000000000003</v>
      </c>
      <c r="H73" s="18">
        <v>5.5</v>
      </c>
    </row>
    <row r="74" spans="1:8" x14ac:dyDescent="0.25">
      <c r="A74" s="11">
        <v>1995</v>
      </c>
      <c r="B74" s="11" t="s">
        <v>242</v>
      </c>
      <c r="C74" s="18">
        <v>23.4</v>
      </c>
      <c r="D74" s="18">
        <v>83.4</v>
      </c>
      <c r="E74" s="18">
        <v>111</v>
      </c>
      <c r="F74" s="18">
        <v>87.6</v>
      </c>
      <c r="G74" s="18">
        <v>32.5</v>
      </c>
      <c r="H74" s="18">
        <v>6.5</v>
      </c>
    </row>
    <row r="75" spans="1:8" x14ac:dyDescent="0.25">
      <c r="A75" s="11">
        <v>1995</v>
      </c>
      <c r="B75" s="11" t="s">
        <v>265</v>
      </c>
      <c r="C75" s="18">
        <v>29.6</v>
      </c>
      <c r="D75" s="18">
        <v>70</v>
      </c>
      <c r="E75" s="18">
        <v>106.8</v>
      </c>
      <c r="F75" s="18">
        <v>76.7</v>
      </c>
      <c r="G75" s="18">
        <v>27.8</v>
      </c>
      <c r="H75" s="18">
        <v>3.7</v>
      </c>
    </row>
    <row r="76" spans="1:8" x14ac:dyDescent="0.25">
      <c r="A76" s="11">
        <v>1995</v>
      </c>
      <c r="B76" s="11" t="s">
        <v>266</v>
      </c>
      <c r="C76" s="18">
        <v>24.2</v>
      </c>
      <c r="D76" s="18">
        <v>51.6</v>
      </c>
      <c r="E76" s="18">
        <v>89.9</v>
      </c>
      <c r="F76" s="18">
        <v>87.2</v>
      </c>
      <c r="G76" s="18">
        <v>35.299999999999997</v>
      </c>
      <c r="H76" s="18">
        <v>5.0999999999999996</v>
      </c>
    </row>
    <row r="77" spans="1:8" x14ac:dyDescent="0.25">
      <c r="A77" s="11">
        <v>1995</v>
      </c>
      <c r="B77" s="11" t="s">
        <v>267</v>
      </c>
      <c r="C77" s="18">
        <v>34.700000000000003</v>
      </c>
      <c r="D77" s="18">
        <v>117.6</v>
      </c>
      <c r="E77" s="18">
        <v>138.30000000000001</v>
      </c>
      <c r="F77" s="18">
        <v>67.7</v>
      </c>
      <c r="G77" s="18">
        <v>21.4</v>
      </c>
      <c r="H77" s="18">
        <v>1.5</v>
      </c>
    </row>
    <row r="78" spans="1:8" x14ac:dyDescent="0.25">
      <c r="A78" s="11">
        <v>1995</v>
      </c>
      <c r="B78" s="11" t="s">
        <v>268</v>
      </c>
      <c r="C78" s="18">
        <v>20.3</v>
      </c>
      <c r="D78" s="18">
        <v>87.5</v>
      </c>
      <c r="E78" s="18">
        <v>124.7</v>
      </c>
      <c r="F78" s="18">
        <v>96.6</v>
      </c>
      <c r="G78" s="18">
        <v>30</v>
      </c>
      <c r="H78" s="18">
        <v>7.8</v>
      </c>
    </row>
    <row r="79" spans="1:8" x14ac:dyDescent="0.25">
      <c r="A79" s="11">
        <v>1995</v>
      </c>
      <c r="B79" s="11" t="s">
        <v>269</v>
      </c>
      <c r="C79" s="18">
        <v>32</v>
      </c>
      <c r="D79" s="18">
        <v>71</v>
      </c>
      <c r="E79" s="18">
        <v>101.5</v>
      </c>
      <c r="F79" s="18">
        <v>77.599999999999994</v>
      </c>
      <c r="G79" s="18">
        <v>26</v>
      </c>
      <c r="H79" s="18">
        <v>4</v>
      </c>
    </row>
    <row r="80" spans="1:8" x14ac:dyDescent="0.25">
      <c r="A80" s="11">
        <v>1995</v>
      </c>
      <c r="B80" s="11" t="s">
        <v>270</v>
      </c>
      <c r="C80" s="18">
        <v>15.8</v>
      </c>
      <c r="D80" s="18">
        <v>91.3</v>
      </c>
      <c r="E80" s="18">
        <v>98.3</v>
      </c>
      <c r="F80" s="18">
        <v>85.9</v>
      </c>
      <c r="G80" s="18">
        <v>47.7</v>
      </c>
      <c r="H80" s="18">
        <v>11.2</v>
      </c>
    </row>
    <row r="81" spans="1:8" x14ac:dyDescent="0.25">
      <c r="A81" s="11">
        <v>1996</v>
      </c>
      <c r="B81" s="11" t="s">
        <v>11</v>
      </c>
      <c r="C81" s="18">
        <v>29.7</v>
      </c>
      <c r="D81" s="18">
        <v>64.5</v>
      </c>
      <c r="E81" s="18">
        <v>98.5</v>
      </c>
      <c r="F81" s="18">
        <v>81.900000000000006</v>
      </c>
      <c r="G81" s="18">
        <v>31.4</v>
      </c>
      <c r="H81" s="18">
        <v>5.4</v>
      </c>
    </row>
    <row r="82" spans="1:8" x14ac:dyDescent="0.25">
      <c r="A82" s="11">
        <v>1996</v>
      </c>
      <c r="B82" s="11" t="s">
        <v>260</v>
      </c>
      <c r="C82" s="18">
        <v>35.4</v>
      </c>
      <c r="D82" s="18">
        <v>77.099999999999994</v>
      </c>
      <c r="E82" s="18">
        <v>103.1</v>
      </c>
      <c r="F82" s="18">
        <v>74.3</v>
      </c>
      <c r="G82" s="18">
        <v>26.5</v>
      </c>
      <c r="H82" s="18">
        <v>4.3</v>
      </c>
    </row>
    <row r="83" spans="1:8" x14ac:dyDescent="0.25">
      <c r="A83" s="11">
        <v>1996</v>
      </c>
      <c r="B83" s="11" t="s">
        <v>261</v>
      </c>
      <c r="C83" s="18">
        <v>18.600000000000001</v>
      </c>
      <c r="D83" s="18">
        <v>62.6</v>
      </c>
      <c r="E83" s="18">
        <v>116.2</v>
      </c>
      <c r="F83" s="18">
        <v>91.7</v>
      </c>
      <c r="G83" s="18">
        <v>32.6</v>
      </c>
      <c r="H83" s="18">
        <v>6.2</v>
      </c>
    </row>
    <row r="84" spans="1:8" x14ac:dyDescent="0.25">
      <c r="A84" s="11">
        <v>1996</v>
      </c>
      <c r="B84" s="11" t="s">
        <v>233</v>
      </c>
      <c r="C84" s="18">
        <v>29</v>
      </c>
      <c r="D84" s="18">
        <v>97.4</v>
      </c>
      <c r="E84" s="18">
        <v>110.2</v>
      </c>
      <c r="F84" s="18">
        <v>75.599999999999994</v>
      </c>
      <c r="G84" s="18">
        <v>29.9</v>
      </c>
      <c r="H84" s="18">
        <v>3.4</v>
      </c>
    </row>
    <row r="85" spans="1:8" x14ac:dyDescent="0.25">
      <c r="A85" s="11">
        <v>1996</v>
      </c>
      <c r="B85" s="11" t="s">
        <v>240</v>
      </c>
      <c r="C85" s="18">
        <v>30.6</v>
      </c>
      <c r="D85" s="18">
        <v>71.2</v>
      </c>
      <c r="E85" s="18">
        <v>102.4</v>
      </c>
      <c r="F85" s="18">
        <v>71.5</v>
      </c>
      <c r="G85" s="18">
        <v>27.6</v>
      </c>
      <c r="H85" s="18">
        <v>4.9000000000000004</v>
      </c>
    </row>
    <row r="86" spans="1:8" x14ac:dyDescent="0.25">
      <c r="A86" s="11">
        <v>1996</v>
      </c>
      <c r="B86" s="11" t="s">
        <v>262</v>
      </c>
      <c r="C86" s="18">
        <v>24.8</v>
      </c>
      <c r="D86" s="18">
        <v>66.099999999999994</v>
      </c>
      <c r="E86" s="18">
        <v>106.4</v>
      </c>
      <c r="F86" s="18">
        <v>83.5</v>
      </c>
      <c r="G86" s="18">
        <v>29.4</v>
      </c>
      <c r="H86" s="18">
        <v>4.5</v>
      </c>
    </row>
    <row r="87" spans="1:8" x14ac:dyDescent="0.25">
      <c r="A87" s="11">
        <v>1996</v>
      </c>
      <c r="B87" s="11" t="s">
        <v>263</v>
      </c>
      <c r="C87" s="18">
        <v>21.5</v>
      </c>
      <c r="D87" s="18">
        <v>57.6</v>
      </c>
      <c r="E87" s="18">
        <v>102</v>
      </c>
      <c r="F87" s="18">
        <v>82.7</v>
      </c>
      <c r="G87" s="18">
        <v>29.8</v>
      </c>
      <c r="H87" s="18">
        <v>4.8</v>
      </c>
    </row>
    <row r="88" spans="1:8" x14ac:dyDescent="0.25">
      <c r="A88" s="11">
        <v>1996</v>
      </c>
      <c r="B88" s="11" t="s">
        <v>264</v>
      </c>
      <c r="C88" s="18">
        <v>35.6</v>
      </c>
      <c r="D88" s="18">
        <v>62.4</v>
      </c>
      <c r="E88" s="18">
        <v>93</v>
      </c>
      <c r="F88" s="18">
        <v>82.4</v>
      </c>
      <c r="G88" s="18">
        <v>33.799999999999997</v>
      </c>
      <c r="H88" s="18">
        <v>6.9</v>
      </c>
    </row>
    <row r="89" spans="1:8" x14ac:dyDescent="0.25">
      <c r="A89" s="11">
        <v>1996</v>
      </c>
      <c r="B89" s="11" t="s">
        <v>242</v>
      </c>
      <c r="C89" s="18">
        <v>27.5</v>
      </c>
      <c r="D89" s="18">
        <v>80.5</v>
      </c>
      <c r="E89" s="18">
        <v>104.9</v>
      </c>
      <c r="F89" s="18">
        <v>84.2</v>
      </c>
      <c r="G89" s="18">
        <v>35.6</v>
      </c>
      <c r="H89" s="18">
        <v>4.9000000000000004</v>
      </c>
    </row>
    <row r="90" spans="1:8" x14ac:dyDescent="0.25">
      <c r="A90" s="11">
        <v>1996</v>
      </c>
      <c r="B90" s="11" t="s">
        <v>265</v>
      </c>
      <c r="C90" s="18">
        <v>30.4</v>
      </c>
      <c r="D90" s="18">
        <v>72.400000000000006</v>
      </c>
      <c r="E90" s="18">
        <v>104.1</v>
      </c>
      <c r="F90" s="18">
        <v>81.8</v>
      </c>
      <c r="G90" s="18">
        <v>28.2</v>
      </c>
      <c r="H90" s="18">
        <v>4</v>
      </c>
    </row>
    <row r="91" spans="1:8" x14ac:dyDescent="0.25">
      <c r="A91" s="11">
        <v>1996</v>
      </c>
      <c r="B91" s="11" t="s">
        <v>266</v>
      </c>
      <c r="C91" s="18">
        <v>27.1</v>
      </c>
      <c r="D91" s="18">
        <v>48</v>
      </c>
      <c r="E91" s="18">
        <v>86.8</v>
      </c>
      <c r="F91" s="18">
        <v>88.5</v>
      </c>
      <c r="G91" s="18">
        <v>35.5</v>
      </c>
      <c r="H91" s="18">
        <v>6.2</v>
      </c>
    </row>
    <row r="92" spans="1:8" x14ac:dyDescent="0.25">
      <c r="A92" s="11">
        <v>1996</v>
      </c>
      <c r="B92" s="11" t="s">
        <v>267</v>
      </c>
      <c r="C92" s="18">
        <v>19.100000000000001</v>
      </c>
      <c r="D92" s="18">
        <v>73.3</v>
      </c>
      <c r="E92" s="18">
        <v>126.9</v>
      </c>
      <c r="F92" s="18">
        <v>79.599999999999994</v>
      </c>
      <c r="G92" s="18">
        <v>38.299999999999997</v>
      </c>
      <c r="H92" s="18">
        <v>8.9</v>
      </c>
    </row>
    <row r="93" spans="1:8" x14ac:dyDescent="0.25">
      <c r="A93" s="11">
        <v>1996</v>
      </c>
      <c r="B93" s="11" t="s">
        <v>268</v>
      </c>
      <c r="C93" s="18">
        <v>12.5</v>
      </c>
      <c r="D93" s="18">
        <v>105.9</v>
      </c>
      <c r="E93" s="18">
        <v>96.2</v>
      </c>
      <c r="F93" s="18">
        <v>88.7</v>
      </c>
      <c r="G93" s="18">
        <v>38.4</v>
      </c>
      <c r="H93" s="18">
        <v>9</v>
      </c>
    </row>
    <row r="94" spans="1:8" x14ac:dyDescent="0.25">
      <c r="A94" s="11">
        <v>1996</v>
      </c>
      <c r="B94" s="11" t="s">
        <v>269</v>
      </c>
      <c r="C94" s="18">
        <v>31.8</v>
      </c>
      <c r="D94" s="18">
        <v>67.900000000000006</v>
      </c>
      <c r="E94" s="18">
        <v>102.2</v>
      </c>
      <c r="F94" s="18">
        <v>77.3</v>
      </c>
      <c r="G94" s="18">
        <v>28.8</v>
      </c>
      <c r="H94" s="18">
        <v>5</v>
      </c>
    </row>
    <row r="95" spans="1:8" x14ac:dyDescent="0.25">
      <c r="A95" s="11">
        <v>1996</v>
      </c>
      <c r="B95" s="11" t="s">
        <v>270</v>
      </c>
      <c r="C95" s="18">
        <v>16</v>
      </c>
      <c r="D95" s="18">
        <v>70.5</v>
      </c>
      <c r="E95" s="18">
        <v>97.1</v>
      </c>
      <c r="F95" s="18">
        <v>88.4</v>
      </c>
      <c r="G95" s="18">
        <v>37.5</v>
      </c>
      <c r="H95" s="18">
        <v>9.9</v>
      </c>
    </row>
    <row r="96" spans="1:8" x14ac:dyDescent="0.25">
      <c r="A96" s="11">
        <v>1997</v>
      </c>
      <c r="B96" s="11" t="s">
        <v>11</v>
      </c>
      <c r="C96" s="18">
        <v>31</v>
      </c>
      <c r="D96" s="18">
        <v>65.5</v>
      </c>
      <c r="E96" s="18">
        <v>97.4</v>
      </c>
      <c r="F96" s="18">
        <v>83.9</v>
      </c>
      <c r="G96" s="18">
        <v>34</v>
      </c>
      <c r="H96" s="18">
        <v>5.4</v>
      </c>
    </row>
    <row r="97" spans="1:8" x14ac:dyDescent="0.25">
      <c r="A97" s="11">
        <v>1997</v>
      </c>
      <c r="B97" s="11" t="s">
        <v>260</v>
      </c>
      <c r="C97" s="18">
        <v>37.799999999999997</v>
      </c>
      <c r="D97" s="18">
        <v>79.7</v>
      </c>
      <c r="E97" s="18">
        <v>102.2</v>
      </c>
      <c r="F97" s="18">
        <v>77.8</v>
      </c>
      <c r="G97" s="18">
        <v>27.7</v>
      </c>
      <c r="H97" s="18">
        <v>4</v>
      </c>
    </row>
    <row r="98" spans="1:8" x14ac:dyDescent="0.25">
      <c r="A98" s="11">
        <v>1997</v>
      </c>
      <c r="B98" s="11" t="s">
        <v>261</v>
      </c>
      <c r="C98" s="18">
        <v>24.6</v>
      </c>
      <c r="D98" s="18">
        <v>66.8</v>
      </c>
      <c r="E98" s="18">
        <v>107.7</v>
      </c>
      <c r="F98" s="18">
        <v>93.8</v>
      </c>
      <c r="G98" s="18">
        <v>36.1</v>
      </c>
      <c r="H98" s="18">
        <v>5.2</v>
      </c>
    </row>
    <row r="99" spans="1:8" x14ac:dyDescent="0.25">
      <c r="A99" s="11">
        <v>1997</v>
      </c>
      <c r="B99" s="11" t="s">
        <v>233</v>
      </c>
      <c r="C99" s="18">
        <v>34.200000000000003</v>
      </c>
      <c r="D99" s="18">
        <v>85.9</v>
      </c>
      <c r="E99" s="18">
        <v>112.9</v>
      </c>
      <c r="F99" s="18">
        <v>76.099999999999994</v>
      </c>
      <c r="G99" s="18">
        <v>28.8</v>
      </c>
      <c r="H99" s="18">
        <v>5</v>
      </c>
    </row>
    <row r="100" spans="1:8" x14ac:dyDescent="0.25">
      <c r="A100" s="11">
        <v>1997</v>
      </c>
      <c r="B100" s="11" t="s">
        <v>240</v>
      </c>
      <c r="C100" s="18">
        <v>33.5</v>
      </c>
      <c r="D100" s="18">
        <v>72.3</v>
      </c>
      <c r="E100" s="18">
        <v>104.6</v>
      </c>
      <c r="F100" s="18">
        <v>72.599999999999994</v>
      </c>
      <c r="G100" s="18">
        <v>28.2</v>
      </c>
      <c r="H100" s="18">
        <v>4.5</v>
      </c>
    </row>
    <row r="101" spans="1:8" x14ac:dyDescent="0.25">
      <c r="A101" s="11">
        <v>1997</v>
      </c>
      <c r="B101" s="11" t="s">
        <v>262</v>
      </c>
      <c r="C101" s="18">
        <v>28.4</v>
      </c>
      <c r="D101" s="18">
        <v>70.400000000000006</v>
      </c>
      <c r="E101" s="18">
        <v>99.2</v>
      </c>
      <c r="F101" s="18">
        <v>81.900000000000006</v>
      </c>
      <c r="G101" s="18">
        <v>33.299999999999997</v>
      </c>
      <c r="H101" s="18">
        <v>3.9</v>
      </c>
    </row>
    <row r="102" spans="1:8" x14ac:dyDescent="0.25">
      <c r="A102" s="11">
        <v>1997</v>
      </c>
      <c r="B102" s="11" t="s">
        <v>263</v>
      </c>
      <c r="C102" s="18">
        <v>22.9</v>
      </c>
      <c r="D102" s="18">
        <v>56.1</v>
      </c>
      <c r="E102" s="18">
        <v>104.1</v>
      </c>
      <c r="F102" s="18">
        <v>84.7</v>
      </c>
      <c r="G102" s="18">
        <v>31.9</v>
      </c>
      <c r="H102" s="18">
        <v>5.3</v>
      </c>
    </row>
    <row r="103" spans="1:8" x14ac:dyDescent="0.25">
      <c r="A103" s="11">
        <v>1997</v>
      </c>
      <c r="B103" s="11" t="s">
        <v>264</v>
      </c>
      <c r="C103" s="18">
        <v>34.5</v>
      </c>
      <c r="D103" s="18">
        <v>63</v>
      </c>
      <c r="E103" s="18">
        <v>91.7</v>
      </c>
      <c r="F103" s="18">
        <v>86.2</v>
      </c>
      <c r="G103" s="18">
        <v>36.700000000000003</v>
      </c>
      <c r="H103" s="18">
        <v>6.2</v>
      </c>
    </row>
    <row r="104" spans="1:8" x14ac:dyDescent="0.25">
      <c r="A104" s="11">
        <v>1997</v>
      </c>
      <c r="B104" s="11" t="s">
        <v>242</v>
      </c>
      <c r="C104" s="18">
        <v>27.6</v>
      </c>
      <c r="D104" s="18">
        <v>85.6</v>
      </c>
      <c r="E104" s="18">
        <v>107.3</v>
      </c>
      <c r="F104" s="18">
        <v>87.3</v>
      </c>
      <c r="G104" s="18">
        <v>38.4</v>
      </c>
      <c r="H104" s="18">
        <v>6.9</v>
      </c>
    </row>
    <row r="105" spans="1:8" x14ac:dyDescent="0.25">
      <c r="A105" s="11">
        <v>1997</v>
      </c>
      <c r="B105" s="11" t="s">
        <v>265</v>
      </c>
      <c r="C105" s="18">
        <v>32.299999999999997</v>
      </c>
      <c r="D105" s="18">
        <v>73.8</v>
      </c>
      <c r="E105" s="18">
        <v>100.9</v>
      </c>
      <c r="F105" s="18">
        <v>84.3</v>
      </c>
      <c r="G105" s="18">
        <v>31.5</v>
      </c>
      <c r="H105" s="18">
        <v>4.4000000000000004</v>
      </c>
    </row>
    <row r="106" spans="1:8" x14ac:dyDescent="0.25">
      <c r="A106" s="11">
        <v>1997</v>
      </c>
      <c r="B106" s="11" t="s">
        <v>266</v>
      </c>
      <c r="C106" s="18">
        <v>28.9</v>
      </c>
      <c r="D106" s="18">
        <v>49.7</v>
      </c>
      <c r="E106" s="18">
        <v>84.1</v>
      </c>
      <c r="F106" s="18">
        <v>88.4</v>
      </c>
      <c r="G106" s="18">
        <v>37.5</v>
      </c>
      <c r="H106" s="18">
        <v>6.9</v>
      </c>
    </row>
    <row r="107" spans="1:8" x14ac:dyDescent="0.25">
      <c r="A107" s="11">
        <v>1997</v>
      </c>
      <c r="B107" s="11" t="s">
        <v>267</v>
      </c>
      <c r="C107" s="18">
        <v>19.5</v>
      </c>
      <c r="D107" s="18">
        <v>105.9</v>
      </c>
      <c r="E107" s="18">
        <v>124</v>
      </c>
      <c r="F107" s="18">
        <v>81.3</v>
      </c>
      <c r="G107" s="18">
        <v>32.9</v>
      </c>
      <c r="H107" s="18">
        <v>13</v>
      </c>
    </row>
    <row r="108" spans="1:8" x14ac:dyDescent="0.25">
      <c r="A108" s="11">
        <v>1997</v>
      </c>
      <c r="B108" s="11" t="s">
        <v>268</v>
      </c>
      <c r="C108" s="18">
        <v>23.3</v>
      </c>
      <c r="D108" s="18">
        <v>60.6</v>
      </c>
      <c r="E108" s="18">
        <v>134.30000000000001</v>
      </c>
      <c r="F108" s="18">
        <v>101.3</v>
      </c>
      <c r="G108" s="18">
        <v>40.299999999999997</v>
      </c>
      <c r="H108" s="18">
        <v>3.8</v>
      </c>
    </row>
    <row r="109" spans="1:8" x14ac:dyDescent="0.25">
      <c r="A109" s="11">
        <v>1997</v>
      </c>
      <c r="B109" s="11" t="s">
        <v>269</v>
      </c>
      <c r="C109" s="18">
        <v>32.4</v>
      </c>
      <c r="D109" s="18">
        <v>71.099999999999994</v>
      </c>
      <c r="E109" s="18">
        <v>103</v>
      </c>
      <c r="F109" s="18">
        <v>78.900000000000006</v>
      </c>
      <c r="G109" s="18">
        <v>34</v>
      </c>
      <c r="H109" s="18">
        <v>4.0999999999999996</v>
      </c>
    </row>
    <row r="110" spans="1:8" x14ac:dyDescent="0.25">
      <c r="A110" s="11">
        <v>1997</v>
      </c>
      <c r="B110" s="11" t="s">
        <v>270</v>
      </c>
      <c r="C110" s="18">
        <v>17.2</v>
      </c>
      <c r="D110" s="18">
        <v>61.4</v>
      </c>
      <c r="E110" s="18">
        <v>83.3</v>
      </c>
      <c r="F110" s="18">
        <v>84.3</v>
      </c>
      <c r="G110" s="18">
        <v>48.1</v>
      </c>
      <c r="H110" s="18">
        <v>7.9</v>
      </c>
    </row>
    <row r="111" spans="1:8" x14ac:dyDescent="0.25">
      <c r="A111" s="11">
        <v>1998</v>
      </c>
      <c r="B111" s="11" t="s">
        <v>11</v>
      </c>
      <c r="C111" s="18">
        <v>30.6</v>
      </c>
      <c r="D111" s="18">
        <v>62.8</v>
      </c>
      <c r="E111" s="18">
        <v>94.3</v>
      </c>
      <c r="F111" s="18">
        <v>83.2</v>
      </c>
      <c r="G111" s="18">
        <v>34.1</v>
      </c>
      <c r="H111" s="18">
        <v>5.9</v>
      </c>
    </row>
    <row r="112" spans="1:8" x14ac:dyDescent="0.25">
      <c r="A112" s="11">
        <v>1998</v>
      </c>
      <c r="B112" s="11" t="s">
        <v>260</v>
      </c>
      <c r="C112" s="18">
        <v>37.5</v>
      </c>
      <c r="D112" s="18">
        <v>80.599999999999994</v>
      </c>
      <c r="E112" s="18">
        <v>104.9</v>
      </c>
      <c r="F112" s="18">
        <v>72.599999999999994</v>
      </c>
      <c r="G112" s="18">
        <v>28.5</v>
      </c>
      <c r="H112" s="18">
        <v>5</v>
      </c>
    </row>
    <row r="113" spans="1:8" x14ac:dyDescent="0.25">
      <c r="A113" s="11">
        <v>1998</v>
      </c>
      <c r="B113" s="11" t="s">
        <v>261</v>
      </c>
      <c r="C113" s="18">
        <v>20.3</v>
      </c>
      <c r="D113" s="18">
        <v>68.7</v>
      </c>
      <c r="E113" s="18">
        <v>97.2</v>
      </c>
      <c r="F113" s="18">
        <v>87.9</v>
      </c>
      <c r="G113" s="18">
        <v>31.3</v>
      </c>
      <c r="H113" s="18">
        <v>9.5</v>
      </c>
    </row>
    <row r="114" spans="1:8" x14ac:dyDescent="0.25">
      <c r="A114" s="11">
        <v>1998</v>
      </c>
      <c r="B114" s="11" t="s">
        <v>233</v>
      </c>
      <c r="C114" s="18">
        <v>33</v>
      </c>
      <c r="D114" s="18">
        <v>85.6</v>
      </c>
      <c r="E114" s="18">
        <v>103.4</v>
      </c>
      <c r="F114" s="18">
        <v>79.599999999999994</v>
      </c>
      <c r="G114" s="18">
        <v>31.4</v>
      </c>
      <c r="H114" s="18">
        <v>6.3</v>
      </c>
    </row>
    <row r="115" spans="1:8" x14ac:dyDescent="0.25">
      <c r="A115" s="11">
        <v>1998</v>
      </c>
      <c r="B115" s="11" t="s">
        <v>240</v>
      </c>
      <c r="C115" s="18">
        <v>33.299999999999997</v>
      </c>
      <c r="D115" s="18">
        <v>67.7</v>
      </c>
      <c r="E115" s="18">
        <v>110.4</v>
      </c>
      <c r="F115" s="18">
        <v>78.599999999999994</v>
      </c>
      <c r="G115" s="18">
        <v>27.6</v>
      </c>
      <c r="H115" s="18">
        <v>5.8</v>
      </c>
    </row>
    <row r="116" spans="1:8" x14ac:dyDescent="0.25">
      <c r="A116" s="11">
        <v>1998</v>
      </c>
      <c r="B116" s="11" t="s">
        <v>262</v>
      </c>
      <c r="C116" s="18">
        <v>33</v>
      </c>
      <c r="D116" s="18">
        <v>61.3</v>
      </c>
      <c r="E116" s="18">
        <v>101.6</v>
      </c>
      <c r="F116" s="18">
        <v>86.4</v>
      </c>
      <c r="G116" s="18">
        <v>31.5</v>
      </c>
      <c r="H116" s="18">
        <v>5</v>
      </c>
    </row>
    <row r="117" spans="1:8" x14ac:dyDescent="0.25">
      <c r="A117" s="11">
        <v>1998</v>
      </c>
      <c r="B117" s="11" t="s">
        <v>263</v>
      </c>
      <c r="C117" s="18">
        <v>24.3</v>
      </c>
      <c r="D117" s="18">
        <v>54.5</v>
      </c>
      <c r="E117" s="18">
        <v>101.7</v>
      </c>
      <c r="F117" s="18">
        <v>88.1</v>
      </c>
      <c r="G117" s="18">
        <v>33.700000000000003</v>
      </c>
      <c r="H117" s="18">
        <v>5.9</v>
      </c>
    </row>
    <row r="118" spans="1:8" x14ac:dyDescent="0.25">
      <c r="A118" s="11">
        <v>1998</v>
      </c>
      <c r="B118" s="11" t="s">
        <v>264</v>
      </c>
      <c r="C118" s="18">
        <v>33.5</v>
      </c>
      <c r="D118" s="18">
        <v>59.7</v>
      </c>
      <c r="E118" s="18">
        <v>85.3</v>
      </c>
      <c r="F118" s="18">
        <v>82.5</v>
      </c>
      <c r="G118" s="18">
        <v>36.700000000000003</v>
      </c>
      <c r="H118" s="18">
        <v>6.4</v>
      </c>
    </row>
    <row r="119" spans="1:8" x14ac:dyDescent="0.25">
      <c r="A119" s="11">
        <v>1998</v>
      </c>
      <c r="B119" s="11" t="s">
        <v>242</v>
      </c>
      <c r="C119" s="18">
        <v>29.3</v>
      </c>
      <c r="D119" s="18">
        <v>83.7</v>
      </c>
      <c r="E119" s="18">
        <v>108</v>
      </c>
      <c r="F119" s="18">
        <v>86.4</v>
      </c>
      <c r="G119" s="18">
        <v>36.799999999999997</v>
      </c>
      <c r="H119" s="18">
        <v>6.2</v>
      </c>
    </row>
    <row r="120" spans="1:8" x14ac:dyDescent="0.25">
      <c r="A120" s="11">
        <v>1998</v>
      </c>
      <c r="B120" s="11" t="s">
        <v>265</v>
      </c>
      <c r="C120" s="18">
        <v>29.3</v>
      </c>
      <c r="D120" s="18">
        <v>73</v>
      </c>
      <c r="E120" s="18">
        <v>101.7</v>
      </c>
      <c r="F120" s="18">
        <v>81.8</v>
      </c>
      <c r="G120" s="18">
        <v>31.2</v>
      </c>
      <c r="H120" s="18">
        <v>5.2</v>
      </c>
    </row>
    <row r="121" spans="1:8" x14ac:dyDescent="0.25">
      <c r="A121" s="11">
        <v>1998</v>
      </c>
      <c r="B121" s="11" t="s">
        <v>266</v>
      </c>
      <c r="C121" s="18">
        <v>26.8</v>
      </c>
      <c r="D121" s="18">
        <v>47.6</v>
      </c>
      <c r="E121" s="18">
        <v>77.8</v>
      </c>
      <c r="F121" s="18">
        <v>86.3</v>
      </c>
      <c r="G121" s="18">
        <v>40.6</v>
      </c>
      <c r="H121" s="18">
        <v>6.1</v>
      </c>
    </row>
    <row r="122" spans="1:8" x14ac:dyDescent="0.25">
      <c r="A122" s="11">
        <v>1998</v>
      </c>
      <c r="B122" s="11" t="s">
        <v>267</v>
      </c>
      <c r="C122" s="18">
        <v>31.1</v>
      </c>
      <c r="D122" s="18">
        <v>69.3</v>
      </c>
      <c r="E122" s="18">
        <v>116.6</v>
      </c>
      <c r="F122" s="18">
        <v>76.5</v>
      </c>
      <c r="G122" s="18">
        <v>34</v>
      </c>
      <c r="H122" s="18">
        <v>3</v>
      </c>
    </row>
    <row r="123" spans="1:8" x14ac:dyDescent="0.25">
      <c r="A123" s="11">
        <v>1998</v>
      </c>
      <c r="B123" s="11" t="s">
        <v>268</v>
      </c>
      <c r="C123" s="18">
        <v>37.799999999999997</v>
      </c>
      <c r="D123" s="18">
        <v>75.5</v>
      </c>
      <c r="E123" s="18">
        <v>98.1</v>
      </c>
      <c r="F123" s="18">
        <v>89.3</v>
      </c>
      <c r="G123" s="18">
        <v>41.2</v>
      </c>
      <c r="H123" s="18">
        <v>8.8000000000000007</v>
      </c>
    </row>
    <row r="124" spans="1:8" x14ac:dyDescent="0.25">
      <c r="A124" s="11">
        <v>1998</v>
      </c>
      <c r="B124" s="11" t="s">
        <v>269</v>
      </c>
      <c r="C124" s="18">
        <v>31.8</v>
      </c>
      <c r="D124" s="18">
        <v>66</v>
      </c>
      <c r="E124" s="18">
        <v>97.1</v>
      </c>
      <c r="F124" s="18">
        <v>83.4</v>
      </c>
      <c r="G124" s="18">
        <v>30.9</v>
      </c>
      <c r="H124" s="18">
        <v>5.7</v>
      </c>
    </row>
    <row r="125" spans="1:8" x14ac:dyDescent="0.25">
      <c r="A125" s="11">
        <v>1998</v>
      </c>
      <c r="B125" s="11" t="s">
        <v>270</v>
      </c>
      <c r="C125" s="18">
        <v>20.100000000000001</v>
      </c>
      <c r="D125" s="18">
        <v>74.3</v>
      </c>
      <c r="E125" s="18">
        <v>99.9</v>
      </c>
      <c r="F125" s="18">
        <v>102.3</v>
      </c>
      <c r="G125" s="18">
        <v>35.799999999999997</v>
      </c>
      <c r="H125" s="18">
        <v>10.3</v>
      </c>
    </row>
    <row r="126" spans="1:8" x14ac:dyDescent="0.25">
      <c r="A126" s="11">
        <v>1999</v>
      </c>
      <c r="B126" s="11" t="s">
        <v>11</v>
      </c>
      <c r="C126" s="18">
        <v>30.3</v>
      </c>
      <c r="D126" s="18">
        <v>61</v>
      </c>
      <c r="E126" s="18">
        <v>90.4</v>
      </c>
      <c r="F126" s="18">
        <v>82</v>
      </c>
      <c r="G126" s="18">
        <v>34.299999999999997</v>
      </c>
      <c r="H126" s="18">
        <v>6.1</v>
      </c>
    </row>
    <row r="127" spans="1:8" x14ac:dyDescent="0.25">
      <c r="A127" s="11">
        <v>1999</v>
      </c>
      <c r="B127" s="11" t="s">
        <v>260</v>
      </c>
      <c r="C127" s="18">
        <v>36.4</v>
      </c>
      <c r="D127" s="18">
        <v>71.8</v>
      </c>
      <c r="E127" s="18">
        <v>92</v>
      </c>
      <c r="F127" s="18">
        <v>74.3</v>
      </c>
      <c r="G127" s="18">
        <v>29.6</v>
      </c>
      <c r="H127" s="18">
        <v>4.7</v>
      </c>
    </row>
    <row r="128" spans="1:8" x14ac:dyDescent="0.25">
      <c r="A128" s="11">
        <v>1999</v>
      </c>
      <c r="B128" s="11" t="s">
        <v>261</v>
      </c>
      <c r="C128" s="18">
        <v>21</v>
      </c>
      <c r="D128" s="18">
        <v>60</v>
      </c>
      <c r="E128" s="18">
        <v>107.4</v>
      </c>
      <c r="F128" s="18">
        <v>97.5</v>
      </c>
      <c r="G128" s="18">
        <v>33.799999999999997</v>
      </c>
      <c r="H128" s="18">
        <v>6.4</v>
      </c>
    </row>
    <row r="129" spans="1:8" x14ac:dyDescent="0.25">
      <c r="A129" s="11">
        <v>1999</v>
      </c>
      <c r="B129" s="11" t="s">
        <v>233</v>
      </c>
      <c r="C129" s="18">
        <v>33.799999999999997</v>
      </c>
      <c r="D129" s="18">
        <v>77.2</v>
      </c>
      <c r="E129" s="18">
        <v>106</v>
      </c>
      <c r="F129" s="18">
        <v>74</v>
      </c>
      <c r="G129" s="18">
        <v>27.8</v>
      </c>
      <c r="H129" s="18">
        <v>5</v>
      </c>
    </row>
    <row r="130" spans="1:8" x14ac:dyDescent="0.25">
      <c r="A130" s="11">
        <v>1999</v>
      </c>
      <c r="B130" s="11" t="s">
        <v>240</v>
      </c>
      <c r="C130" s="18">
        <v>31</v>
      </c>
      <c r="D130" s="18">
        <v>67.900000000000006</v>
      </c>
      <c r="E130" s="18">
        <v>102.9</v>
      </c>
      <c r="F130" s="18">
        <v>76.3</v>
      </c>
      <c r="G130" s="18">
        <v>29.6</v>
      </c>
      <c r="H130" s="18">
        <v>4.9000000000000004</v>
      </c>
    </row>
    <row r="131" spans="1:8" x14ac:dyDescent="0.25">
      <c r="A131" s="11">
        <v>1999</v>
      </c>
      <c r="B131" s="11" t="s">
        <v>262</v>
      </c>
      <c r="C131" s="18">
        <v>30.2</v>
      </c>
      <c r="D131" s="18">
        <v>66</v>
      </c>
      <c r="E131" s="18">
        <v>94.6</v>
      </c>
      <c r="F131" s="18">
        <v>79.8</v>
      </c>
      <c r="G131" s="18">
        <v>34.1</v>
      </c>
      <c r="H131" s="18">
        <v>4.0999999999999996</v>
      </c>
    </row>
    <row r="132" spans="1:8" x14ac:dyDescent="0.25">
      <c r="A132" s="11">
        <v>1999</v>
      </c>
      <c r="B132" s="11" t="s">
        <v>263</v>
      </c>
      <c r="C132" s="18">
        <v>21.8</v>
      </c>
      <c r="D132" s="18">
        <v>55.1</v>
      </c>
      <c r="E132" s="18">
        <v>98</v>
      </c>
      <c r="F132" s="18">
        <v>87.8</v>
      </c>
      <c r="G132" s="18">
        <v>33.6</v>
      </c>
      <c r="H132" s="18">
        <v>6.9</v>
      </c>
    </row>
    <row r="133" spans="1:8" x14ac:dyDescent="0.25">
      <c r="A133" s="11">
        <v>1999</v>
      </c>
      <c r="B133" s="11" t="s">
        <v>264</v>
      </c>
      <c r="C133" s="18">
        <v>33</v>
      </c>
      <c r="D133" s="18">
        <v>56.9</v>
      </c>
      <c r="E133" s="18">
        <v>84.1</v>
      </c>
      <c r="F133" s="18">
        <v>80.900000000000006</v>
      </c>
      <c r="G133" s="18">
        <v>36</v>
      </c>
      <c r="H133" s="18">
        <v>6.6</v>
      </c>
    </row>
    <row r="134" spans="1:8" x14ac:dyDescent="0.25">
      <c r="A134" s="11">
        <v>1999</v>
      </c>
      <c r="B134" s="11" t="s">
        <v>242</v>
      </c>
      <c r="C134" s="18">
        <v>31.8</v>
      </c>
      <c r="D134" s="18">
        <v>80.099999999999994</v>
      </c>
      <c r="E134" s="18">
        <v>97.7</v>
      </c>
      <c r="F134" s="18">
        <v>81.3</v>
      </c>
      <c r="G134" s="18">
        <v>34.799999999999997</v>
      </c>
      <c r="H134" s="18">
        <v>8.1999999999999993</v>
      </c>
    </row>
    <row r="135" spans="1:8" x14ac:dyDescent="0.25">
      <c r="A135" s="11">
        <v>1999</v>
      </c>
      <c r="B135" s="11" t="s">
        <v>265</v>
      </c>
      <c r="C135" s="18">
        <v>30.4</v>
      </c>
      <c r="D135" s="18">
        <v>69.8</v>
      </c>
      <c r="E135" s="18">
        <v>99.6</v>
      </c>
      <c r="F135" s="18">
        <v>83.2</v>
      </c>
      <c r="G135" s="18">
        <v>31.6</v>
      </c>
      <c r="H135" s="18">
        <v>5.4</v>
      </c>
    </row>
    <row r="136" spans="1:8" x14ac:dyDescent="0.25">
      <c r="A136" s="11">
        <v>1999</v>
      </c>
      <c r="B136" s="11" t="s">
        <v>266</v>
      </c>
      <c r="C136" s="18">
        <v>28.7</v>
      </c>
      <c r="D136" s="18">
        <v>47.3</v>
      </c>
      <c r="E136" s="18">
        <v>74.099999999999994</v>
      </c>
      <c r="F136" s="18">
        <v>84.2</v>
      </c>
      <c r="G136" s="18">
        <v>42.2</v>
      </c>
      <c r="H136" s="18">
        <v>6.7</v>
      </c>
    </row>
    <row r="137" spans="1:8" x14ac:dyDescent="0.25">
      <c r="A137" s="11">
        <v>1999</v>
      </c>
      <c r="B137" s="11" t="s">
        <v>267</v>
      </c>
      <c r="C137" s="18">
        <v>23.1</v>
      </c>
      <c r="D137" s="18">
        <v>90.5</v>
      </c>
      <c r="E137" s="18">
        <v>103.9</v>
      </c>
      <c r="F137" s="18">
        <v>87.5</v>
      </c>
      <c r="G137" s="18">
        <v>24.1</v>
      </c>
      <c r="H137" s="18">
        <v>7.4</v>
      </c>
    </row>
    <row r="138" spans="1:8" x14ac:dyDescent="0.25">
      <c r="A138" s="11">
        <v>1999</v>
      </c>
      <c r="B138" s="11" t="s">
        <v>268</v>
      </c>
      <c r="C138" s="18">
        <v>18.100000000000001</v>
      </c>
      <c r="D138" s="18">
        <v>73.8</v>
      </c>
      <c r="E138" s="18">
        <v>138.19999999999999</v>
      </c>
      <c r="F138" s="18">
        <v>103.5</v>
      </c>
      <c r="G138" s="18">
        <v>37.799999999999997</v>
      </c>
      <c r="H138" s="18">
        <v>12.4</v>
      </c>
    </row>
    <row r="139" spans="1:8" x14ac:dyDescent="0.25">
      <c r="A139" s="11">
        <v>1999</v>
      </c>
      <c r="B139" s="11" t="s">
        <v>269</v>
      </c>
      <c r="C139" s="18">
        <v>31.9</v>
      </c>
      <c r="D139" s="18">
        <v>66.5</v>
      </c>
      <c r="E139" s="18">
        <v>89.5</v>
      </c>
      <c r="F139" s="18">
        <v>82.4</v>
      </c>
      <c r="G139" s="18">
        <v>28.7</v>
      </c>
      <c r="H139" s="18">
        <v>5.7</v>
      </c>
    </row>
    <row r="140" spans="1:8" x14ac:dyDescent="0.25">
      <c r="A140" s="11">
        <v>1999</v>
      </c>
      <c r="B140" s="11" t="s">
        <v>270</v>
      </c>
      <c r="C140" s="18">
        <v>18.8</v>
      </c>
      <c r="D140" s="18">
        <v>58.3</v>
      </c>
      <c r="E140" s="18">
        <v>122.7</v>
      </c>
      <c r="F140" s="18">
        <v>91.5</v>
      </c>
      <c r="G140" s="18">
        <v>40.299999999999997</v>
      </c>
      <c r="H140" s="18">
        <v>9</v>
      </c>
    </row>
    <row r="141" spans="1:8" x14ac:dyDescent="0.25">
      <c r="A141" s="11">
        <v>2000</v>
      </c>
      <c r="B141" s="11" t="s">
        <v>11</v>
      </c>
      <c r="C141" s="18">
        <v>29.3</v>
      </c>
      <c r="D141" s="18">
        <v>57.6</v>
      </c>
      <c r="E141" s="18">
        <v>86.5</v>
      </c>
      <c r="F141" s="18">
        <v>81.3</v>
      </c>
      <c r="G141" s="18">
        <v>35.6</v>
      </c>
      <c r="H141" s="18">
        <v>6.1</v>
      </c>
    </row>
    <row r="142" spans="1:8" x14ac:dyDescent="0.25">
      <c r="A142" s="11">
        <v>2000</v>
      </c>
      <c r="B142" s="11" t="s">
        <v>260</v>
      </c>
      <c r="C142" s="18">
        <v>32.1</v>
      </c>
      <c r="D142" s="18">
        <v>73.5</v>
      </c>
      <c r="E142" s="18">
        <v>98</v>
      </c>
      <c r="F142" s="18">
        <v>74</v>
      </c>
      <c r="G142" s="18">
        <v>29.9</v>
      </c>
      <c r="H142" s="18">
        <v>4.3</v>
      </c>
    </row>
    <row r="143" spans="1:8" x14ac:dyDescent="0.25">
      <c r="A143" s="11">
        <v>2000</v>
      </c>
      <c r="B143" s="11" t="s">
        <v>261</v>
      </c>
      <c r="C143" s="18">
        <v>21.7</v>
      </c>
      <c r="D143" s="18">
        <v>67.8</v>
      </c>
      <c r="E143" s="18">
        <v>103.9</v>
      </c>
      <c r="F143" s="18">
        <v>99</v>
      </c>
      <c r="G143" s="18">
        <v>39.5</v>
      </c>
      <c r="H143" s="18">
        <v>5.0999999999999996</v>
      </c>
    </row>
    <row r="144" spans="1:8" x14ac:dyDescent="0.25">
      <c r="A144" s="11">
        <v>2000</v>
      </c>
      <c r="B144" s="11" t="s">
        <v>233</v>
      </c>
      <c r="C144" s="18">
        <v>38</v>
      </c>
      <c r="D144" s="18">
        <v>75.3</v>
      </c>
      <c r="E144" s="18">
        <v>99.8</v>
      </c>
      <c r="F144" s="18">
        <v>76</v>
      </c>
      <c r="G144" s="18">
        <v>29.1</v>
      </c>
      <c r="H144" s="18">
        <v>5.6</v>
      </c>
    </row>
    <row r="145" spans="1:8" x14ac:dyDescent="0.25">
      <c r="A145" s="11">
        <v>2000</v>
      </c>
      <c r="B145" s="11" t="s">
        <v>240</v>
      </c>
      <c r="C145" s="18">
        <v>33.200000000000003</v>
      </c>
      <c r="D145" s="18">
        <v>67.7</v>
      </c>
      <c r="E145" s="18">
        <v>91.4</v>
      </c>
      <c r="F145" s="18">
        <v>75.099999999999994</v>
      </c>
      <c r="G145" s="18">
        <v>27.7</v>
      </c>
      <c r="H145" s="18">
        <v>4.5999999999999996</v>
      </c>
    </row>
    <row r="146" spans="1:8" x14ac:dyDescent="0.25">
      <c r="A146" s="11">
        <v>2000</v>
      </c>
      <c r="B146" s="11" t="s">
        <v>262</v>
      </c>
      <c r="C146" s="18">
        <v>28</v>
      </c>
      <c r="D146" s="18">
        <v>58.5</v>
      </c>
      <c r="E146" s="18">
        <v>90.3</v>
      </c>
      <c r="F146" s="18">
        <v>83.2</v>
      </c>
      <c r="G146" s="18">
        <v>32.5</v>
      </c>
      <c r="H146" s="18">
        <v>6.7</v>
      </c>
    </row>
    <row r="147" spans="1:8" x14ac:dyDescent="0.25">
      <c r="A147" s="11">
        <v>2000</v>
      </c>
      <c r="B147" s="11" t="s">
        <v>263</v>
      </c>
      <c r="C147" s="18">
        <v>22.1</v>
      </c>
      <c r="D147" s="18">
        <v>49.2</v>
      </c>
      <c r="E147" s="18">
        <v>91.3</v>
      </c>
      <c r="F147" s="18">
        <v>82.7</v>
      </c>
      <c r="G147" s="18">
        <v>34.6</v>
      </c>
      <c r="H147" s="18">
        <v>5.3</v>
      </c>
    </row>
    <row r="148" spans="1:8" x14ac:dyDescent="0.25">
      <c r="A148" s="11">
        <v>2000</v>
      </c>
      <c r="B148" s="11" t="s">
        <v>264</v>
      </c>
      <c r="C148" s="18">
        <v>31.9</v>
      </c>
      <c r="D148" s="18">
        <v>53.9</v>
      </c>
      <c r="E148" s="18">
        <v>79.099999999999994</v>
      </c>
      <c r="F148" s="18">
        <v>81.400000000000006</v>
      </c>
      <c r="G148" s="18">
        <v>38.200000000000003</v>
      </c>
      <c r="H148" s="18">
        <v>5.9</v>
      </c>
    </row>
    <row r="149" spans="1:8" x14ac:dyDescent="0.25">
      <c r="A149" s="11">
        <v>2000</v>
      </c>
      <c r="B149" s="11" t="s">
        <v>242</v>
      </c>
      <c r="C149" s="18">
        <v>27.6</v>
      </c>
      <c r="D149" s="18">
        <v>79.7</v>
      </c>
      <c r="E149" s="18">
        <v>97.6</v>
      </c>
      <c r="F149" s="18">
        <v>79.5</v>
      </c>
      <c r="G149" s="18">
        <v>38.700000000000003</v>
      </c>
      <c r="H149" s="18">
        <v>8.1</v>
      </c>
    </row>
    <row r="150" spans="1:8" x14ac:dyDescent="0.25">
      <c r="A150" s="11">
        <v>2000</v>
      </c>
      <c r="B150" s="11" t="s">
        <v>265</v>
      </c>
      <c r="C150" s="18">
        <v>28.9</v>
      </c>
      <c r="D150" s="18">
        <v>68.400000000000006</v>
      </c>
      <c r="E150" s="18">
        <v>98.9</v>
      </c>
      <c r="F150" s="18">
        <v>84.3</v>
      </c>
      <c r="G150" s="18">
        <v>31.4</v>
      </c>
      <c r="H150" s="18">
        <v>4.7</v>
      </c>
    </row>
    <row r="151" spans="1:8" x14ac:dyDescent="0.25">
      <c r="A151" s="11">
        <v>2000</v>
      </c>
      <c r="B151" s="11" t="s">
        <v>266</v>
      </c>
      <c r="C151" s="18">
        <v>27.9</v>
      </c>
      <c r="D151" s="18">
        <v>41.8</v>
      </c>
      <c r="E151" s="18">
        <v>69.7</v>
      </c>
      <c r="F151" s="18">
        <v>84.4</v>
      </c>
      <c r="G151" s="18">
        <v>42.9</v>
      </c>
      <c r="H151" s="18">
        <v>8.6</v>
      </c>
    </row>
    <row r="152" spans="1:8" x14ac:dyDescent="0.25">
      <c r="A152" s="11">
        <v>2000</v>
      </c>
      <c r="B152" s="11" t="s">
        <v>267</v>
      </c>
      <c r="C152" s="18">
        <v>11</v>
      </c>
      <c r="D152" s="18">
        <v>53.2</v>
      </c>
      <c r="E152" s="18">
        <v>92.4</v>
      </c>
      <c r="F152" s="18">
        <v>69.7</v>
      </c>
      <c r="G152" s="18">
        <v>30.9</v>
      </c>
      <c r="H152" s="18">
        <v>8.5</v>
      </c>
    </row>
    <row r="153" spans="1:8" x14ac:dyDescent="0.25">
      <c r="A153" s="11">
        <v>2000</v>
      </c>
      <c r="B153" s="11" t="s">
        <v>268</v>
      </c>
      <c r="C153" s="18">
        <v>24.9</v>
      </c>
      <c r="D153" s="18">
        <v>63.1</v>
      </c>
      <c r="E153" s="18">
        <v>109.2</v>
      </c>
      <c r="F153" s="18">
        <v>68.099999999999994</v>
      </c>
      <c r="G153" s="18">
        <v>43.4</v>
      </c>
      <c r="H153" s="18">
        <v>10.3</v>
      </c>
    </row>
    <row r="154" spans="1:8" x14ac:dyDescent="0.25">
      <c r="A154" s="11">
        <v>2000</v>
      </c>
      <c r="B154" s="11" t="s">
        <v>269</v>
      </c>
      <c r="C154" s="18">
        <v>30.6</v>
      </c>
      <c r="D154" s="18">
        <v>62.9</v>
      </c>
      <c r="E154" s="18">
        <v>88.9</v>
      </c>
      <c r="F154" s="18">
        <v>78.400000000000006</v>
      </c>
      <c r="G154" s="18">
        <v>33.799999999999997</v>
      </c>
      <c r="H154" s="18">
        <v>6.3</v>
      </c>
    </row>
    <row r="155" spans="1:8" x14ac:dyDescent="0.25">
      <c r="A155" s="11">
        <v>2000</v>
      </c>
      <c r="B155" s="11" t="s">
        <v>270</v>
      </c>
      <c r="C155" s="18">
        <v>14.8</v>
      </c>
      <c r="D155" s="18">
        <v>52.4</v>
      </c>
      <c r="E155" s="18">
        <v>106</v>
      </c>
      <c r="F155" s="18">
        <v>76.8</v>
      </c>
      <c r="G155" s="18">
        <v>41.5</v>
      </c>
      <c r="H155" s="18">
        <v>11.4</v>
      </c>
    </row>
    <row r="156" spans="1:8" x14ac:dyDescent="0.25">
      <c r="A156" s="11">
        <v>2001</v>
      </c>
      <c r="B156" s="11" t="s">
        <v>11</v>
      </c>
      <c r="C156" s="18">
        <v>28.4</v>
      </c>
      <c r="D156" s="18">
        <v>57.8</v>
      </c>
      <c r="E156" s="18">
        <v>85.1</v>
      </c>
      <c r="F156" s="18">
        <v>82.2</v>
      </c>
      <c r="G156" s="18">
        <v>36.9</v>
      </c>
      <c r="H156" s="18">
        <v>6.5</v>
      </c>
    </row>
    <row r="157" spans="1:8" x14ac:dyDescent="0.25">
      <c r="A157" s="11">
        <v>2001</v>
      </c>
      <c r="B157" s="11" t="s">
        <v>260</v>
      </c>
      <c r="C157" s="18">
        <v>33.200000000000003</v>
      </c>
      <c r="D157" s="18">
        <v>76.3</v>
      </c>
      <c r="E157" s="18">
        <v>91.4</v>
      </c>
      <c r="F157" s="18">
        <v>78.900000000000006</v>
      </c>
      <c r="G157" s="18">
        <v>32</v>
      </c>
      <c r="H157" s="18">
        <v>5</v>
      </c>
    </row>
    <row r="158" spans="1:8" x14ac:dyDescent="0.25">
      <c r="A158" s="11">
        <v>2001</v>
      </c>
      <c r="B158" s="11" t="s">
        <v>261</v>
      </c>
      <c r="C158" s="18">
        <v>25.7</v>
      </c>
      <c r="D158" s="18">
        <v>65.2</v>
      </c>
      <c r="E158" s="18">
        <v>95.2</v>
      </c>
      <c r="F158" s="18">
        <v>100.3</v>
      </c>
      <c r="G158" s="18">
        <v>42.4</v>
      </c>
      <c r="H158" s="18">
        <v>9</v>
      </c>
    </row>
    <row r="159" spans="1:8" x14ac:dyDescent="0.25">
      <c r="A159" s="11">
        <v>2001</v>
      </c>
      <c r="B159" s="11" t="s">
        <v>233</v>
      </c>
      <c r="C159" s="18">
        <v>36.5</v>
      </c>
      <c r="D159" s="18">
        <v>77.2</v>
      </c>
      <c r="E159" s="18">
        <v>95.7</v>
      </c>
      <c r="F159" s="18">
        <v>72.5</v>
      </c>
      <c r="G159" s="18">
        <v>25.8</v>
      </c>
      <c r="H159" s="18">
        <v>6.2</v>
      </c>
    </row>
    <row r="160" spans="1:8" x14ac:dyDescent="0.25">
      <c r="A160" s="11">
        <v>2001</v>
      </c>
      <c r="B160" s="11" t="s">
        <v>240</v>
      </c>
      <c r="C160" s="18">
        <v>31.8</v>
      </c>
      <c r="D160" s="18">
        <v>71.400000000000006</v>
      </c>
      <c r="E160" s="18">
        <v>96.4</v>
      </c>
      <c r="F160" s="18">
        <v>79.400000000000006</v>
      </c>
      <c r="G160" s="18">
        <v>31</v>
      </c>
      <c r="H160" s="18">
        <v>5.3</v>
      </c>
    </row>
    <row r="161" spans="1:8" x14ac:dyDescent="0.25">
      <c r="A161" s="11">
        <v>2001</v>
      </c>
      <c r="B161" s="11" t="s">
        <v>262</v>
      </c>
      <c r="C161" s="18">
        <v>25.4</v>
      </c>
      <c r="D161" s="18">
        <v>56.4</v>
      </c>
      <c r="E161" s="18">
        <v>91.4</v>
      </c>
      <c r="F161" s="18">
        <v>77.900000000000006</v>
      </c>
      <c r="G161" s="18">
        <v>36.1</v>
      </c>
      <c r="H161" s="18">
        <v>5.7</v>
      </c>
    </row>
    <row r="162" spans="1:8" x14ac:dyDescent="0.25">
      <c r="A162" s="11">
        <v>2001</v>
      </c>
      <c r="B162" s="11" t="s">
        <v>263</v>
      </c>
      <c r="C162" s="18">
        <v>19</v>
      </c>
      <c r="D162" s="18">
        <v>48.9</v>
      </c>
      <c r="E162" s="18">
        <v>90.7</v>
      </c>
      <c r="F162" s="18">
        <v>82.9</v>
      </c>
      <c r="G162" s="18">
        <v>37.299999999999997</v>
      </c>
      <c r="H162" s="18">
        <v>5.7</v>
      </c>
    </row>
    <row r="163" spans="1:8" x14ac:dyDescent="0.25">
      <c r="A163" s="11">
        <v>2001</v>
      </c>
      <c r="B163" s="11" t="s">
        <v>264</v>
      </c>
      <c r="C163" s="18">
        <v>29.7</v>
      </c>
      <c r="D163" s="18">
        <v>54.1</v>
      </c>
      <c r="E163" s="18">
        <v>77.099999999999994</v>
      </c>
      <c r="F163" s="18">
        <v>81.900000000000006</v>
      </c>
      <c r="G163" s="18">
        <v>39.5</v>
      </c>
      <c r="H163" s="18">
        <v>6.9</v>
      </c>
    </row>
    <row r="164" spans="1:8" x14ac:dyDescent="0.25">
      <c r="A164" s="11">
        <v>2001</v>
      </c>
      <c r="B164" s="11" t="s">
        <v>242</v>
      </c>
      <c r="C164" s="18">
        <v>28.6</v>
      </c>
      <c r="D164" s="18">
        <v>77.2</v>
      </c>
      <c r="E164" s="18">
        <v>98.3</v>
      </c>
      <c r="F164" s="18">
        <v>85.3</v>
      </c>
      <c r="G164" s="18">
        <v>36.6</v>
      </c>
      <c r="H164" s="18">
        <v>8.4</v>
      </c>
    </row>
    <row r="165" spans="1:8" x14ac:dyDescent="0.25">
      <c r="A165" s="11">
        <v>2001</v>
      </c>
      <c r="B165" s="11" t="s">
        <v>265</v>
      </c>
      <c r="C165" s="18">
        <v>30.5</v>
      </c>
      <c r="D165" s="18">
        <v>67.599999999999994</v>
      </c>
      <c r="E165" s="18">
        <v>90.7</v>
      </c>
      <c r="F165" s="18">
        <v>85.2</v>
      </c>
      <c r="G165" s="18">
        <v>33.1</v>
      </c>
      <c r="H165" s="18">
        <v>5.4</v>
      </c>
    </row>
    <row r="166" spans="1:8" x14ac:dyDescent="0.25">
      <c r="A166" s="11">
        <v>2001</v>
      </c>
      <c r="B166" s="11" t="s">
        <v>266</v>
      </c>
      <c r="C166" s="18">
        <v>26.9</v>
      </c>
      <c r="D166" s="18">
        <v>42.2</v>
      </c>
      <c r="E166" s="18">
        <v>69.8</v>
      </c>
      <c r="F166" s="18">
        <v>81.099999999999994</v>
      </c>
      <c r="G166" s="18">
        <v>43.3</v>
      </c>
      <c r="H166" s="18">
        <v>7.9</v>
      </c>
    </row>
    <row r="167" spans="1:8" x14ac:dyDescent="0.25">
      <c r="A167" s="11">
        <v>2001</v>
      </c>
      <c r="B167" s="11" t="s">
        <v>267</v>
      </c>
      <c r="C167" s="18">
        <v>11</v>
      </c>
      <c r="D167" s="18">
        <v>58</v>
      </c>
      <c r="E167" s="18">
        <v>100.8</v>
      </c>
      <c r="F167" s="18">
        <v>98.2</v>
      </c>
      <c r="G167" s="18">
        <v>34.799999999999997</v>
      </c>
      <c r="H167" s="18">
        <v>7.1</v>
      </c>
    </row>
    <row r="168" spans="1:8" x14ac:dyDescent="0.25">
      <c r="A168" s="11">
        <v>2001</v>
      </c>
      <c r="B168" s="11" t="s">
        <v>268</v>
      </c>
      <c r="C168" s="18">
        <v>29.5</v>
      </c>
      <c r="D168" s="18">
        <v>92.1</v>
      </c>
      <c r="E168" s="18">
        <v>97.5</v>
      </c>
      <c r="F168" s="18">
        <v>96.5</v>
      </c>
      <c r="G168" s="18">
        <v>43.9</v>
      </c>
      <c r="H168" s="18">
        <v>5.0999999999999996</v>
      </c>
    </row>
    <row r="169" spans="1:8" x14ac:dyDescent="0.25">
      <c r="A169" s="11">
        <v>2001</v>
      </c>
      <c r="B169" s="11" t="s">
        <v>269</v>
      </c>
      <c r="C169" s="18">
        <v>30.5</v>
      </c>
      <c r="D169" s="18">
        <v>62.1</v>
      </c>
      <c r="E169" s="18">
        <v>96.7</v>
      </c>
      <c r="F169" s="18">
        <v>83.1</v>
      </c>
      <c r="G169" s="18">
        <v>34.6</v>
      </c>
      <c r="H169" s="18">
        <v>6.4</v>
      </c>
    </row>
    <row r="170" spans="1:8" x14ac:dyDescent="0.25">
      <c r="A170" s="11">
        <v>2001</v>
      </c>
      <c r="B170" s="11" t="s">
        <v>270</v>
      </c>
      <c r="C170" s="18">
        <v>12.9</v>
      </c>
      <c r="D170" s="18">
        <v>70.7</v>
      </c>
      <c r="E170" s="18">
        <v>87.4</v>
      </c>
      <c r="F170" s="18">
        <v>96.8</v>
      </c>
      <c r="G170" s="18">
        <v>37.4</v>
      </c>
      <c r="H170" s="18">
        <v>8</v>
      </c>
    </row>
    <row r="171" spans="1:8" x14ac:dyDescent="0.25">
      <c r="A171" s="11">
        <v>2002</v>
      </c>
      <c r="B171" s="11" t="s">
        <v>11</v>
      </c>
      <c r="C171" s="18">
        <v>26.7</v>
      </c>
      <c r="D171" s="18">
        <v>57.3</v>
      </c>
      <c r="E171" s="18">
        <v>82.6</v>
      </c>
      <c r="F171" s="18">
        <v>83.3</v>
      </c>
      <c r="G171" s="18">
        <v>37</v>
      </c>
      <c r="H171" s="18">
        <v>6.6</v>
      </c>
    </row>
    <row r="172" spans="1:8" x14ac:dyDescent="0.25">
      <c r="A172" s="11">
        <v>2002</v>
      </c>
      <c r="B172" s="11" t="s">
        <v>260</v>
      </c>
      <c r="C172" s="18">
        <v>31.8</v>
      </c>
      <c r="D172" s="18">
        <v>73.400000000000006</v>
      </c>
      <c r="E172" s="18">
        <v>91.5</v>
      </c>
      <c r="F172" s="18">
        <v>74.900000000000006</v>
      </c>
      <c r="G172" s="18">
        <v>31.2</v>
      </c>
      <c r="H172" s="18">
        <v>4.8</v>
      </c>
    </row>
    <row r="173" spans="1:8" x14ac:dyDescent="0.25">
      <c r="A173" s="11">
        <v>2002</v>
      </c>
      <c r="B173" s="11" t="s">
        <v>261</v>
      </c>
      <c r="C173" s="18">
        <v>19.2</v>
      </c>
      <c r="D173" s="18">
        <v>67.3</v>
      </c>
      <c r="E173" s="18">
        <v>94.6</v>
      </c>
      <c r="F173" s="18">
        <v>96.6</v>
      </c>
      <c r="G173" s="18">
        <v>42.6</v>
      </c>
      <c r="H173" s="18">
        <v>9.1</v>
      </c>
    </row>
    <row r="174" spans="1:8" x14ac:dyDescent="0.25">
      <c r="A174" s="11">
        <v>2002</v>
      </c>
      <c r="B174" s="11" t="s">
        <v>233</v>
      </c>
      <c r="C174" s="18">
        <v>28.9</v>
      </c>
      <c r="D174" s="18">
        <v>89.3</v>
      </c>
      <c r="E174" s="18">
        <v>96.7</v>
      </c>
      <c r="F174" s="18">
        <v>84.4</v>
      </c>
      <c r="G174" s="18">
        <v>32.700000000000003</v>
      </c>
      <c r="H174" s="18">
        <v>4.4000000000000004</v>
      </c>
    </row>
    <row r="175" spans="1:8" x14ac:dyDescent="0.25">
      <c r="A175" s="11">
        <v>2002</v>
      </c>
      <c r="B175" s="11" t="s">
        <v>240</v>
      </c>
      <c r="C175" s="18">
        <v>29.4</v>
      </c>
      <c r="D175" s="18">
        <v>65.5</v>
      </c>
      <c r="E175" s="18">
        <v>92.7</v>
      </c>
      <c r="F175" s="18">
        <v>78.3</v>
      </c>
      <c r="G175" s="18">
        <v>34.799999999999997</v>
      </c>
      <c r="H175" s="18">
        <v>6.2</v>
      </c>
    </row>
    <row r="176" spans="1:8" x14ac:dyDescent="0.25">
      <c r="A176" s="11">
        <v>2002</v>
      </c>
      <c r="B176" s="11" t="s">
        <v>262</v>
      </c>
      <c r="C176" s="18">
        <v>27.3</v>
      </c>
      <c r="D176" s="18">
        <v>56.2</v>
      </c>
      <c r="E176" s="18">
        <v>88.9</v>
      </c>
      <c r="F176" s="18">
        <v>81</v>
      </c>
      <c r="G176" s="18">
        <v>35.4</v>
      </c>
      <c r="H176" s="18">
        <v>6.7</v>
      </c>
    </row>
    <row r="177" spans="1:8" x14ac:dyDescent="0.25">
      <c r="A177" s="11">
        <v>2002</v>
      </c>
      <c r="B177" s="11" t="s">
        <v>263</v>
      </c>
      <c r="C177" s="18">
        <v>21.3</v>
      </c>
      <c r="D177" s="18">
        <v>51.2</v>
      </c>
      <c r="E177" s="18">
        <v>91.2</v>
      </c>
      <c r="F177" s="18">
        <v>87.6</v>
      </c>
      <c r="G177" s="18">
        <v>36.6</v>
      </c>
      <c r="H177" s="18">
        <v>5.9</v>
      </c>
    </row>
    <row r="178" spans="1:8" x14ac:dyDescent="0.25">
      <c r="A178" s="11">
        <v>2002</v>
      </c>
      <c r="B178" s="11" t="s">
        <v>264</v>
      </c>
      <c r="C178" s="18">
        <v>27.7</v>
      </c>
      <c r="D178" s="18">
        <v>53.7</v>
      </c>
      <c r="E178" s="18">
        <v>73.2</v>
      </c>
      <c r="F178" s="18">
        <v>82.3</v>
      </c>
      <c r="G178" s="18">
        <v>38.700000000000003</v>
      </c>
      <c r="H178" s="18">
        <v>7.5</v>
      </c>
    </row>
    <row r="179" spans="1:8" x14ac:dyDescent="0.25">
      <c r="A179" s="11">
        <v>2002</v>
      </c>
      <c r="B179" s="11" t="s">
        <v>242</v>
      </c>
      <c r="C179" s="18">
        <v>26.6</v>
      </c>
      <c r="D179" s="18">
        <v>77.099999999999994</v>
      </c>
      <c r="E179" s="18">
        <v>93.6</v>
      </c>
      <c r="F179" s="18">
        <v>78.099999999999994</v>
      </c>
      <c r="G179" s="18">
        <v>39.6</v>
      </c>
      <c r="H179" s="18">
        <v>7.6</v>
      </c>
    </row>
    <row r="180" spans="1:8" x14ac:dyDescent="0.25">
      <c r="A180" s="11">
        <v>2002</v>
      </c>
      <c r="B180" s="11" t="s">
        <v>265</v>
      </c>
      <c r="C180" s="18">
        <v>26.9</v>
      </c>
      <c r="D180" s="18">
        <v>68.2</v>
      </c>
      <c r="E180" s="18">
        <v>92.8</v>
      </c>
      <c r="F180" s="18">
        <v>87.7</v>
      </c>
      <c r="G180" s="18">
        <v>32</v>
      </c>
      <c r="H180" s="18">
        <v>4.9000000000000004</v>
      </c>
    </row>
    <row r="181" spans="1:8" x14ac:dyDescent="0.25">
      <c r="A181" s="11">
        <v>2002</v>
      </c>
      <c r="B181" s="11" t="s">
        <v>266</v>
      </c>
      <c r="C181" s="18">
        <v>25.3</v>
      </c>
      <c r="D181" s="18">
        <v>41.5</v>
      </c>
      <c r="E181" s="18">
        <v>65.8</v>
      </c>
      <c r="F181" s="18">
        <v>84.7</v>
      </c>
      <c r="G181" s="18">
        <v>43.1</v>
      </c>
      <c r="H181" s="18">
        <v>8.4</v>
      </c>
    </row>
    <row r="182" spans="1:8" x14ac:dyDescent="0.25">
      <c r="A182" s="11">
        <v>2002</v>
      </c>
      <c r="B182" s="11" t="s">
        <v>267</v>
      </c>
      <c r="C182" s="18">
        <v>20.8</v>
      </c>
      <c r="D182" s="18">
        <v>92.8</v>
      </c>
      <c r="E182" s="18">
        <v>90.7</v>
      </c>
      <c r="F182" s="18">
        <v>79.599999999999994</v>
      </c>
      <c r="G182" s="18">
        <v>28</v>
      </c>
      <c r="H182" s="18">
        <v>7.1</v>
      </c>
    </row>
    <row r="183" spans="1:8" x14ac:dyDescent="0.25">
      <c r="A183" s="11">
        <v>2002</v>
      </c>
      <c r="B183" s="11" t="s">
        <v>268</v>
      </c>
      <c r="C183" s="18">
        <v>17.7</v>
      </c>
      <c r="D183" s="18">
        <v>79.5</v>
      </c>
      <c r="E183" s="18">
        <v>88.2</v>
      </c>
      <c r="F183" s="18">
        <v>73.099999999999994</v>
      </c>
      <c r="G183" s="18">
        <v>39.799999999999997</v>
      </c>
      <c r="H183" s="18">
        <v>12.5</v>
      </c>
    </row>
    <row r="184" spans="1:8" x14ac:dyDescent="0.25">
      <c r="A184" s="11">
        <v>2002</v>
      </c>
      <c r="B184" s="11" t="s">
        <v>269</v>
      </c>
      <c r="C184" s="18">
        <v>28.5</v>
      </c>
      <c r="D184" s="18">
        <v>59.2</v>
      </c>
      <c r="E184" s="18">
        <v>91</v>
      </c>
      <c r="F184" s="18">
        <v>81.5</v>
      </c>
      <c r="G184" s="18">
        <v>35.5</v>
      </c>
      <c r="H184" s="18">
        <v>5.7</v>
      </c>
    </row>
    <row r="185" spans="1:8" x14ac:dyDescent="0.25">
      <c r="A185" s="11">
        <v>2002</v>
      </c>
      <c r="B185" s="11" t="s">
        <v>270</v>
      </c>
      <c r="C185" s="18">
        <v>17.3</v>
      </c>
      <c r="D185" s="18">
        <v>66.5</v>
      </c>
      <c r="E185" s="18">
        <v>97.7</v>
      </c>
      <c r="F185" s="18">
        <v>116.8</v>
      </c>
      <c r="G185" s="18">
        <v>33.700000000000003</v>
      </c>
      <c r="H185" s="18">
        <v>5.6</v>
      </c>
    </row>
    <row r="186" spans="1:8" x14ac:dyDescent="0.25">
      <c r="A186" s="11">
        <v>2003</v>
      </c>
      <c r="B186" s="11" t="s">
        <v>11</v>
      </c>
      <c r="C186" s="18">
        <v>26.3</v>
      </c>
      <c r="D186" s="18">
        <v>58.6</v>
      </c>
      <c r="E186" s="18">
        <v>85.3</v>
      </c>
      <c r="F186" s="18">
        <v>86.5</v>
      </c>
      <c r="G186" s="18">
        <v>40.1</v>
      </c>
      <c r="H186" s="18">
        <v>7.3</v>
      </c>
    </row>
    <row r="187" spans="1:8" x14ac:dyDescent="0.25">
      <c r="A187" s="11">
        <v>2003</v>
      </c>
      <c r="B187" s="11" t="s">
        <v>260</v>
      </c>
      <c r="C187" s="18">
        <v>29</v>
      </c>
      <c r="D187" s="18">
        <v>77.5</v>
      </c>
      <c r="E187" s="18">
        <v>99.9</v>
      </c>
      <c r="F187" s="18">
        <v>78.900000000000006</v>
      </c>
      <c r="G187" s="18">
        <v>33.299999999999997</v>
      </c>
      <c r="H187" s="18">
        <v>4.8</v>
      </c>
    </row>
    <row r="188" spans="1:8" x14ac:dyDescent="0.25">
      <c r="A188" s="11">
        <v>2003</v>
      </c>
      <c r="B188" s="11" t="s">
        <v>261</v>
      </c>
      <c r="C188" s="18">
        <v>24.1</v>
      </c>
      <c r="D188" s="18">
        <v>68.7</v>
      </c>
      <c r="E188" s="18">
        <v>97.8</v>
      </c>
      <c r="F188" s="18">
        <v>90.7</v>
      </c>
      <c r="G188" s="18">
        <v>53.3</v>
      </c>
      <c r="H188" s="18">
        <v>8.8000000000000007</v>
      </c>
    </row>
    <row r="189" spans="1:8" x14ac:dyDescent="0.25">
      <c r="A189" s="11">
        <v>2003</v>
      </c>
      <c r="B189" s="11" t="s">
        <v>233</v>
      </c>
      <c r="C189" s="18">
        <v>26.6</v>
      </c>
      <c r="D189" s="18">
        <v>90.8</v>
      </c>
      <c r="E189" s="18">
        <v>99.2</v>
      </c>
      <c r="F189" s="18">
        <v>80.7</v>
      </c>
      <c r="G189" s="18">
        <v>32.799999999999997</v>
      </c>
      <c r="H189" s="18">
        <v>4.5</v>
      </c>
    </row>
    <row r="190" spans="1:8" x14ac:dyDescent="0.25">
      <c r="A190" s="11">
        <v>2003</v>
      </c>
      <c r="B190" s="11" t="s">
        <v>240</v>
      </c>
      <c r="C190" s="18">
        <v>29</v>
      </c>
      <c r="D190" s="18">
        <v>67</v>
      </c>
      <c r="E190" s="18">
        <v>98.1</v>
      </c>
      <c r="F190" s="18">
        <v>85.1</v>
      </c>
      <c r="G190" s="18">
        <v>34.799999999999997</v>
      </c>
      <c r="H190" s="18">
        <v>5.4</v>
      </c>
    </row>
    <row r="191" spans="1:8" x14ac:dyDescent="0.25">
      <c r="A191" s="11">
        <v>2003</v>
      </c>
      <c r="B191" s="11" t="s">
        <v>262</v>
      </c>
      <c r="C191" s="18">
        <v>24</v>
      </c>
      <c r="D191" s="18">
        <v>59.1</v>
      </c>
      <c r="E191" s="18">
        <v>91.3</v>
      </c>
      <c r="F191" s="18">
        <v>88.8</v>
      </c>
      <c r="G191" s="18">
        <v>39.299999999999997</v>
      </c>
      <c r="H191" s="18">
        <v>5.7</v>
      </c>
    </row>
    <row r="192" spans="1:8" x14ac:dyDescent="0.25">
      <c r="A192" s="11">
        <v>2003</v>
      </c>
      <c r="B192" s="11" t="s">
        <v>263</v>
      </c>
      <c r="C192" s="18">
        <v>21.3</v>
      </c>
      <c r="D192" s="18">
        <v>49.9</v>
      </c>
      <c r="E192" s="18">
        <v>89.9</v>
      </c>
      <c r="F192" s="18">
        <v>88.8</v>
      </c>
      <c r="G192" s="18">
        <v>35</v>
      </c>
      <c r="H192" s="18">
        <v>7</v>
      </c>
    </row>
    <row r="193" spans="1:8" x14ac:dyDescent="0.25">
      <c r="A193" s="11">
        <v>2003</v>
      </c>
      <c r="B193" s="11" t="s">
        <v>264</v>
      </c>
      <c r="C193" s="18">
        <v>27.7</v>
      </c>
      <c r="D193" s="18">
        <v>54.9</v>
      </c>
      <c r="E193" s="18">
        <v>77</v>
      </c>
      <c r="F193" s="18">
        <v>82.7</v>
      </c>
      <c r="G193" s="18">
        <v>43.9</v>
      </c>
      <c r="H193" s="18">
        <v>7.6</v>
      </c>
    </row>
    <row r="194" spans="1:8" x14ac:dyDescent="0.25">
      <c r="A194" s="11">
        <v>2003</v>
      </c>
      <c r="B194" s="11" t="s">
        <v>242</v>
      </c>
      <c r="C194" s="18">
        <v>24.5</v>
      </c>
      <c r="D194" s="18">
        <v>81.099999999999994</v>
      </c>
      <c r="E194" s="18">
        <v>96.3</v>
      </c>
      <c r="F194" s="18">
        <v>84.3</v>
      </c>
      <c r="G194" s="18">
        <v>41.5</v>
      </c>
      <c r="H194" s="18">
        <v>8.1</v>
      </c>
    </row>
    <row r="195" spans="1:8" x14ac:dyDescent="0.25">
      <c r="A195" s="11">
        <v>2003</v>
      </c>
      <c r="B195" s="11" t="s">
        <v>265</v>
      </c>
      <c r="C195" s="18">
        <v>28.1</v>
      </c>
      <c r="D195" s="18">
        <v>65.400000000000006</v>
      </c>
      <c r="E195" s="18">
        <v>91</v>
      </c>
      <c r="F195" s="18">
        <v>91.7</v>
      </c>
      <c r="G195" s="18">
        <v>36.299999999999997</v>
      </c>
      <c r="H195" s="18">
        <v>6.6</v>
      </c>
    </row>
    <row r="196" spans="1:8" x14ac:dyDescent="0.25">
      <c r="A196" s="11">
        <v>2003</v>
      </c>
      <c r="B196" s="11" t="s">
        <v>266</v>
      </c>
      <c r="C196" s="18">
        <v>25.3</v>
      </c>
      <c r="D196" s="18">
        <v>42.3</v>
      </c>
      <c r="E196" s="18">
        <v>67.7</v>
      </c>
      <c r="F196" s="18">
        <v>89.3</v>
      </c>
      <c r="G196" s="18">
        <v>45.7</v>
      </c>
      <c r="H196" s="18">
        <v>9.9</v>
      </c>
    </row>
    <row r="197" spans="1:8" x14ac:dyDescent="0.25">
      <c r="A197" s="11">
        <v>2003</v>
      </c>
      <c r="B197" s="11" t="s">
        <v>267</v>
      </c>
      <c r="C197" s="18">
        <v>20.9</v>
      </c>
      <c r="D197" s="18">
        <v>68.099999999999994</v>
      </c>
      <c r="E197" s="18">
        <v>109.9</v>
      </c>
      <c r="F197" s="18">
        <v>81.2</v>
      </c>
      <c r="G197" s="18">
        <v>35.6</v>
      </c>
      <c r="H197" s="18">
        <v>8.1999999999999993</v>
      </c>
    </row>
    <row r="198" spans="1:8" x14ac:dyDescent="0.25">
      <c r="A198" s="11">
        <v>2003</v>
      </c>
      <c r="B198" s="11" t="s">
        <v>268</v>
      </c>
      <c r="C198" s="18">
        <v>16</v>
      </c>
      <c r="D198" s="18">
        <v>80</v>
      </c>
      <c r="E198" s="18">
        <v>107.2</v>
      </c>
      <c r="F198" s="18">
        <v>100.5</v>
      </c>
      <c r="G198" s="18">
        <v>53.6</v>
      </c>
      <c r="H198" s="18">
        <v>14.9</v>
      </c>
    </row>
    <row r="199" spans="1:8" x14ac:dyDescent="0.25">
      <c r="A199" s="11">
        <v>2003</v>
      </c>
      <c r="B199" s="11" t="s">
        <v>269</v>
      </c>
      <c r="C199" s="18">
        <v>28.1</v>
      </c>
      <c r="D199" s="18">
        <v>67.099999999999994</v>
      </c>
      <c r="E199" s="18">
        <v>97.7</v>
      </c>
      <c r="F199" s="18">
        <v>87.7</v>
      </c>
      <c r="G199" s="18">
        <v>36.9</v>
      </c>
      <c r="H199" s="18">
        <v>7</v>
      </c>
    </row>
    <row r="200" spans="1:8" x14ac:dyDescent="0.25">
      <c r="A200" s="11">
        <v>2003</v>
      </c>
      <c r="B200" s="11" t="s">
        <v>270</v>
      </c>
      <c r="C200" s="18">
        <v>12</v>
      </c>
      <c r="D200" s="18">
        <v>66.5</v>
      </c>
      <c r="E200" s="18">
        <v>101.4</v>
      </c>
      <c r="F200" s="18">
        <v>90.1</v>
      </c>
      <c r="G200" s="18">
        <v>72.900000000000006</v>
      </c>
      <c r="H200" s="18">
        <v>13</v>
      </c>
    </row>
    <row r="201" spans="1:8" x14ac:dyDescent="0.25">
      <c r="A201" s="11">
        <v>2004</v>
      </c>
      <c r="B201" s="11" t="s">
        <v>11</v>
      </c>
      <c r="C201" s="18">
        <v>26.3</v>
      </c>
      <c r="D201" s="18">
        <v>60</v>
      </c>
      <c r="E201" s="18">
        <v>87.8</v>
      </c>
      <c r="F201" s="18">
        <v>90</v>
      </c>
      <c r="G201" s="18">
        <v>43.4</v>
      </c>
      <c r="H201" s="18">
        <v>8.1999999999999993</v>
      </c>
    </row>
    <row r="202" spans="1:8" x14ac:dyDescent="0.25">
      <c r="A202" s="11">
        <v>2004</v>
      </c>
      <c r="B202" s="11" t="s">
        <v>260</v>
      </c>
      <c r="C202" s="18">
        <v>31.3</v>
      </c>
      <c r="D202" s="18">
        <v>79.900000000000006</v>
      </c>
      <c r="E202" s="18">
        <v>97.6</v>
      </c>
      <c r="F202" s="18">
        <v>81.3</v>
      </c>
      <c r="G202" s="18">
        <v>37.4</v>
      </c>
      <c r="H202" s="18">
        <v>6.4</v>
      </c>
    </row>
    <row r="203" spans="1:8" x14ac:dyDescent="0.25">
      <c r="A203" s="11">
        <v>2004</v>
      </c>
      <c r="B203" s="11" t="s">
        <v>261</v>
      </c>
      <c r="C203" s="18">
        <v>19.8</v>
      </c>
      <c r="D203" s="18">
        <v>64</v>
      </c>
      <c r="E203" s="18">
        <v>102.3</v>
      </c>
      <c r="F203" s="18">
        <v>107.6</v>
      </c>
      <c r="G203" s="18">
        <v>43.7</v>
      </c>
      <c r="H203" s="18">
        <v>12.2</v>
      </c>
    </row>
    <row r="204" spans="1:8" x14ac:dyDescent="0.25">
      <c r="A204" s="11">
        <v>2004</v>
      </c>
      <c r="B204" s="11" t="s">
        <v>233</v>
      </c>
      <c r="C204" s="18">
        <v>29.6</v>
      </c>
      <c r="D204" s="18">
        <v>94.7</v>
      </c>
      <c r="E204" s="18">
        <v>114.8</v>
      </c>
      <c r="F204" s="18">
        <v>87.1</v>
      </c>
      <c r="G204" s="18">
        <v>39.200000000000003</v>
      </c>
      <c r="H204" s="18">
        <v>6.4</v>
      </c>
    </row>
    <row r="205" spans="1:8" x14ac:dyDescent="0.25">
      <c r="A205" s="11">
        <v>2004</v>
      </c>
      <c r="B205" s="11" t="s">
        <v>240</v>
      </c>
      <c r="C205" s="18">
        <v>30</v>
      </c>
      <c r="D205" s="18">
        <v>67.900000000000006</v>
      </c>
      <c r="E205" s="18">
        <v>102</v>
      </c>
      <c r="F205" s="18">
        <v>86</v>
      </c>
      <c r="G205" s="18">
        <v>37.6</v>
      </c>
      <c r="H205" s="18">
        <v>5.8</v>
      </c>
    </row>
    <row r="206" spans="1:8" x14ac:dyDescent="0.25">
      <c r="A206" s="11">
        <v>2004</v>
      </c>
      <c r="B206" s="11" t="s">
        <v>262</v>
      </c>
      <c r="C206" s="18">
        <v>27.2</v>
      </c>
      <c r="D206" s="18">
        <v>60.4</v>
      </c>
      <c r="E206" s="18">
        <v>95.8</v>
      </c>
      <c r="F206" s="18">
        <v>101.1</v>
      </c>
      <c r="G206" s="18">
        <v>43</v>
      </c>
      <c r="H206" s="18">
        <v>6.8</v>
      </c>
    </row>
    <row r="207" spans="1:8" x14ac:dyDescent="0.25">
      <c r="A207" s="11">
        <v>2004</v>
      </c>
      <c r="B207" s="11" t="s">
        <v>263</v>
      </c>
      <c r="C207" s="18">
        <v>17.3</v>
      </c>
      <c r="D207" s="18">
        <v>50.8</v>
      </c>
      <c r="E207" s="18">
        <v>91.9</v>
      </c>
      <c r="F207" s="18">
        <v>91.8</v>
      </c>
      <c r="G207" s="18">
        <v>41.3</v>
      </c>
      <c r="H207" s="18">
        <v>7.2</v>
      </c>
    </row>
    <row r="208" spans="1:8" x14ac:dyDescent="0.25">
      <c r="A208" s="11">
        <v>2004</v>
      </c>
      <c r="B208" s="11" t="s">
        <v>264</v>
      </c>
      <c r="C208" s="18">
        <v>27.3</v>
      </c>
      <c r="D208" s="18">
        <v>56.3</v>
      </c>
      <c r="E208" s="18">
        <v>80.099999999999994</v>
      </c>
      <c r="F208" s="18">
        <v>85.4</v>
      </c>
      <c r="G208" s="18">
        <v>46.2</v>
      </c>
      <c r="H208" s="18">
        <v>8.9</v>
      </c>
    </row>
    <row r="209" spans="1:8" x14ac:dyDescent="0.25">
      <c r="A209" s="11">
        <v>2004</v>
      </c>
      <c r="B209" s="11" t="s">
        <v>242</v>
      </c>
      <c r="C209" s="18">
        <v>22.4</v>
      </c>
      <c r="D209" s="18">
        <v>84.4</v>
      </c>
      <c r="E209" s="18">
        <v>99.3</v>
      </c>
      <c r="F209" s="18">
        <v>92.6</v>
      </c>
      <c r="G209" s="18">
        <v>46.6</v>
      </c>
      <c r="H209" s="18">
        <v>8.6999999999999993</v>
      </c>
    </row>
    <row r="210" spans="1:8" x14ac:dyDescent="0.25">
      <c r="A210" s="11">
        <v>2004</v>
      </c>
      <c r="B210" s="11" t="s">
        <v>265</v>
      </c>
      <c r="C210" s="18">
        <v>28.3</v>
      </c>
      <c r="D210" s="18">
        <v>70.7</v>
      </c>
      <c r="E210" s="18">
        <v>101.2</v>
      </c>
      <c r="F210" s="18">
        <v>95.1</v>
      </c>
      <c r="G210" s="18">
        <v>42.6</v>
      </c>
      <c r="H210" s="18">
        <v>7.6</v>
      </c>
    </row>
    <row r="211" spans="1:8" x14ac:dyDescent="0.25">
      <c r="A211" s="11">
        <v>2004</v>
      </c>
      <c r="B211" s="11" t="s">
        <v>266</v>
      </c>
      <c r="C211" s="18">
        <v>24.6</v>
      </c>
      <c r="D211" s="18">
        <v>43.7</v>
      </c>
      <c r="E211" s="18">
        <v>65.400000000000006</v>
      </c>
      <c r="F211" s="18">
        <v>89.3</v>
      </c>
      <c r="G211" s="18">
        <v>49.4</v>
      </c>
      <c r="H211" s="18">
        <v>10.199999999999999</v>
      </c>
    </row>
    <row r="212" spans="1:8" x14ac:dyDescent="0.25">
      <c r="A212" s="11">
        <v>2004</v>
      </c>
      <c r="B212" s="11" t="s">
        <v>267</v>
      </c>
      <c r="C212" s="18">
        <v>23.1</v>
      </c>
      <c r="D212" s="18">
        <v>93.8</v>
      </c>
      <c r="E212" s="18">
        <v>97.1</v>
      </c>
      <c r="F212" s="18">
        <v>67.099999999999994</v>
      </c>
      <c r="G212" s="18">
        <v>32.9</v>
      </c>
      <c r="H212" s="18">
        <v>13.4</v>
      </c>
    </row>
    <row r="213" spans="1:8" x14ac:dyDescent="0.25">
      <c r="A213" s="11">
        <v>2004</v>
      </c>
      <c r="B213" s="11" t="s">
        <v>268</v>
      </c>
      <c r="C213" s="18">
        <v>13.3</v>
      </c>
      <c r="D213" s="18">
        <v>72.7</v>
      </c>
      <c r="E213" s="18">
        <v>120.5</v>
      </c>
      <c r="F213" s="18">
        <v>96.6</v>
      </c>
      <c r="G213" s="18">
        <v>39.200000000000003</v>
      </c>
      <c r="H213" s="18">
        <v>9.3000000000000007</v>
      </c>
    </row>
    <row r="214" spans="1:8" x14ac:dyDescent="0.25">
      <c r="A214" s="11">
        <v>2004</v>
      </c>
      <c r="B214" s="11" t="s">
        <v>269</v>
      </c>
      <c r="C214" s="18">
        <v>31.1</v>
      </c>
      <c r="D214" s="18">
        <v>62</v>
      </c>
      <c r="E214" s="18">
        <v>94.8</v>
      </c>
      <c r="F214" s="18">
        <v>91.8</v>
      </c>
      <c r="G214" s="18">
        <v>36.9</v>
      </c>
      <c r="H214" s="18">
        <v>7.7</v>
      </c>
    </row>
    <row r="215" spans="1:8" x14ac:dyDescent="0.25">
      <c r="A215" s="11">
        <v>2004</v>
      </c>
      <c r="B215" s="11" t="s">
        <v>270</v>
      </c>
      <c r="C215" s="18">
        <v>12.8</v>
      </c>
      <c r="D215" s="18">
        <v>42.1</v>
      </c>
      <c r="E215" s="18">
        <v>93.8</v>
      </c>
      <c r="F215" s="18">
        <v>97.1</v>
      </c>
      <c r="G215" s="18">
        <v>51.4</v>
      </c>
      <c r="H215" s="18">
        <v>10.4</v>
      </c>
    </row>
    <row r="216" spans="1:8" x14ac:dyDescent="0.25">
      <c r="A216" s="11">
        <v>2005</v>
      </c>
      <c r="B216" s="11" t="s">
        <v>11</v>
      </c>
      <c r="C216" s="18">
        <v>26.2</v>
      </c>
      <c r="D216" s="18">
        <v>59.1</v>
      </c>
      <c r="E216" s="18">
        <v>86.7</v>
      </c>
      <c r="F216" s="18">
        <v>92.3</v>
      </c>
      <c r="G216" s="18">
        <v>45.4</v>
      </c>
      <c r="H216" s="18">
        <v>8.4</v>
      </c>
    </row>
    <row r="217" spans="1:8" x14ac:dyDescent="0.25">
      <c r="A217" s="11">
        <v>2005</v>
      </c>
      <c r="B217" s="11" t="s">
        <v>260</v>
      </c>
      <c r="C217" s="18">
        <v>31.5</v>
      </c>
      <c r="D217" s="18">
        <v>73.099999999999994</v>
      </c>
      <c r="E217" s="18">
        <v>92.7</v>
      </c>
      <c r="F217" s="18">
        <v>84.2</v>
      </c>
      <c r="G217" s="18">
        <v>36.5</v>
      </c>
      <c r="H217" s="18">
        <v>8.5</v>
      </c>
    </row>
    <row r="218" spans="1:8" x14ac:dyDescent="0.25">
      <c r="A218" s="11">
        <v>2005</v>
      </c>
      <c r="B218" s="11" t="s">
        <v>261</v>
      </c>
      <c r="C218" s="18">
        <v>21.8</v>
      </c>
      <c r="D218" s="18">
        <v>73.3</v>
      </c>
      <c r="E218" s="18">
        <v>104.1</v>
      </c>
      <c r="F218" s="18">
        <v>98.8</v>
      </c>
      <c r="G218" s="18">
        <v>45.9</v>
      </c>
      <c r="H218" s="18">
        <v>9.6</v>
      </c>
    </row>
    <row r="219" spans="1:8" x14ac:dyDescent="0.25">
      <c r="A219" s="11">
        <v>2005</v>
      </c>
      <c r="B219" s="11" t="s">
        <v>233</v>
      </c>
      <c r="C219" s="18">
        <v>34.9</v>
      </c>
      <c r="D219" s="18">
        <v>100.6</v>
      </c>
      <c r="E219" s="18">
        <v>94.8</v>
      </c>
      <c r="F219" s="18">
        <v>92.8</v>
      </c>
      <c r="G219" s="18">
        <v>35.299999999999997</v>
      </c>
      <c r="H219" s="18">
        <v>7.2</v>
      </c>
    </row>
    <row r="220" spans="1:8" x14ac:dyDescent="0.25">
      <c r="A220" s="11">
        <v>2005</v>
      </c>
      <c r="B220" s="11" t="s">
        <v>240</v>
      </c>
      <c r="C220" s="18">
        <v>27.4</v>
      </c>
      <c r="D220" s="18">
        <v>68.900000000000006</v>
      </c>
      <c r="E220" s="18">
        <v>99</v>
      </c>
      <c r="F220" s="18">
        <v>95.6</v>
      </c>
      <c r="G220" s="18">
        <v>40.700000000000003</v>
      </c>
      <c r="H220" s="18">
        <v>5.4</v>
      </c>
    </row>
    <row r="221" spans="1:8" x14ac:dyDescent="0.25">
      <c r="A221" s="11">
        <v>2005</v>
      </c>
      <c r="B221" s="11" t="s">
        <v>262</v>
      </c>
      <c r="C221" s="18">
        <v>24.1</v>
      </c>
      <c r="D221" s="18">
        <v>63.6</v>
      </c>
      <c r="E221" s="18">
        <v>91.7</v>
      </c>
      <c r="F221" s="18">
        <v>97.4</v>
      </c>
      <c r="G221" s="18">
        <v>45.2</v>
      </c>
      <c r="H221" s="18">
        <v>7.1</v>
      </c>
    </row>
    <row r="222" spans="1:8" x14ac:dyDescent="0.25">
      <c r="A222" s="11">
        <v>2005</v>
      </c>
      <c r="B222" s="11" t="s">
        <v>263</v>
      </c>
      <c r="C222" s="18">
        <v>18.8</v>
      </c>
      <c r="D222" s="18">
        <v>48.2</v>
      </c>
      <c r="E222" s="18">
        <v>88.9</v>
      </c>
      <c r="F222" s="18">
        <v>96</v>
      </c>
      <c r="G222" s="18">
        <v>43.6</v>
      </c>
      <c r="H222" s="18">
        <v>8.4</v>
      </c>
    </row>
    <row r="223" spans="1:8" x14ac:dyDescent="0.25">
      <c r="A223" s="11">
        <v>2005</v>
      </c>
      <c r="B223" s="11" t="s">
        <v>264</v>
      </c>
      <c r="C223" s="18">
        <v>27.8</v>
      </c>
      <c r="D223" s="18">
        <v>57</v>
      </c>
      <c r="E223" s="18">
        <v>81</v>
      </c>
      <c r="F223" s="18">
        <v>90</v>
      </c>
      <c r="G223" s="18">
        <v>47.7</v>
      </c>
      <c r="H223" s="18">
        <v>9.1999999999999993</v>
      </c>
    </row>
    <row r="224" spans="1:8" x14ac:dyDescent="0.25">
      <c r="A224" s="11">
        <v>2005</v>
      </c>
      <c r="B224" s="11" t="s">
        <v>242</v>
      </c>
      <c r="C224" s="18">
        <v>25.5</v>
      </c>
      <c r="D224" s="18">
        <v>75.599999999999994</v>
      </c>
      <c r="E224" s="18">
        <v>103.6</v>
      </c>
      <c r="F224" s="18">
        <v>89</v>
      </c>
      <c r="G224" s="18">
        <v>48.4</v>
      </c>
      <c r="H224" s="18">
        <v>11</v>
      </c>
    </row>
    <row r="225" spans="1:8" x14ac:dyDescent="0.25">
      <c r="A225" s="11">
        <v>2005</v>
      </c>
      <c r="B225" s="11" t="s">
        <v>265</v>
      </c>
      <c r="C225" s="18">
        <v>27.2</v>
      </c>
      <c r="D225" s="18">
        <v>66.3</v>
      </c>
      <c r="E225" s="18">
        <v>100.9</v>
      </c>
      <c r="F225" s="18">
        <v>93.9</v>
      </c>
      <c r="G225" s="18">
        <v>43.3</v>
      </c>
      <c r="H225" s="18">
        <v>6.4</v>
      </c>
    </row>
    <row r="226" spans="1:8" x14ac:dyDescent="0.25">
      <c r="A226" s="11">
        <v>2005</v>
      </c>
      <c r="B226" s="11" t="s">
        <v>266</v>
      </c>
      <c r="C226" s="18">
        <v>23.8</v>
      </c>
      <c r="D226" s="18">
        <v>42.2</v>
      </c>
      <c r="E226" s="18">
        <v>66.599999999999994</v>
      </c>
      <c r="F226" s="18">
        <v>93.6</v>
      </c>
      <c r="G226" s="18">
        <v>52.4</v>
      </c>
      <c r="H226" s="18">
        <v>10.7</v>
      </c>
    </row>
    <row r="227" spans="1:8" x14ac:dyDescent="0.25">
      <c r="A227" s="11">
        <v>2005</v>
      </c>
      <c r="B227" s="11" t="s">
        <v>267</v>
      </c>
      <c r="C227" s="18">
        <v>23.1</v>
      </c>
      <c r="D227" s="18">
        <v>73.900000000000006</v>
      </c>
      <c r="E227" s="18">
        <v>103.7</v>
      </c>
      <c r="F227" s="18">
        <v>86.3</v>
      </c>
      <c r="G227" s="18">
        <v>40.9</v>
      </c>
      <c r="H227" s="18">
        <v>9</v>
      </c>
    </row>
    <row r="228" spans="1:8" x14ac:dyDescent="0.25">
      <c r="A228" s="11">
        <v>2005</v>
      </c>
      <c r="B228" s="11" t="s">
        <v>268</v>
      </c>
      <c r="C228" s="18">
        <v>20.399999999999999</v>
      </c>
      <c r="D228" s="18">
        <v>98.6</v>
      </c>
      <c r="E228" s="18">
        <v>87.9</v>
      </c>
      <c r="F228" s="18">
        <v>89.9</v>
      </c>
      <c r="G228" s="18">
        <v>41.2</v>
      </c>
      <c r="H228" s="18">
        <v>9.3000000000000007</v>
      </c>
    </row>
    <row r="229" spans="1:8" x14ac:dyDescent="0.25">
      <c r="A229" s="11">
        <v>2005</v>
      </c>
      <c r="B229" s="11" t="s">
        <v>269</v>
      </c>
      <c r="C229" s="18">
        <v>30.6</v>
      </c>
      <c r="D229" s="18">
        <v>63.5</v>
      </c>
      <c r="E229" s="18">
        <v>92.6</v>
      </c>
      <c r="F229" s="18">
        <v>89.9</v>
      </c>
      <c r="G229" s="18">
        <v>44.1</v>
      </c>
      <c r="H229" s="18">
        <v>6.6</v>
      </c>
    </row>
    <row r="230" spans="1:8" x14ac:dyDescent="0.25">
      <c r="A230" s="11">
        <v>2005</v>
      </c>
      <c r="B230" s="11" t="s">
        <v>270</v>
      </c>
      <c r="C230" s="18">
        <v>13.2</v>
      </c>
      <c r="D230" s="18">
        <v>57.2</v>
      </c>
      <c r="E230" s="18">
        <v>98.6</v>
      </c>
      <c r="F230" s="18">
        <v>94.2</v>
      </c>
      <c r="G230" s="18">
        <v>57.7</v>
      </c>
      <c r="H230" s="18">
        <v>8.1999999999999993</v>
      </c>
    </row>
    <row r="231" spans="1:8" x14ac:dyDescent="0.25">
      <c r="A231" s="11">
        <v>2006</v>
      </c>
      <c r="B231" s="11" t="s">
        <v>11</v>
      </c>
      <c r="C231" s="18">
        <v>25.8</v>
      </c>
      <c r="D231" s="18">
        <v>60.9</v>
      </c>
      <c r="E231" s="18">
        <v>88.3</v>
      </c>
      <c r="F231" s="18">
        <v>95.9</v>
      </c>
      <c r="G231" s="18">
        <v>47.6</v>
      </c>
      <c r="H231" s="18">
        <v>8.6999999999999993</v>
      </c>
    </row>
    <row r="232" spans="1:8" x14ac:dyDescent="0.25">
      <c r="A232" s="11">
        <v>2006</v>
      </c>
      <c r="B232" s="11" t="s">
        <v>260</v>
      </c>
      <c r="C232" s="18">
        <v>32</v>
      </c>
      <c r="D232" s="18">
        <v>78.599999999999994</v>
      </c>
      <c r="E232" s="18">
        <v>104</v>
      </c>
      <c r="F232" s="18">
        <v>95</v>
      </c>
      <c r="G232" s="18">
        <v>36.6</v>
      </c>
      <c r="H232" s="18">
        <v>6.3</v>
      </c>
    </row>
    <row r="233" spans="1:8" x14ac:dyDescent="0.25">
      <c r="A233" s="11">
        <v>2006</v>
      </c>
      <c r="B233" s="11" t="s">
        <v>261</v>
      </c>
      <c r="C233" s="18">
        <v>24.4</v>
      </c>
      <c r="D233" s="18">
        <v>68.5</v>
      </c>
      <c r="E233" s="18">
        <v>104.8</v>
      </c>
      <c r="F233" s="18">
        <v>106.6</v>
      </c>
      <c r="G233" s="18">
        <v>58</v>
      </c>
      <c r="H233" s="18">
        <v>11.9</v>
      </c>
    </row>
    <row r="234" spans="1:8" x14ac:dyDescent="0.25">
      <c r="A234" s="11">
        <v>2006</v>
      </c>
      <c r="B234" s="11" t="s">
        <v>233</v>
      </c>
      <c r="C234" s="18">
        <v>33.1</v>
      </c>
      <c r="D234" s="18">
        <v>96.3</v>
      </c>
      <c r="E234" s="18">
        <v>109</v>
      </c>
      <c r="F234" s="18">
        <v>100.9</v>
      </c>
      <c r="G234" s="18">
        <v>38.9</v>
      </c>
      <c r="H234" s="18">
        <v>6.6</v>
      </c>
    </row>
    <row r="235" spans="1:8" x14ac:dyDescent="0.25">
      <c r="A235" s="11">
        <v>2006</v>
      </c>
      <c r="B235" s="11" t="s">
        <v>240</v>
      </c>
      <c r="C235" s="18">
        <v>30.2</v>
      </c>
      <c r="D235" s="18">
        <v>70.900000000000006</v>
      </c>
      <c r="E235" s="18">
        <v>105.6</v>
      </c>
      <c r="F235" s="18">
        <v>96.8</v>
      </c>
      <c r="G235" s="18">
        <v>43.4</v>
      </c>
      <c r="H235" s="18">
        <v>6.6</v>
      </c>
    </row>
    <row r="236" spans="1:8" x14ac:dyDescent="0.25">
      <c r="A236" s="11">
        <v>2006</v>
      </c>
      <c r="B236" s="11" t="s">
        <v>262</v>
      </c>
      <c r="C236" s="18">
        <v>25.6</v>
      </c>
      <c r="D236" s="18">
        <v>64</v>
      </c>
      <c r="E236" s="18">
        <v>94.9</v>
      </c>
      <c r="F236" s="18">
        <v>98.5</v>
      </c>
      <c r="G236" s="18">
        <v>46.4</v>
      </c>
      <c r="H236" s="18">
        <v>8.3000000000000007</v>
      </c>
    </row>
    <row r="237" spans="1:8" x14ac:dyDescent="0.25">
      <c r="A237" s="11">
        <v>2006</v>
      </c>
      <c r="B237" s="11" t="s">
        <v>263</v>
      </c>
      <c r="C237" s="18">
        <v>18.399999999999999</v>
      </c>
      <c r="D237" s="18">
        <v>51.7</v>
      </c>
      <c r="E237" s="18">
        <v>94.2</v>
      </c>
      <c r="F237" s="18">
        <v>99.9</v>
      </c>
      <c r="G237" s="18">
        <v>47.3</v>
      </c>
      <c r="H237" s="18">
        <v>8.1999999999999993</v>
      </c>
    </row>
    <row r="238" spans="1:8" x14ac:dyDescent="0.25">
      <c r="A238" s="11">
        <v>2006</v>
      </c>
      <c r="B238" s="11" t="s">
        <v>264</v>
      </c>
      <c r="C238" s="18">
        <v>26.4</v>
      </c>
      <c r="D238" s="18">
        <v>56.6</v>
      </c>
      <c r="E238" s="18">
        <v>77.2</v>
      </c>
      <c r="F238" s="18">
        <v>88.4</v>
      </c>
      <c r="G238" s="18">
        <v>49.8</v>
      </c>
      <c r="H238" s="18">
        <v>9.1</v>
      </c>
    </row>
    <row r="239" spans="1:8" x14ac:dyDescent="0.25">
      <c r="A239" s="11">
        <v>2006</v>
      </c>
      <c r="B239" s="11" t="s">
        <v>242</v>
      </c>
      <c r="C239" s="18">
        <v>22.6</v>
      </c>
      <c r="D239" s="18">
        <v>76.5</v>
      </c>
      <c r="E239" s="18">
        <v>94.7</v>
      </c>
      <c r="F239" s="18">
        <v>94.8</v>
      </c>
      <c r="G239" s="18">
        <v>46.4</v>
      </c>
      <c r="H239" s="18">
        <v>10.4</v>
      </c>
    </row>
    <row r="240" spans="1:8" x14ac:dyDescent="0.25">
      <c r="A240" s="11">
        <v>2006</v>
      </c>
      <c r="B240" s="11" t="s">
        <v>265</v>
      </c>
      <c r="C240" s="18">
        <v>26.8</v>
      </c>
      <c r="D240" s="18">
        <v>72.7</v>
      </c>
      <c r="E240" s="18">
        <v>103.4</v>
      </c>
      <c r="F240" s="18">
        <v>100.4</v>
      </c>
      <c r="G240" s="18">
        <v>45.3</v>
      </c>
      <c r="H240" s="18">
        <v>7.7</v>
      </c>
    </row>
    <row r="241" spans="1:8" x14ac:dyDescent="0.25">
      <c r="A241" s="11">
        <v>2006</v>
      </c>
      <c r="B241" s="11" t="s">
        <v>266</v>
      </c>
      <c r="C241" s="18">
        <v>22.7</v>
      </c>
      <c r="D241" s="18">
        <v>43.8</v>
      </c>
      <c r="E241" s="18">
        <v>69.099999999999994</v>
      </c>
      <c r="F241" s="18">
        <v>96.8</v>
      </c>
      <c r="G241" s="18">
        <v>55.9</v>
      </c>
      <c r="H241" s="18">
        <v>11.1</v>
      </c>
    </row>
    <row r="242" spans="1:8" x14ac:dyDescent="0.25">
      <c r="A242" s="11">
        <v>2006</v>
      </c>
      <c r="B242" s="11" t="s">
        <v>267</v>
      </c>
      <c r="C242" s="18">
        <v>12.6</v>
      </c>
      <c r="D242" s="18">
        <v>94.1</v>
      </c>
      <c r="E242" s="18">
        <v>121</v>
      </c>
      <c r="F242" s="18">
        <v>127.9</v>
      </c>
      <c r="G242" s="18">
        <v>42.7</v>
      </c>
      <c r="H242" s="18">
        <v>5</v>
      </c>
    </row>
    <row r="243" spans="1:8" x14ac:dyDescent="0.25">
      <c r="A243" s="11">
        <v>2006</v>
      </c>
      <c r="B243" s="11" t="s">
        <v>268</v>
      </c>
      <c r="C243" s="18">
        <v>22.3</v>
      </c>
      <c r="D243" s="18">
        <v>82.3</v>
      </c>
      <c r="E243" s="18">
        <v>130.19999999999999</v>
      </c>
      <c r="F243" s="18">
        <v>103.6</v>
      </c>
      <c r="G243" s="18">
        <v>60.8</v>
      </c>
      <c r="H243" s="18">
        <v>11.3</v>
      </c>
    </row>
    <row r="244" spans="1:8" x14ac:dyDescent="0.25">
      <c r="A244" s="11">
        <v>2006</v>
      </c>
      <c r="B244" s="11" t="s">
        <v>269</v>
      </c>
      <c r="C244" s="18">
        <v>30.1</v>
      </c>
      <c r="D244" s="18">
        <v>64.3</v>
      </c>
      <c r="E244" s="18">
        <v>90.6</v>
      </c>
      <c r="F244" s="18">
        <v>93.7</v>
      </c>
      <c r="G244" s="18">
        <v>42.4</v>
      </c>
      <c r="H244" s="18">
        <v>8.3000000000000007</v>
      </c>
    </row>
    <row r="245" spans="1:8" x14ac:dyDescent="0.25">
      <c r="A245" s="11">
        <v>2006</v>
      </c>
      <c r="B245" s="11" t="s">
        <v>270</v>
      </c>
      <c r="C245" s="18">
        <v>25.3</v>
      </c>
      <c r="D245" s="18">
        <v>60.6</v>
      </c>
      <c r="E245" s="18">
        <v>109.9</v>
      </c>
      <c r="F245" s="18">
        <v>101.9</v>
      </c>
      <c r="G245" s="18">
        <v>71.7</v>
      </c>
      <c r="H245" s="18">
        <v>12.2</v>
      </c>
    </row>
    <row r="246" spans="1:8" x14ac:dyDescent="0.25">
      <c r="A246" s="11">
        <v>2007</v>
      </c>
      <c r="B246" s="11" t="s">
        <v>11</v>
      </c>
      <c r="C246" s="18">
        <v>26.5</v>
      </c>
      <c r="D246" s="18">
        <v>63.3</v>
      </c>
      <c r="E246" s="18">
        <v>90.6</v>
      </c>
      <c r="F246" s="18">
        <v>98.1</v>
      </c>
      <c r="G246" s="18">
        <v>50.9</v>
      </c>
      <c r="H246" s="18">
        <v>9.1999999999999993</v>
      </c>
    </row>
    <row r="247" spans="1:8" x14ac:dyDescent="0.25">
      <c r="A247" s="11">
        <v>2007</v>
      </c>
      <c r="B247" s="11" t="s">
        <v>260</v>
      </c>
      <c r="C247" s="18">
        <v>34.4</v>
      </c>
      <c r="D247" s="18">
        <v>80.3</v>
      </c>
      <c r="E247" s="18">
        <v>97.3</v>
      </c>
      <c r="F247" s="18">
        <v>94.3</v>
      </c>
      <c r="G247" s="18">
        <v>42.4</v>
      </c>
      <c r="H247" s="18">
        <v>6.1</v>
      </c>
    </row>
    <row r="248" spans="1:8" x14ac:dyDescent="0.25">
      <c r="A248" s="11">
        <v>2007</v>
      </c>
      <c r="B248" s="11" t="s">
        <v>261</v>
      </c>
      <c r="C248" s="18">
        <v>25.5</v>
      </c>
      <c r="D248" s="18">
        <v>73.2</v>
      </c>
      <c r="E248" s="18">
        <v>118.7</v>
      </c>
      <c r="F248" s="18">
        <v>114.5</v>
      </c>
      <c r="G248" s="18">
        <v>57.1</v>
      </c>
      <c r="H248" s="18">
        <v>10.5</v>
      </c>
    </row>
    <row r="249" spans="1:8" x14ac:dyDescent="0.25">
      <c r="A249" s="11">
        <v>2007</v>
      </c>
      <c r="B249" s="11" t="s">
        <v>233</v>
      </c>
      <c r="C249" s="18">
        <v>33.6</v>
      </c>
      <c r="D249" s="18">
        <v>90.2</v>
      </c>
      <c r="E249" s="18">
        <v>114.4</v>
      </c>
      <c r="F249" s="18">
        <v>97.6</v>
      </c>
      <c r="G249" s="18">
        <v>45</v>
      </c>
      <c r="H249" s="18">
        <v>9.1999999999999993</v>
      </c>
    </row>
    <row r="250" spans="1:8" x14ac:dyDescent="0.25">
      <c r="A250" s="11">
        <v>2007</v>
      </c>
      <c r="B250" s="11" t="s">
        <v>240</v>
      </c>
      <c r="C250" s="18">
        <v>28.2</v>
      </c>
      <c r="D250" s="18">
        <v>70.8</v>
      </c>
      <c r="E250" s="18">
        <v>110.7</v>
      </c>
      <c r="F250" s="18">
        <v>98.8</v>
      </c>
      <c r="G250" s="18">
        <v>44.7</v>
      </c>
      <c r="H250" s="18">
        <v>8.1</v>
      </c>
    </row>
    <row r="251" spans="1:8" x14ac:dyDescent="0.25">
      <c r="A251" s="11">
        <v>2007</v>
      </c>
      <c r="B251" s="11" t="s">
        <v>262</v>
      </c>
      <c r="C251" s="18">
        <v>26.7</v>
      </c>
      <c r="D251" s="18">
        <v>69.099999999999994</v>
      </c>
      <c r="E251" s="18">
        <v>95.3</v>
      </c>
      <c r="F251" s="18">
        <v>104.2</v>
      </c>
      <c r="G251" s="18">
        <v>53.6</v>
      </c>
      <c r="H251" s="18">
        <v>8.6</v>
      </c>
    </row>
    <row r="252" spans="1:8" x14ac:dyDescent="0.25">
      <c r="A252" s="11">
        <v>2007</v>
      </c>
      <c r="B252" s="11" t="s">
        <v>263</v>
      </c>
      <c r="C252" s="18">
        <v>21.2</v>
      </c>
      <c r="D252" s="18">
        <v>55.9</v>
      </c>
      <c r="E252" s="18">
        <v>96.5</v>
      </c>
      <c r="F252" s="18">
        <v>104.6</v>
      </c>
      <c r="G252" s="18">
        <v>51.3</v>
      </c>
      <c r="H252" s="18">
        <v>9</v>
      </c>
    </row>
    <row r="253" spans="1:8" x14ac:dyDescent="0.25">
      <c r="A253" s="11">
        <v>2007</v>
      </c>
      <c r="B253" s="11" t="s">
        <v>264</v>
      </c>
      <c r="C253" s="18">
        <v>25.6</v>
      </c>
      <c r="D253" s="18">
        <v>61.2</v>
      </c>
      <c r="E253" s="18">
        <v>83.2</v>
      </c>
      <c r="F253" s="18">
        <v>95</v>
      </c>
      <c r="G253" s="18">
        <v>50.6</v>
      </c>
      <c r="H253" s="18">
        <v>9.5</v>
      </c>
    </row>
    <row r="254" spans="1:8" x14ac:dyDescent="0.25">
      <c r="A254" s="11">
        <v>2007</v>
      </c>
      <c r="B254" s="11" t="s">
        <v>242</v>
      </c>
      <c r="C254" s="18">
        <v>25.9</v>
      </c>
      <c r="D254" s="18">
        <v>78.099999999999994</v>
      </c>
      <c r="E254" s="18">
        <v>104.2</v>
      </c>
      <c r="F254" s="18">
        <v>92.6</v>
      </c>
      <c r="G254" s="18">
        <v>50.6</v>
      </c>
      <c r="H254" s="18">
        <v>9.6</v>
      </c>
    </row>
    <row r="255" spans="1:8" x14ac:dyDescent="0.25">
      <c r="A255" s="11">
        <v>2007</v>
      </c>
      <c r="B255" s="11" t="s">
        <v>265</v>
      </c>
      <c r="C255" s="18">
        <v>30.1</v>
      </c>
      <c r="D255" s="18">
        <v>71.2</v>
      </c>
      <c r="E255" s="18">
        <v>100.8</v>
      </c>
      <c r="F255" s="18">
        <v>98.7</v>
      </c>
      <c r="G255" s="18">
        <v>46.9</v>
      </c>
      <c r="H255" s="18">
        <v>7.6</v>
      </c>
    </row>
    <row r="256" spans="1:8" x14ac:dyDescent="0.25">
      <c r="A256" s="11">
        <v>2007</v>
      </c>
      <c r="B256" s="11" t="s">
        <v>266</v>
      </c>
      <c r="C256" s="18">
        <v>23.6</v>
      </c>
      <c r="D256" s="18">
        <v>47</v>
      </c>
      <c r="E256" s="18">
        <v>68</v>
      </c>
      <c r="F256" s="18">
        <v>96.7</v>
      </c>
      <c r="G256" s="18">
        <v>61.4</v>
      </c>
      <c r="H256" s="18">
        <v>12.7</v>
      </c>
    </row>
    <row r="257" spans="1:8" x14ac:dyDescent="0.25">
      <c r="A257" s="11">
        <v>2007</v>
      </c>
      <c r="B257" s="11" t="s">
        <v>267</v>
      </c>
      <c r="C257" s="18">
        <v>24</v>
      </c>
      <c r="D257" s="18">
        <v>41.2</v>
      </c>
      <c r="E257" s="18">
        <v>94.8</v>
      </c>
      <c r="F257" s="18">
        <v>122.2</v>
      </c>
      <c r="G257" s="18">
        <v>49.5</v>
      </c>
      <c r="H257" s="18">
        <v>10.8</v>
      </c>
    </row>
    <row r="258" spans="1:8" x14ac:dyDescent="0.25">
      <c r="A258" s="11">
        <v>2007</v>
      </c>
      <c r="B258" s="11" t="s">
        <v>268</v>
      </c>
      <c r="C258" s="18">
        <v>15.3</v>
      </c>
      <c r="D258" s="18">
        <v>55.3</v>
      </c>
      <c r="E258" s="18">
        <v>111.9</v>
      </c>
      <c r="F258" s="18">
        <v>107.4</v>
      </c>
      <c r="G258" s="18">
        <v>66.2</v>
      </c>
      <c r="H258" s="18">
        <v>9.4</v>
      </c>
    </row>
    <row r="259" spans="1:8" x14ac:dyDescent="0.25">
      <c r="A259" s="11">
        <v>2007</v>
      </c>
      <c r="B259" s="11" t="s">
        <v>269</v>
      </c>
      <c r="C259" s="18">
        <v>27.7</v>
      </c>
      <c r="D259" s="18">
        <v>66.900000000000006</v>
      </c>
      <c r="E259" s="18">
        <v>98.7</v>
      </c>
      <c r="F259" s="18">
        <v>95.8</v>
      </c>
      <c r="G259" s="18">
        <v>46.8</v>
      </c>
      <c r="H259" s="18">
        <v>7.8</v>
      </c>
    </row>
    <row r="260" spans="1:8" x14ac:dyDescent="0.25">
      <c r="A260" s="11">
        <v>2007</v>
      </c>
      <c r="B260" s="11" t="s">
        <v>270</v>
      </c>
      <c r="C260" s="18">
        <v>14.4</v>
      </c>
      <c r="D260" s="18">
        <v>75.5</v>
      </c>
      <c r="E260" s="18">
        <v>106</v>
      </c>
      <c r="F260" s="18">
        <v>115.1</v>
      </c>
      <c r="G260" s="18">
        <v>58.7</v>
      </c>
      <c r="H260" s="18">
        <v>8.1999999999999993</v>
      </c>
    </row>
    <row r="261" spans="1:8" x14ac:dyDescent="0.25">
      <c r="A261" s="11">
        <v>2008</v>
      </c>
      <c r="B261" s="11" t="s">
        <v>11</v>
      </c>
      <c r="C261" s="18">
        <v>26.3</v>
      </c>
      <c r="D261" s="18">
        <v>65.2</v>
      </c>
      <c r="E261" s="18">
        <v>95.1</v>
      </c>
      <c r="F261" s="18">
        <v>102.6</v>
      </c>
      <c r="G261" s="18">
        <v>52.4</v>
      </c>
      <c r="H261" s="18">
        <v>10.199999999999999</v>
      </c>
    </row>
    <row r="262" spans="1:8" x14ac:dyDescent="0.25">
      <c r="A262" s="11">
        <v>2008</v>
      </c>
      <c r="B262" s="11" t="s">
        <v>260</v>
      </c>
      <c r="C262" s="18">
        <v>32.299999999999997</v>
      </c>
      <c r="D262" s="18">
        <v>78.599999999999994</v>
      </c>
      <c r="E262" s="18">
        <v>108.1</v>
      </c>
      <c r="F262" s="18">
        <v>91.1</v>
      </c>
      <c r="G262" s="18">
        <v>43.7</v>
      </c>
      <c r="H262" s="18">
        <v>7.4</v>
      </c>
    </row>
    <row r="263" spans="1:8" x14ac:dyDescent="0.25">
      <c r="A263" s="11">
        <v>2008</v>
      </c>
      <c r="B263" s="11" t="s">
        <v>261</v>
      </c>
      <c r="C263" s="18">
        <v>18.899999999999999</v>
      </c>
      <c r="D263" s="18">
        <v>68.5</v>
      </c>
      <c r="E263" s="18">
        <v>108.7</v>
      </c>
      <c r="F263" s="18">
        <v>119.7</v>
      </c>
      <c r="G263" s="18">
        <v>59.8</v>
      </c>
      <c r="H263" s="18">
        <v>10.3</v>
      </c>
    </row>
    <row r="264" spans="1:8" x14ac:dyDescent="0.25">
      <c r="A264" s="11">
        <v>2008</v>
      </c>
      <c r="B264" s="11" t="s">
        <v>233</v>
      </c>
      <c r="C264" s="18">
        <v>29.3</v>
      </c>
      <c r="D264" s="18">
        <v>84.2</v>
      </c>
      <c r="E264" s="18">
        <v>118.6</v>
      </c>
      <c r="F264" s="18">
        <v>93.7</v>
      </c>
      <c r="G264" s="18">
        <v>41.7</v>
      </c>
      <c r="H264" s="18">
        <v>6.1</v>
      </c>
    </row>
    <row r="265" spans="1:8" x14ac:dyDescent="0.25">
      <c r="A265" s="11">
        <v>2008</v>
      </c>
      <c r="B265" s="11" t="s">
        <v>240</v>
      </c>
      <c r="C265" s="18">
        <v>33.5</v>
      </c>
      <c r="D265" s="18">
        <v>74.5</v>
      </c>
      <c r="E265" s="18">
        <v>115.7</v>
      </c>
      <c r="F265" s="18">
        <v>106.7</v>
      </c>
      <c r="G265" s="18">
        <v>46.9</v>
      </c>
      <c r="H265" s="18">
        <v>10.3</v>
      </c>
    </row>
    <row r="266" spans="1:8" x14ac:dyDescent="0.25">
      <c r="A266" s="11">
        <v>2008</v>
      </c>
      <c r="B266" s="11" t="s">
        <v>262</v>
      </c>
      <c r="C266" s="18">
        <v>27.6</v>
      </c>
      <c r="D266" s="18">
        <v>69</v>
      </c>
      <c r="E266" s="18">
        <v>101.1</v>
      </c>
      <c r="F266" s="18">
        <v>108.1</v>
      </c>
      <c r="G266" s="18">
        <v>51.4</v>
      </c>
      <c r="H266" s="18">
        <v>9.1999999999999993</v>
      </c>
    </row>
    <row r="267" spans="1:8" x14ac:dyDescent="0.25">
      <c r="A267" s="11">
        <v>2008</v>
      </c>
      <c r="B267" s="11" t="s">
        <v>263</v>
      </c>
      <c r="C267" s="18">
        <v>16.899999999999999</v>
      </c>
      <c r="D267" s="18">
        <v>58.9</v>
      </c>
      <c r="E267" s="18">
        <v>98.5</v>
      </c>
      <c r="F267" s="18">
        <v>109.9</v>
      </c>
      <c r="G267" s="18">
        <v>52.5</v>
      </c>
      <c r="H267" s="18">
        <v>10.3</v>
      </c>
    </row>
    <row r="268" spans="1:8" x14ac:dyDescent="0.25">
      <c r="A268" s="11">
        <v>2008</v>
      </c>
      <c r="B268" s="11" t="s">
        <v>264</v>
      </c>
      <c r="C268" s="18">
        <v>26.5</v>
      </c>
      <c r="D268" s="18">
        <v>60.4</v>
      </c>
      <c r="E268" s="18">
        <v>88.3</v>
      </c>
      <c r="F268" s="18">
        <v>96.9</v>
      </c>
      <c r="G268" s="18">
        <v>51.7</v>
      </c>
      <c r="H268" s="18">
        <v>10.1</v>
      </c>
    </row>
    <row r="269" spans="1:8" x14ac:dyDescent="0.25">
      <c r="A269" s="11">
        <v>2008</v>
      </c>
      <c r="B269" s="11" t="s">
        <v>242</v>
      </c>
      <c r="C269" s="18">
        <v>26.6</v>
      </c>
      <c r="D269" s="18">
        <v>86.4</v>
      </c>
      <c r="E269" s="18">
        <v>107.8</v>
      </c>
      <c r="F269" s="18">
        <v>101.3</v>
      </c>
      <c r="G269" s="18">
        <v>51.9</v>
      </c>
      <c r="H269" s="18">
        <v>12.2</v>
      </c>
    </row>
    <row r="270" spans="1:8" x14ac:dyDescent="0.25">
      <c r="A270" s="11">
        <v>2008</v>
      </c>
      <c r="B270" s="11" t="s">
        <v>265</v>
      </c>
      <c r="C270" s="18">
        <v>28.5</v>
      </c>
      <c r="D270" s="18">
        <v>77.5</v>
      </c>
      <c r="E270" s="18">
        <v>105.9</v>
      </c>
      <c r="F270" s="18">
        <v>104.6</v>
      </c>
      <c r="G270" s="18">
        <v>49.1</v>
      </c>
      <c r="H270" s="18">
        <v>9</v>
      </c>
    </row>
    <row r="271" spans="1:8" x14ac:dyDescent="0.25">
      <c r="A271" s="11">
        <v>2008</v>
      </c>
      <c r="B271" s="11" t="s">
        <v>266</v>
      </c>
      <c r="C271" s="18">
        <v>22.7</v>
      </c>
      <c r="D271" s="18">
        <v>49.8</v>
      </c>
      <c r="E271" s="18">
        <v>73.2</v>
      </c>
      <c r="F271" s="18">
        <v>103.5</v>
      </c>
      <c r="G271" s="18">
        <v>64</v>
      </c>
      <c r="H271" s="18">
        <v>13.5</v>
      </c>
    </row>
    <row r="272" spans="1:8" x14ac:dyDescent="0.25">
      <c r="A272" s="11">
        <v>2008</v>
      </c>
      <c r="B272" s="11" t="s">
        <v>267</v>
      </c>
      <c r="C272" s="18">
        <v>23.1</v>
      </c>
      <c r="D272" s="18">
        <v>86.9</v>
      </c>
      <c r="E272" s="18">
        <v>113.3</v>
      </c>
      <c r="F272" s="18">
        <v>93.6</v>
      </c>
      <c r="G272" s="18">
        <v>60.1</v>
      </c>
      <c r="H272" s="18">
        <v>13</v>
      </c>
    </row>
    <row r="273" spans="1:8" x14ac:dyDescent="0.25">
      <c r="A273" s="11">
        <v>2008</v>
      </c>
      <c r="B273" s="11" t="s">
        <v>268</v>
      </c>
      <c r="C273" s="18">
        <v>16.899999999999999</v>
      </c>
      <c r="D273" s="18">
        <v>89.3</v>
      </c>
      <c r="E273" s="18">
        <v>111.3</v>
      </c>
      <c r="F273" s="18">
        <v>137.9</v>
      </c>
      <c r="G273" s="18">
        <v>68.2</v>
      </c>
      <c r="H273" s="18">
        <v>7.1</v>
      </c>
    </row>
    <row r="274" spans="1:8" x14ac:dyDescent="0.25">
      <c r="A274" s="11">
        <v>2008</v>
      </c>
      <c r="B274" s="11" t="s">
        <v>269</v>
      </c>
      <c r="C274" s="18">
        <v>31</v>
      </c>
      <c r="D274" s="18">
        <v>67.3</v>
      </c>
      <c r="E274" s="18">
        <v>100.8</v>
      </c>
      <c r="F274" s="18">
        <v>104.1</v>
      </c>
      <c r="G274" s="18">
        <v>49</v>
      </c>
      <c r="H274" s="18">
        <v>8.6999999999999993</v>
      </c>
    </row>
    <row r="275" spans="1:8" x14ac:dyDescent="0.25">
      <c r="A275" s="11">
        <v>2008</v>
      </c>
      <c r="B275" s="11" t="s">
        <v>270</v>
      </c>
      <c r="C275" s="18">
        <v>27.1</v>
      </c>
      <c r="D275" s="18">
        <v>63.2</v>
      </c>
      <c r="E275" s="18">
        <v>94.8</v>
      </c>
      <c r="F275" s="18">
        <v>105.6</v>
      </c>
      <c r="G275" s="18">
        <v>61.8</v>
      </c>
      <c r="H275" s="18">
        <v>11.9</v>
      </c>
    </row>
    <row r="276" spans="1:8" x14ac:dyDescent="0.25">
      <c r="A276" s="11">
        <v>2009</v>
      </c>
      <c r="B276" s="11" t="s">
        <v>11</v>
      </c>
      <c r="C276" s="18">
        <v>24.3</v>
      </c>
      <c r="D276" s="18">
        <v>63.8</v>
      </c>
      <c r="E276" s="18">
        <v>93.8</v>
      </c>
      <c r="F276" s="18">
        <v>100.7</v>
      </c>
      <c r="G276" s="18">
        <v>52.6</v>
      </c>
      <c r="H276" s="18">
        <v>10.3</v>
      </c>
    </row>
    <row r="277" spans="1:8" x14ac:dyDescent="0.25">
      <c r="A277" s="11">
        <v>2009</v>
      </c>
      <c r="B277" s="11" t="s">
        <v>260</v>
      </c>
      <c r="C277" s="18">
        <v>32.200000000000003</v>
      </c>
      <c r="D277" s="18">
        <v>84.2</v>
      </c>
      <c r="E277" s="18">
        <v>101.6</v>
      </c>
      <c r="F277" s="18">
        <v>96.1</v>
      </c>
      <c r="G277" s="18">
        <v>41.2</v>
      </c>
      <c r="H277" s="18">
        <v>7.3</v>
      </c>
    </row>
    <row r="278" spans="1:8" x14ac:dyDescent="0.25">
      <c r="A278" s="11">
        <v>2009</v>
      </c>
      <c r="B278" s="11" t="s">
        <v>261</v>
      </c>
      <c r="C278" s="18">
        <v>23.7</v>
      </c>
      <c r="D278" s="18">
        <v>73.7</v>
      </c>
      <c r="E278" s="18">
        <v>116.6</v>
      </c>
      <c r="F278" s="18">
        <v>114.7</v>
      </c>
      <c r="G278" s="18">
        <v>58.5</v>
      </c>
      <c r="H278" s="18">
        <v>12</v>
      </c>
    </row>
    <row r="279" spans="1:8" x14ac:dyDescent="0.25">
      <c r="A279" s="11">
        <v>2009</v>
      </c>
      <c r="B279" s="11" t="s">
        <v>233</v>
      </c>
      <c r="C279" s="18">
        <v>31</v>
      </c>
      <c r="D279" s="18">
        <v>95.2</v>
      </c>
      <c r="E279" s="18">
        <v>117</v>
      </c>
      <c r="F279" s="18">
        <v>93.5</v>
      </c>
      <c r="G279" s="18">
        <v>44.9</v>
      </c>
      <c r="H279" s="18">
        <v>9.9</v>
      </c>
    </row>
    <row r="280" spans="1:8" x14ac:dyDescent="0.25">
      <c r="A280" s="11">
        <v>2009</v>
      </c>
      <c r="B280" s="11" t="s">
        <v>240</v>
      </c>
      <c r="C280" s="18">
        <v>30.7</v>
      </c>
      <c r="D280" s="18">
        <v>72</v>
      </c>
      <c r="E280" s="18">
        <v>112</v>
      </c>
      <c r="F280" s="18">
        <v>101.9</v>
      </c>
      <c r="G280" s="18">
        <v>43.9</v>
      </c>
      <c r="H280" s="18">
        <v>8.8000000000000007</v>
      </c>
    </row>
    <row r="281" spans="1:8" x14ac:dyDescent="0.25">
      <c r="A281" s="11">
        <v>2009</v>
      </c>
      <c r="B281" s="11" t="s">
        <v>262</v>
      </c>
      <c r="C281" s="18">
        <v>26.2</v>
      </c>
      <c r="D281" s="18">
        <v>70.2</v>
      </c>
      <c r="E281" s="18">
        <v>97.3</v>
      </c>
      <c r="F281" s="18">
        <v>98.1</v>
      </c>
      <c r="G281" s="18">
        <v>56.1</v>
      </c>
      <c r="H281" s="18">
        <v>10.199999999999999</v>
      </c>
    </row>
    <row r="282" spans="1:8" x14ac:dyDescent="0.25">
      <c r="A282" s="11">
        <v>2009</v>
      </c>
      <c r="B282" s="11" t="s">
        <v>263</v>
      </c>
      <c r="C282" s="18">
        <v>18.7</v>
      </c>
      <c r="D282" s="18">
        <v>52.7</v>
      </c>
      <c r="E282" s="18">
        <v>97.3</v>
      </c>
      <c r="F282" s="18">
        <v>113.9</v>
      </c>
      <c r="G282" s="18">
        <v>56.8</v>
      </c>
      <c r="H282" s="18">
        <v>9.8000000000000007</v>
      </c>
    </row>
    <row r="283" spans="1:8" x14ac:dyDescent="0.25">
      <c r="A283" s="11">
        <v>2009</v>
      </c>
      <c r="B283" s="11" t="s">
        <v>264</v>
      </c>
      <c r="C283" s="18">
        <v>23.1</v>
      </c>
      <c r="D283" s="18">
        <v>59</v>
      </c>
      <c r="E283" s="18">
        <v>86.2</v>
      </c>
      <c r="F283" s="18">
        <v>97.8</v>
      </c>
      <c r="G283" s="18">
        <v>52.5</v>
      </c>
      <c r="H283" s="18">
        <v>10.9</v>
      </c>
    </row>
    <row r="284" spans="1:8" x14ac:dyDescent="0.25">
      <c r="A284" s="11">
        <v>2009</v>
      </c>
      <c r="B284" s="11" t="s">
        <v>242</v>
      </c>
      <c r="C284" s="18">
        <v>24.8</v>
      </c>
      <c r="D284" s="18">
        <v>80.099999999999994</v>
      </c>
      <c r="E284" s="18">
        <v>108.5</v>
      </c>
      <c r="F284" s="18">
        <v>98.1</v>
      </c>
      <c r="G284" s="18">
        <v>51.3</v>
      </c>
      <c r="H284" s="18">
        <v>11.4</v>
      </c>
    </row>
    <row r="285" spans="1:8" x14ac:dyDescent="0.25">
      <c r="A285" s="11">
        <v>2009</v>
      </c>
      <c r="B285" s="11" t="s">
        <v>265</v>
      </c>
      <c r="C285" s="18">
        <v>25.8</v>
      </c>
      <c r="D285" s="18">
        <v>73.599999999999994</v>
      </c>
      <c r="E285" s="18">
        <v>103.8</v>
      </c>
      <c r="F285" s="18">
        <v>101.3</v>
      </c>
      <c r="G285" s="18">
        <v>47</v>
      </c>
      <c r="H285" s="18">
        <v>9.1999999999999993</v>
      </c>
    </row>
    <row r="286" spans="1:8" x14ac:dyDescent="0.25">
      <c r="A286" s="11">
        <v>2009</v>
      </c>
      <c r="B286" s="11" t="s">
        <v>266</v>
      </c>
      <c r="C286" s="18">
        <v>20.2</v>
      </c>
      <c r="D286" s="18">
        <v>47.8</v>
      </c>
      <c r="E286" s="18">
        <v>74</v>
      </c>
      <c r="F286" s="18">
        <v>100.9</v>
      </c>
      <c r="G286" s="18">
        <v>64.400000000000006</v>
      </c>
      <c r="H286" s="18">
        <v>12.4</v>
      </c>
    </row>
    <row r="287" spans="1:8" x14ac:dyDescent="0.25">
      <c r="A287" s="11">
        <v>2009</v>
      </c>
      <c r="B287" s="11" t="s">
        <v>267</v>
      </c>
      <c r="C287" s="18">
        <v>10.5</v>
      </c>
      <c r="D287" s="18">
        <v>88.4</v>
      </c>
      <c r="E287" s="18">
        <v>110</v>
      </c>
      <c r="F287" s="18">
        <v>92.8</v>
      </c>
      <c r="G287" s="18">
        <v>51.6</v>
      </c>
      <c r="H287" s="18">
        <v>9.6</v>
      </c>
    </row>
    <row r="288" spans="1:8" x14ac:dyDescent="0.25">
      <c r="A288" s="11">
        <v>2009</v>
      </c>
      <c r="B288" s="11" t="s">
        <v>268</v>
      </c>
      <c r="C288" s="18">
        <v>9.9</v>
      </c>
      <c r="D288" s="18">
        <v>91.2</v>
      </c>
      <c r="E288" s="18">
        <v>130.1</v>
      </c>
      <c r="F288" s="18">
        <v>132.6</v>
      </c>
      <c r="G288" s="18">
        <v>53.3</v>
      </c>
      <c r="H288" s="18">
        <v>9.6</v>
      </c>
    </row>
    <row r="289" spans="1:8" x14ac:dyDescent="0.25">
      <c r="A289" s="11">
        <v>2009</v>
      </c>
      <c r="B289" s="11" t="s">
        <v>269</v>
      </c>
      <c r="C289" s="18">
        <v>26.7</v>
      </c>
      <c r="D289" s="18">
        <v>69</v>
      </c>
      <c r="E289" s="18">
        <v>101.5</v>
      </c>
      <c r="F289" s="18">
        <v>94.4</v>
      </c>
      <c r="G289" s="18">
        <v>48.6</v>
      </c>
      <c r="H289" s="18">
        <v>9.6999999999999993</v>
      </c>
    </row>
    <row r="290" spans="1:8" x14ac:dyDescent="0.25">
      <c r="A290" s="11">
        <v>2009</v>
      </c>
      <c r="B290" s="11" t="s">
        <v>270</v>
      </c>
      <c r="C290" s="18">
        <v>18.5</v>
      </c>
      <c r="D290" s="18">
        <v>68.599999999999994</v>
      </c>
      <c r="E290" s="18">
        <v>100.8</v>
      </c>
      <c r="F290" s="18">
        <v>80.8</v>
      </c>
      <c r="G290" s="18">
        <v>48.7</v>
      </c>
      <c r="H290" s="18">
        <v>14.8</v>
      </c>
    </row>
    <row r="291" spans="1:8" x14ac:dyDescent="0.25">
      <c r="A291" s="11">
        <v>2010</v>
      </c>
      <c r="B291" s="11" t="s">
        <v>11</v>
      </c>
      <c r="C291" s="18">
        <v>22.9</v>
      </c>
      <c r="D291" s="18">
        <v>59.9</v>
      </c>
      <c r="E291" s="18">
        <v>92.6</v>
      </c>
      <c r="F291" s="18">
        <v>102.8</v>
      </c>
      <c r="G291" s="18">
        <v>53.8</v>
      </c>
      <c r="H291" s="18">
        <v>10.7</v>
      </c>
    </row>
    <row r="292" spans="1:8" x14ac:dyDescent="0.25">
      <c r="A292" s="11">
        <v>2010</v>
      </c>
      <c r="B292" s="11" t="s">
        <v>260</v>
      </c>
      <c r="C292" s="18">
        <v>29.9</v>
      </c>
      <c r="D292" s="18">
        <v>73.2</v>
      </c>
      <c r="E292" s="18">
        <v>109.5</v>
      </c>
      <c r="F292" s="18">
        <v>93.3</v>
      </c>
      <c r="G292" s="18">
        <v>42.2</v>
      </c>
      <c r="H292" s="18">
        <v>8.1999999999999993</v>
      </c>
    </row>
    <row r="293" spans="1:8" x14ac:dyDescent="0.25">
      <c r="A293" s="11">
        <v>2010</v>
      </c>
      <c r="B293" s="11" t="s">
        <v>261</v>
      </c>
      <c r="C293" s="18">
        <v>19.600000000000001</v>
      </c>
      <c r="D293" s="18">
        <v>81.5</v>
      </c>
      <c r="E293" s="18">
        <v>106</v>
      </c>
      <c r="F293" s="18">
        <v>123.9</v>
      </c>
      <c r="G293" s="18">
        <v>63.9</v>
      </c>
      <c r="H293" s="18">
        <v>11.1</v>
      </c>
    </row>
    <row r="294" spans="1:8" x14ac:dyDescent="0.25">
      <c r="A294" s="11">
        <v>2010</v>
      </c>
      <c r="B294" s="11" t="s">
        <v>233</v>
      </c>
      <c r="C294" s="18">
        <v>24.3</v>
      </c>
      <c r="D294" s="18">
        <v>88.2</v>
      </c>
      <c r="E294" s="18">
        <v>120.8</v>
      </c>
      <c r="F294" s="18">
        <v>95.8</v>
      </c>
      <c r="G294" s="18">
        <v>42.7</v>
      </c>
      <c r="H294" s="18">
        <v>7.6</v>
      </c>
    </row>
    <row r="295" spans="1:8" x14ac:dyDescent="0.25">
      <c r="A295" s="11">
        <v>2010</v>
      </c>
      <c r="B295" s="11" t="s">
        <v>240</v>
      </c>
      <c r="C295" s="18">
        <v>30.9</v>
      </c>
      <c r="D295" s="18">
        <v>68.900000000000006</v>
      </c>
      <c r="E295" s="18">
        <v>106.1</v>
      </c>
      <c r="F295" s="18">
        <v>105.4</v>
      </c>
      <c r="G295" s="18">
        <v>52.2</v>
      </c>
      <c r="H295" s="18">
        <v>8.6</v>
      </c>
    </row>
    <row r="296" spans="1:8" x14ac:dyDescent="0.25">
      <c r="A296" s="11">
        <v>2010</v>
      </c>
      <c r="B296" s="11" t="s">
        <v>262</v>
      </c>
      <c r="C296" s="18">
        <v>24.4</v>
      </c>
      <c r="D296" s="18">
        <v>62.2</v>
      </c>
      <c r="E296" s="18">
        <v>106.3</v>
      </c>
      <c r="F296" s="18">
        <v>103.7</v>
      </c>
      <c r="G296" s="18">
        <v>53.2</v>
      </c>
      <c r="H296" s="18">
        <v>8.6999999999999993</v>
      </c>
    </row>
    <row r="297" spans="1:8" x14ac:dyDescent="0.25">
      <c r="A297" s="11">
        <v>2010</v>
      </c>
      <c r="B297" s="11" t="s">
        <v>263</v>
      </c>
      <c r="C297" s="18">
        <v>16.899999999999999</v>
      </c>
      <c r="D297" s="18">
        <v>51</v>
      </c>
      <c r="E297" s="18">
        <v>93.9</v>
      </c>
      <c r="F297" s="18">
        <v>108.2</v>
      </c>
      <c r="G297" s="18">
        <v>53.1</v>
      </c>
      <c r="H297" s="18">
        <v>10.199999999999999</v>
      </c>
    </row>
    <row r="298" spans="1:8" x14ac:dyDescent="0.25">
      <c r="A298" s="11">
        <v>2010</v>
      </c>
      <c r="B298" s="11" t="s">
        <v>264</v>
      </c>
      <c r="C298" s="18">
        <v>22</v>
      </c>
      <c r="D298" s="18">
        <v>56.6</v>
      </c>
      <c r="E298" s="18">
        <v>87.1</v>
      </c>
      <c r="F298" s="18">
        <v>99.6</v>
      </c>
      <c r="G298" s="18">
        <v>55.2</v>
      </c>
      <c r="H298" s="18">
        <v>10.9</v>
      </c>
    </row>
    <row r="299" spans="1:8" x14ac:dyDescent="0.25">
      <c r="A299" s="11">
        <v>2010</v>
      </c>
      <c r="B299" s="11" t="s">
        <v>242</v>
      </c>
      <c r="C299" s="18">
        <v>25</v>
      </c>
      <c r="D299" s="18">
        <v>77.3</v>
      </c>
      <c r="E299" s="18">
        <v>104.4</v>
      </c>
      <c r="F299" s="18">
        <v>104.4</v>
      </c>
      <c r="G299" s="18">
        <v>52.5</v>
      </c>
      <c r="H299" s="18">
        <v>13.5</v>
      </c>
    </row>
    <row r="300" spans="1:8" x14ac:dyDescent="0.25">
      <c r="A300" s="11">
        <v>2010</v>
      </c>
      <c r="B300" s="11" t="s">
        <v>265</v>
      </c>
      <c r="C300" s="18">
        <v>23.2</v>
      </c>
      <c r="D300" s="18">
        <v>69.7</v>
      </c>
      <c r="E300" s="18">
        <v>101.8</v>
      </c>
      <c r="F300" s="18">
        <v>100.9</v>
      </c>
      <c r="G300" s="18">
        <v>48.7</v>
      </c>
      <c r="H300" s="18">
        <v>9.6999999999999993</v>
      </c>
    </row>
    <row r="301" spans="1:8" x14ac:dyDescent="0.25">
      <c r="A301" s="11">
        <v>2010</v>
      </c>
      <c r="B301" s="11" t="s">
        <v>266</v>
      </c>
      <c r="C301" s="18">
        <v>20.2</v>
      </c>
      <c r="D301" s="18">
        <v>45.5</v>
      </c>
      <c r="E301" s="18">
        <v>70.599999999999994</v>
      </c>
      <c r="F301" s="18">
        <v>106.4</v>
      </c>
      <c r="G301" s="18">
        <v>64</v>
      </c>
      <c r="H301" s="18">
        <v>14.4</v>
      </c>
    </row>
    <row r="302" spans="1:8" x14ac:dyDescent="0.25">
      <c r="A302" s="11">
        <v>2010</v>
      </c>
      <c r="B302" s="11" t="s">
        <v>267</v>
      </c>
      <c r="C302" s="18">
        <v>14.7</v>
      </c>
      <c r="D302" s="18">
        <v>61.2</v>
      </c>
      <c r="E302" s="18">
        <v>101.9</v>
      </c>
      <c r="F302" s="18">
        <v>115.2</v>
      </c>
      <c r="G302" s="18">
        <v>41.9</v>
      </c>
      <c r="H302" s="18">
        <v>14.6</v>
      </c>
    </row>
    <row r="303" spans="1:8" x14ac:dyDescent="0.25">
      <c r="A303" s="11">
        <v>2010</v>
      </c>
      <c r="B303" s="11" t="s">
        <v>268</v>
      </c>
      <c r="C303" s="18">
        <v>20</v>
      </c>
      <c r="D303" s="18">
        <v>83.8</v>
      </c>
      <c r="E303" s="18">
        <v>102.5</v>
      </c>
      <c r="F303" s="18">
        <v>127.4</v>
      </c>
      <c r="G303" s="18">
        <v>61.4</v>
      </c>
      <c r="H303" s="18">
        <v>7.2</v>
      </c>
    </row>
    <row r="304" spans="1:8" x14ac:dyDescent="0.25">
      <c r="A304" s="11">
        <v>2010</v>
      </c>
      <c r="B304" s="11" t="s">
        <v>269</v>
      </c>
      <c r="C304" s="18">
        <v>24.6</v>
      </c>
      <c r="D304" s="18">
        <v>62.6</v>
      </c>
      <c r="E304" s="18">
        <v>99</v>
      </c>
      <c r="F304" s="18">
        <v>97.6</v>
      </c>
      <c r="G304" s="18">
        <v>50.7</v>
      </c>
      <c r="H304" s="18">
        <v>9</v>
      </c>
    </row>
    <row r="305" spans="1:8" x14ac:dyDescent="0.25">
      <c r="A305" s="11">
        <v>2010</v>
      </c>
      <c r="B305" s="11" t="s">
        <v>270</v>
      </c>
      <c r="C305" s="18">
        <v>18.399999999999999</v>
      </c>
      <c r="D305" s="18">
        <v>63.3</v>
      </c>
      <c r="E305" s="18">
        <v>64.599999999999994</v>
      </c>
      <c r="F305" s="18">
        <v>108</v>
      </c>
      <c r="G305" s="18">
        <v>67.8</v>
      </c>
      <c r="H305" s="18">
        <v>11.6</v>
      </c>
    </row>
    <row r="306" spans="1:8" x14ac:dyDescent="0.25">
      <c r="A306" s="11">
        <v>2011</v>
      </c>
      <c r="B306" s="11" t="s">
        <v>11</v>
      </c>
      <c r="C306" s="18">
        <v>21.1</v>
      </c>
      <c r="D306" s="18">
        <v>57.9</v>
      </c>
      <c r="E306" s="18">
        <v>90.2</v>
      </c>
      <c r="F306" s="18">
        <v>102.8</v>
      </c>
      <c r="G306" s="18">
        <v>55.4</v>
      </c>
      <c r="H306" s="18">
        <v>11.2</v>
      </c>
    </row>
    <row r="307" spans="1:8" x14ac:dyDescent="0.25">
      <c r="A307" s="11">
        <v>2011</v>
      </c>
      <c r="B307" s="11" t="s">
        <v>260</v>
      </c>
      <c r="C307" s="18">
        <v>28.9</v>
      </c>
      <c r="D307" s="18">
        <v>78.900000000000006</v>
      </c>
      <c r="E307" s="18">
        <v>102.8</v>
      </c>
      <c r="F307" s="18">
        <v>95.9</v>
      </c>
      <c r="G307" s="18">
        <v>46.6</v>
      </c>
      <c r="H307" s="18">
        <v>9.6999999999999993</v>
      </c>
    </row>
    <row r="308" spans="1:8" x14ac:dyDescent="0.25">
      <c r="A308" s="11">
        <v>2011</v>
      </c>
      <c r="B308" s="11" t="s">
        <v>261</v>
      </c>
      <c r="C308" s="18">
        <v>19.8</v>
      </c>
      <c r="D308" s="18">
        <v>73.7</v>
      </c>
      <c r="E308" s="18">
        <v>116.2</v>
      </c>
      <c r="F308" s="18">
        <v>117.4</v>
      </c>
      <c r="G308" s="18">
        <v>54.2</v>
      </c>
      <c r="H308" s="18">
        <v>12.5</v>
      </c>
    </row>
    <row r="309" spans="1:8" x14ac:dyDescent="0.25">
      <c r="A309" s="11">
        <v>2011</v>
      </c>
      <c r="B309" s="11" t="s">
        <v>233</v>
      </c>
      <c r="C309" s="18">
        <v>21.1</v>
      </c>
      <c r="D309" s="18">
        <v>81.400000000000006</v>
      </c>
      <c r="E309" s="18">
        <v>111.3</v>
      </c>
      <c r="F309" s="18">
        <v>95.3</v>
      </c>
      <c r="G309" s="18">
        <v>46.9</v>
      </c>
      <c r="H309" s="18">
        <v>8.3000000000000007</v>
      </c>
    </row>
    <row r="310" spans="1:8" x14ac:dyDescent="0.25">
      <c r="A310" s="11">
        <v>2011</v>
      </c>
      <c r="B310" s="11" t="s">
        <v>240</v>
      </c>
      <c r="C310" s="18">
        <v>28</v>
      </c>
      <c r="D310" s="18">
        <v>70.7</v>
      </c>
      <c r="E310" s="18">
        <v>117.8</v>
      </c>
      <c r="F310" s="18">
        <v>104.1</v>
      </c>
      <c r="G310" s="18">
        <v>51.3</v>
      </c>
      <c r="H310" s="18">
        <v>8.3000000000000007</v>
      </c>
    </row>
    <row r="311" spans="1:8" x14ac:dyDescent="0.25">
      <c r="A311" s="11">
        <v>2011</v>
      </c>
      <c r="B311" s="11" t="s">
        <v>262</v>
      </c>
      <c r="C311" s="18">
        <v>20.8</v>
      </c>
      <c r="D311" s="18">
        <v>55.1</v>
      </c>
      <c r="E311" s="18">
        <v>93.7</v>
      </c>
      <c r="F311" s="18">
        <v>103.6</v>
      </c>
      <c r="G311" s="18">
        <v>53.8</v>
      </c>
      <c r="H311" s="18">
        <v>10.3</v>
      </c>
    </row>
    <row r="312" spans="1:8" x14ac:dyDescent="0.25">
      <c r="A312" s="11">
        <v>2011</v>
      </c>
      <c r="B312" s="11" t="s">
        <v>263</v>
      </c>
      <c r="C312" s="18">
        <v>15.4</v>
      </c>
      <c r="D312" s="18">
        <v>48.7</v>
      </c>
      <c r="E312" s="18">
        <v>88.6</v>
      </c>
      <c r="F312" s="18">
        <v>111.5</v>
      </c>
      <c r="G312" s="18">
        <v>54.9</v>
      </c>
      <c r="H312" s="18">
        <v>10.9</v>
      </c>
    </row>
    <row r="313" spans="1:8" x14ac:dyDescent="0.25">
      <c r="A313" s="11">
        <v>2011</v>
      </c>
      <c r="B313" s="11" t="s">
        <v>264</v>
      </c>
      <c r="C313" s="18">
        <v>20.6</v>
      </c>
      <c r="D313" s="18">
        <v>52.8</v>
      </c>
      <c r="E313" s="18">
        <v>83.4</v>
      </c>
      <c r="F313" s="18">
        <v>99.3</v>
      </c>
      <c r="G313" s="18">
        <v>56.2</v>
      </c>
      <c r="H313" s="18">
        <v>12.5</v>
      </c>
    </row>
    <row r="314" spans="1:8" x14ac:dyDescent="0.25">
      <c r="A314" s="11">
        <v>2011</v>
      </c>
      <c r="B314" s="11" t="s">
        <v>242</v>
      </c>
      <c r="C314" s="18">
        <v>23.5</v>
      </c>
      <c r="D314" s="18">
        <v>69.8</v>
      </c>
      <c r="E314" s="18">
        <v>95.3</v>
      </c>
      <c r="F314" s="18">
        <v>103.4</v>
      </c>
      <c r="G314" s="18">
        <v>54</v>
      </c>
      <c r="H314" s="18">
        <v>11.9</v>
      </c>
    </row>
    <row r="315" spans="1:8" x14ac:dyDescent="0.25">
      <c r="A315" s="11">
        <v>2011</v>
      </c>
      <c r="B315" s="11" t="s">
        <v>265</v>
      </c>
      <c r="C315" s="18">
        <v>21.9</v>
      </c>
      <c r="D315" s="18">
        <v>69.3</v>
      </c>
      <c r="E315" s="18">
        <v>101.3</v>
      </c>
      <c r="F315" s="18">
        <v>107.3</v>
      </c>
      <c r="G315" s="18">
        <v>53.1</v>
      </c>
      <c r="H315" s="18">
        <v>9.6</v>
      </c>
    </row>
    <row r="316" spans="1:8" x14ac:dyDescent="0.25">
      <c r="A316" s="11">
        <v>2011</v>
      </c>
      <c r="B316" s="11" t="s">
        <v>266</v>
      </c>
      <c r="C316" s="18">
        <v>17.8</v>
      </c>
      <c r="D316" s="18">
        <v>45.4</v>
      </c>
      <c r="E316" s="18">
        <v>70.400000000000006</v>
      </c>
      <c r="F316" s="18">
        <v>101.6</v>
      </c>
      <c r="G316" s="18">
        <v>64.900000000000006</v>
      </c>
      <c r="H316" s="18">
        <v>13.9</v>
      </c>
    </row>
    <row r="317" spans="1:8" x14ac:dyDescent="0.25">
      <c r="A317" s="11">
        <v>2011</v>
      </c>
      <c r="B317" s="11" t="s">
        <v>267</v>
      </c>
      <c r="C317" s="18">
        <v>10.5</v>
      </c>
      <c r="D317" s="18">
        <v>70.099999999999994</v>
      </c>
      <c r="E317" s="18">
        <v>120.1</v>
      </c>
      <c r="F317" s="18">
        <v>100.4</v>
      </c>
      <c r="G317" s="18">
        <v>49.7</v>
      </c>
      <c r="H317" s="18">
        <v>12.4</v>
      </c>
    </row>
    <row r="318" spans="1:8" x14ac:dyDescent="0.25">
      <c r="A318" s="11">
        <v>2011</v>
      </c>
      <c r="B318" s="11" t="s">
        <v>268</v>
      </c>
      <c r="C318" s="18">
        <v>20.7</v>
      </c>
      <c r="D318" s="18">
        <v>61.5</v>
      </c>
      <c r="E318" s="18">
        <v>102.6</v>
      </c>
      <c r="F318" s="18">
        <v>110.6</v>
      </c>
      <c r="G318" s="18">
        <v>54.1</v>
      </c>
      <c r="H318" s="18">
        <v>10.9</v>
      </c>
    </row>
    <row r="319" spans="1:8" x14ac:dyDescent="0.25">
      <c r="A319" s="11">
        <v>2011</v>
      </c>
      <c r="B319" s="11" t="s">
        <v>269</v>
      </c>
      <c r="C319" s="18">
        <v>22.3</v>
      </c>
      <c r="D319" s="18">
        <v>60.4</v>
      </c>
      <c r="E319" s="18">
        <v>98</v>
      </c>
      <c r="F319" s="18">
        <v>98.7</v>
      </c>
      <c r="G319" s="18">
        <v>54.1</v>
      </c>
      <c r="H319" s="18">
        <v>10.4</v>
      </c>
    </row>
    <row r="320" spans="1:8" x14ac:dyDescent="0.25">
      <c r="A320" s="11">
        <v>2011</v>
      </c>
      <c r="B320" s="11" t="s">
        <v>270</v>
      </c>
      <c r="C320" s="18">
        <v>16.600000000000001</v>
      </c>
      <c r="D320" s="18">
        <v>73.900000000000006</v>
      </c>
      <c r="E320" s="18">
        <v>98.4</v>
      </c>
      <c r="F320" s="18">
        <v>88.1</v>
      </c>
      <c r="G320" s="18">
        <v>54.1</v>
      </c>
      <c r="H320" s="18">
        <v>14</v>
      </c>
    </row>
    <row r="321" spans="1:8" x14ac:dyDescent="0.25">
      <c r="A321" s="11">
        <v>2012</v>
      </c>
      <c r="B321" s="11" t="s">
        <v>11</v>
      </c>
      <c r="C321" s="18">
        <v>19.7</v>
      </c>
      <c r="D321" s="18">
        <v>55.5</v>
      </c>
      <c r="E321" s="18">
        <v>91.4</v>
      </c>
      <c r="F321" s="18">
        <v>102</v>
      </c>
      <c r="G321" s="18">
        <v>55.8</v>
      </c>
      <c r="H321" s="18">
        <v>11</v>
      </c>
    </row>
    <row r="322" spans="1:8" x14ac:dyDescent="0.25">
      <c r="A322" s="11">
        <v>2012</v>
      </c>
      <c r="B322" s="11" t="s">
        <v>260</v>
      </c>
      <c r="C322" s="18">
        <v>23.4</v>
      </c>
      <c r="D322" s="18">
        <v>76.599999999999994</v>
      </c>
      <c r="E322" s="18">
        <v>101.5</v>
      </c>
      <c r="F322" s="18">
        <v>93.2</v>
      </c>
      <c r="G322" s="18">
        <v>47.2</v>
      </c>
      <c r="H322" s="18">
        <v>7.3</v>
      </c>
    </row>
    <row r="323" spans="1:8" x14ac:dyDescent="0.25">
      <c r="A323" s="11">
        <v>2012</v>
      </c>
      <c r="B323" s="11" t="s">
        <v>261</v>
      </c>
      <c r="C323" s="18">
        <v>21.4</v>
      </c>
      <c r="D323" s="18">
        <v>75.8</v>
      </c>
      <c r="E323" s="18">
        <v>116.3</v>
      </c>
      <c r="F323" s="18">
        <v>129.5</v>
      </c>
      <c r="G323" s="18">
        <v>54.4</v>
      </c>
      <c r="H323" s="18">
        <v>12.6</v>
      </c>
    </row>
    <row r="324" spans="1:8" x14ac:dyDescent="0.25">
      <c r="A324" s="11">
        <v>2012</v>
      </c>
      <c r="B324" s="11" t="s">
        <v>233</v>
      </c>
      <c r="C324" s="18">
        <v>21.7</v>
      </c>
      <c r="D324" s="18">
        <v>82.6</v>
      </c>
      <c r="E324" s="18">
        <v>115.2</v>
      </c>
      <c r="F324" s="18">
        <v>92.7</v>
      </c>
      <c r="G324" s="18">
        <v>44.8</v>
      </c>
      <c r="H324" s="18">
        <v>6.9</v>
      </c>
    </row>
    <row r="325" spans="1:8" x14ac:dyDescent="0.25">
      <c r="A325" s="11">
        <v>2012</v>
      </c>
      <c r="B325" s="11" t="s">
        <v>240</v>
      </c>
      <c r="C325" s="18">
        <v>24.1</v>
      </c>
      <c r="D325" s="18">
        <v>66.099999999999994</v>
      </c>
      <c r="E325" s="18">
        <v>109.5</v>
      </c>
      <c r="F325" s="18">
        <v>98.9</v>
      </c>
      <c r="G325" s="18">
        <v>51.6</v>
      </c>
      <c r="H325" s="18">
        <v>8.6999999999999993</v>
      </c>
    </row>
    <row r="326" spans="1:8" x14ac:dyDescent="0.25">
      <c r="A326" s="11">
        <v>2012</v>
      </c>
      <c r="B326" s="11" t="s">
        <v>262</v>
      </c>
      <c r="C326" s="18">
        <v>21.3</v>
      </c>
      <c r="D326" s="18">
        <v>60.3</v>
      </c>
      <c r="E326" s="18">
        <v>100.4</v>
      </c>
      <c r="F326" s="18">
        <v>104.9</v>
      </c>
      <c r="G326" s="18">
        <v>54.8</v>
      </c>
      <c r="H326" s="18">
        <v>10.9</v>
      </c>
    </row>
    <row r="327" spans="1:8" x14ac:dyDescent="0.25">
      <c r="A327" s="11">
        <v>2012</v>
      </c>
      <c r="B327" s="11" t="s">
        <v>263</v>
      </c>
      <c r="C327" s="18">
        <v>16.899999999999999</v>
      </c>
      <c r="D327" s="18">
        <v>47.8</v>
      </c>
      <c r="E327" s="18">
        <v>95.9</v>
      </c>
      <c r="F327" s="18">
        <v>110.3</v>
      </c>
      <c r="G327" s="18">
        <v>55.4</v>
      </c>
      <c r="H327" s="18">
        <v>10.4</v>
      </c>
    </row>
    <row r="328" spans="1:8" x14ac:dyDescent="0.25">
      <c r="A328" s="11">
        <v>2012</v>
      </c>
      <c r="B328" s="11" t="s">
        <v>264</v>
      </c>
      <c r="C328" s="18">
        <v>18.399999999999999</v>
      </c>
      <c r="D328" s="18">
        <v>47.7</v>
      </c>
      <c r="E328" s="18">
        <v>85.5</v>
      </c>
      <c r="F328" s="18">
        <v>102.8</v>
      </c>
      <c r="G328" s="18">
        <v>58.4</v>
      </c>
      <c r="H328" s="18">
        <v>12.2</v>
      </c>
    </row>
    <row r="329" spans="1:8" x14ac:dyDescent="0.25">
      <c r="A329" s="11">
        <v>2012</v>
      </c>
      <c r="B329" s="11" t="s">
        <v>242</v>
      </c>
      <c r="C329" s="18">
        <v>20</v>
      </c>
      <c r="D329" s="18">
        <v>76</v>
      </c>
      <c r="E329" s="18">
        <v>104.8</v>
      </c>
      <c r="F329" s="18">
        <v>99.9</v>
      </c>
      <c r="G329" s="18">
        <v>56.2</v>
      </c>
      <c r="H329" s="18">
        <v>12.8</v>
      </c>
    </row>
    <row r="330" spans="1:8" x14ac:dyDescent="0.25">
      <c r="A330" s="11">
        <v>2012</v>
      </c>
      <c r="B330" s="11" t="s">
        <v>265</v>
      </c>
      <c r="C330" s="18">
        <v>21.2</v>
      </c>
      <c r="D330" s="18">
        <v>67.7</v>
      </c>
      <c r="E330" s="18">
        <v>94.8</v>
      </c>
      <c r="F330" s="18">
        <v>104.2</v>
      </c>
      <c r="G330" s="18">
        <v>47</v>
      </c>
      <c r="H330" s="18">
        <v>9.3000000000000007</v>
      </c>
    </row>
    <row r="331" spans="1:8" x14ac:dyDescent="0.25">
      <c r="A331" s="11">
        <v>2012</v>
      </c>
      <c r="B331" s="11" t="s">
        <v>266</v>
      </c>
      <c r="C331" s="18">
        <v>17.8</v>
      </c>
      <c r="D331" s="18">
        <v>42.2</v>
      </c>
      <c r="E331" s="18">
        <v>74.2</v>
      </c>
      <c r="F331" s="18">
        <v>98</v>
      </c>
      <c r="G331" s="18">
        <v>68</v>
      </c>
      <c r="H331" s="18">
        <v>13.8</v>
      </c>
    </row>
    <row r="332" spans="1:8" x14ac:dyDescent="0.25">
      <c r="A332" s="11">
        <v>2012</v>
      </c>
      <c r="B332" s="11" t="s">
        <v>267</v>
      </c>
      <c r="C332" s="18">
        <v>14.3</v>
      </c>
      <c r="D332" s="18">
        <v>63</v>
      </c>
      <c r="E332" s="18">
        <v>95.1</v>
      </c>
      <c r="F332" s="18">
        <v>95.2</v>
      </c>
      <c r="G332" s="18">
        <v>60.4</v>
      </c>
      <c r="H332" s="18">
        <v>16.899999999999999</v>
      </c>
    </row>
    <row r="333" spans="1:8" x14ac:dyDescent="0.25">
      <c r="A333" s="11">
        <v>2012</v>
      </c>
      <c r="B333" s="11" t="s">
        <v>268</v>
      </c>
      <c r="C333" s="18">
        <v>12.9</v>
      </c>
      <c r="D333" s="18">
        <v>74.8</v>
      </c>
      <c r="E333" s="18">
        <v>126.4</v>
      </c>
      <c r="F333" s="18">
        <v>128.9</v>
      </c>
      <c r="G333" s="18">
        <v>66.400000000000006</v>
      </c>
      <c r="H333" s="18">
        <v>10.8</v>
      </c>
    </row>
    <row r="334" spans="1:8" x14ac:dyDescent="0.25">
      <c r="A334" s="11">
        <v>2012</v>
      </c>
      <c r="B334" s="11" t="s">
        <v>269</v>
      </c>
      <c r="C334" s="18">
        <v>19.100000000000001</v>
      </c>
      <c r="D334" s="18">
        <v>57</v>
      </c>
      <c r="E334" s="18">
        <v>92.1</v>
      </c>
      <c r="F334" s="18">
        <v>96.9</v>
      </c>
      <c r="G334" s="18">
        <v>49.6</v>
      </c>
      <c r="H334" s="18">
        <v>11.1</v>
      </c>
    </row>
    <row r="335" spans="1:8" x14ac:dyDescent="0.25">
      <c r="A335" s="11">
        <v>2012</v>
      </c>
      <c r="B335" s="11" t="s">
        <v>270</v>
      </c>
      <c r="C335" s="18">
        <v>17.8</v>
      </c>
      <c r="D335" s="18">
        <v>61.5</v>
      </c>
      <c r="E335" s="18">
        <v>85.7</v>
      </c>
      <c r="F335" s="18">
        <v>109.5</v>
      </c>
      <c r="G335" s="18">
        <v>69.3</v>
      </c>
      <c r="H335" s="18">
        <v>7.1</v>
      </c>
    </row>
    <row r="336" spans="1:8" x14ac:dyDescent="0.25">
      <c r="A336" s="11">
        <v>2013</v>
      </c>
      <c r="B336" s="11" t="s">
        <v>11</v>
      </c>
      <c r="C336" s="18">
        <v>18.100000000000001</v>
      </c>
      <c r="D336" s="18">
        <v>53.2</v>
      </c>
      <c r="E336" s="18">
        <v>86.7</v>
      </c>
      <c r="F336" s="18">
        <v>98.6</v>
      </c>
      <c r="G336" s="18">
        <v>56.1</v>
      </c>
      <c r="H336" s="18">
        <v>11.5</v>
      </c>
    </row>
    <row r="337" spans="1:8" x14ac:dyDescent="0.25">
      <c r="A337" s="11">
        <v>2013</v>
      </c>
      <c r="B337" s="11" t="s">
        <v>260</v>
      </c>
      <c r="C337" s="18">
        <v>21.9</v>
      </c>
      <c r="D337" s="18">
        <v>74.7</v>
      </c>
      <c r="E337" s="18">
        <v>98.3</v>
      </c>
      <c r="F337" s="18">
        <v>93.4</v>
      </c>
      <c r="G337" s="18">
        <v>46.8</v>
      </c>
      <c r="H337" s="18">
        <v>10.6</v>
      </c>
    </row>
    <row r="338" spans="1:8" x14ac:dyDescent="0.25">
      <c r="A338" s="11">
        <v>2013</v>
      </c>
      <c r="B338" s="11" t="s">
        <v>261</v>
      </c>
      <c r="C338" s="18">
        <v>13.9</v>
      </c>
      <c r="D338" s="18">
        <v>73</v>
      </c>
      <c r="E338" s="18">
        <v>118.2</v>
      </c>
      <c r="F338" s="18">
        <v>128.4</v>
      </c>
      <c r="G338" s="18">
        <v>64.099999999999994</v>
      </c>
      <c r="H338" s="18">
        <v>11.4</v>
      </c>
    </row>
    <row r="339" spans="1:8" x14ac:dyDescent="0.25">
      <c r="A339" s="11">
        <v>2013</v>
      </c>
      <c r="B339" s="11" t="s">
        <v>233</v>
      </c>
      <c r="C339" s="18">
        <v>20.399999999999999</v>
      </c>
      <c r="D339" s="18">
        <v>73.599999999999994</v>
      </c>
      <c r="E339" s="18">
        <v>106.8</v>
      </c>
      <c r="F339" s="18">
        <v>90.6</v>
      </c>
      <c r="G339" s="18">
        <v>46.3</v>
      </c>
      <c r="H339" s="18">
        <v>9.6999999999999993</v>
      </c>
    </row>
    <row r="340" spans="1:8" x14ac:dyDescent="0.25">
      <c r="A340" s="11">
        <v>2013</v>
      </c>
      <c r="B340" s="11" t="s">
        <v>240</v>
      </c>
      <c r="C340" s="18">
        <v>21.7</v>
      </c>
      <c r="D340" s="18">
        <v>64.099999999999994</v>
      </c>
      <c r="E340" s="18">
        <v>101.7</v>
      </c>
      <c r="F340" s="18">
        <v>100.1</v>
      </c>
      <c r="G340" s="18">
        <v>49.8</v>
      </c>
      <c r="H340" s="18">
        <v>9</v>
      </c>
    </row>
    <row r="341" spans="1:8" x14ac:dyDescent="0.25">
      <c r="A341" s="11">
        <v>2013</v>
      </c>
      <c r="B341" s="11" t="s">
        <v>262</v>
      </c>
      <c r="C341" s="18">
        <v>19.100000000000001</v>
      </c>
      <c r="D341" s="18">
        <v>59.9</v>
      </c>
      <c r="E341" s="18">
        <v>90.7</v>
      </c>
      <c r="F341" s="18">
        <v>96.8</v>
      </c>
      <c r="G341" s="18">
        <v>52.9</v>
      </c>
      <c r="H341" s="18">
        <v>11.3</v>
      </c>
    </row>
    <row r="342" spans="1:8" x14ac:dyDescent="0.25">
      <c r="A342" s="11">
        <v>2013</v>
      </c>
      <c r="B342" s="11" t="s">
        <v>263</v>
      </c>
      <c r="C342" s="18">
        <v>15.8</v>
      </c>
      <c r="D342" s="18">
        <v>44.9</v>
      </c>
      <c r="E342" s="18">
        <v>86.4</v>
      </c>
      <c r="F342" s="18">
        <v>104.2</v>
      </c>
      <c r="G342" s="18">
        <v>55</v>
      </c>
      <c r="H342" s="18">
        <v>10.3</v>
      </c>
    </row>
    <row r="343" spans="1:8" x14ac:dyDescent="0.25">
      <c r="A343" s="11">
        <v>2013</v>
      </c>
      <c r="B343" s="11" t="s">
        <v>264</v>
      </c>
      <c r="C343" s="18">
        <v>17.600000000000001</v>
      </c>
      <c r="D343" s="18">
        <v>45.8</v>
      </c>
      <c r="E343" s="18">
        <v>80</v>
      </c>
      <c r="F343" s="18">
        <v>97</v>
      </c>
      <c r="G343" s="18">
        <v>60.5</v>
      </c>
      <c r="H343" s="18">
        <v>12.1</v>
      </c>
    </row>
    <row r="344" spans="1:8" x14ac:dyDescent="0.25">
      <c r="A344" s="11">
        <v>2013</v>
      </c>
      <c r="B344" s="11" t="s">
        <v>242</v>
      </c>
      <c r="C344" s="18">
        <v>19.100000000000001</v>
      </c>
      <c r="D344" s="18">
        <v>73.599999999999994</v>
      </c>
      <c r="E344" s="18">
        <v>92.4</v>
      </c>
      <c r="F344" s="18">
        <v>95.1</v>
      </c>
      <c r="G344" s="18">
        <v>52.6</v>
      </c>
      <c r="H344" s="18">
        <v>13.1</v>
      </c>
    </row>
    <row r="345" spans="1:8" x14ac:dyDescent="0.25">
      <c r="A345" s="11">
        <v>2013</v>
      </c>
      <c r="B345" s="11" t="s">
        <v>265</v>
      </c>
      <c r="C345" s="18">
        <v>19.7</v>
      </c>
      <c r="D345" s="18">
        <v>64.900000000000006</v>
      </c>
      <c r="E345" s="18">
        <v>99.1</v>
      </c>
      <c r="F345" s="18">
        <v>100.3</v>
      </c>
      <c r="G345" s="18">
        <v>48.1</v>
      </c>
      <c r="H345" s="18">
        <v>9.5</v>
      </c>
    </row>
    <row r="346" spans="1:8" x14ac:dyDescent="0.25">
      <c r="A346" s="11">
        <v>2013</v>
      </c>
      <c r="B346" s="11" t="s">
        <v>266</v>
      </c>
      <c r="C346" s="18">
        <v>15.3</v>
      </c>
      <c r="D346" s="18">
        <v>40.1</v>
      </c>
      <c r="E346" s="18">
        <v>69.8</v>
      </c>
      <c r="F346" s="18">
        <v>98.9</v>
      </c>
      <c r="G346" s="18">
        <v>66.900000000000006</v>
      </c>
      <c r="H346" s="18">
        <v>15.1</v>
      </c>
    </row>
    <row r="347" spans="1:8" x14ac:dyDescent="0.25">
      <c r="A347" s="11">
        <v>2013</v>
      </c>
      <c r="B347" s="11" t="s">
        <v>267</v>
      </c>
      <c r="C347" s="18">
        <v>5</v>
      </c>
      <c r="D347" s="18">
        <v>57.3</v>
      </c>
      <c r="E347" s="18">
        <v>124.6</v>
      </c>
      <c r="F347" s="18">
        <v>100</v>
      </c>
      <c r="G347" s="18">
        <v>52.2</v>
      </c>
      <c r="H347" s="18">
        <v>10.7</v>
      </c>
    </row>
    <row r="348" spans="1:8" x14ac:dyDescent="0.25">
      <c r="A348" s="11">
        <v>2013</v>
      </c>
      <c r="B348" s="11" t="s">
        <v>268</v>
      </c>
      <c r="C348" s="18">
        <v>12.7</v>
      </c>
      <c r="D348" s="18">
        <v>69.5</v>
      </c>
      <c r="E348" s="18">
        <v>135.1</v>
      </c>
      <c r="F348" s="18">
        <v>93.3</v>
      </c>
      <c r="G348" s="18">
        <v>70.400000000000006</v>
      </c>
      <c r="H348" s="18">
        <v>16</v>
      </c>
    </row>
    <row r="349" spans="1:8" x14ac:dyDescent="0.25">
      <c r="A349" s="11">
        <v>2013</v>
      </c>
      <c r="B349" s="11" t="s">
        <v>269</v>
      </c>
      <c r="C349" s="18">
        <v>19.2</v>
      </c>
      <c r="D349" s="18">
        <v>53.1</v>
      </c>
      <c r="E349" s="18">
        <v>88.3</v>
      </c>
      <c r="F349" s="18">
        <v>93.9</v>
      </c>
      <c r="G349" s="18">
        <v>51.9</v>
      </c>
      <c r="H349" s="18">
        <v>10.5</v>
      </c>
    </row>
    <row r="350" spans="1:8" x14ac:dyDescent="0.25">
      <c r="A350" s="11">
        <v>2013</v>
      </c>
      <c r="B350" s="11" t="s">
        <v>270</v>
      </c>
      <c r="C350" s="18">
        <v>18.2</v>
      </c>
      <c r="D350" s="18">
        <v>84.8</v>
      </c>
      <c r="E350" s="18">
        <v>103.9</v>
      </c>
      <c r="F350" s="18">
        <v>96.2</v>
      </c>
      <c r="G350" s="18">
        <v>52.5</v>
      </c>
      <c r="H350" s="18">
        <v>14.1</v>
      </c>
    </row>
    <row r="351" spans="1:8" x14ac:dyDescent="0.25">
      <c r="A351" s="11">
        <v>2014</v>
      </c>
      <c r="B351" s="11" t="s">
        <v>11</v>
      </c>
      <c r="C351" s="18">
        <v>16.399999999999999</v>
      </c>
      <c r="D351" s="18">
        <v>50.8</v>
      </c>
      <c r="E351" s="18">
        <v>89.1</v>
      </c>
      <c r="F351" s="18">
        <v>101.3</v>
      </c>
      <c r="G351" s="18">
        <v>58.3</v>
      </c>
      <c r="H351" s="18">
        <v>11.9</v>
      </c>
    </row>
    <row r="352" spans="1:8" x14ac:dyDescent="0.25">
      <c r="A352" s="11">
        <v>2014</v>
      </c>
      <c r="B352" s="11" t="s">
        <v>260</v>
      </c>
      <c r="C352" s="18">
        <v>18.8</v>
      </c>
      <c r="D352" s="18">
        <v>71.3</v>
      </c>
      <c r="E352" s="18">
        <v>98.3</v>
      </c>
      <c r="F352" s="18">
        <v>91.6</v>
      </c>
      <c r="G352" s="18">
        <v>49.8</v>
      </c>
      <c r="H352" s="18">
        <v>10.7</v>
      </c>
    </row>
    <row r="353" spans="1:8" x14ac:dyDescent="0.25">
      <c r="A353" s="11">
        <v>2014</v>
      </c>
      <c r="B353" s="11" t="s">
        <v>261</v>
      </c>
      <c r="C353" s="18">
        <v>17.100000000000001</v>
      </c>
      <c r="D353" s="18">
        <v>63.3</v>
      </c>
      <c r="E353" s="18">
        <v>123</v>
      </c>
      <c r="F353" s="18">
        <v>120.8</v>
      </c>
      <c r="G353" s="18">
        <v>50.9</v>
      </c>
      <c r="H353" s="18">
        <v>13.6</v>
      </c>
    </row>
    <row r="354" spans="1:8" x14ac:dyDescent="0.25">
      <c r="A354" s="11">
        <v>2014</v>
      </c>
      <c r="B354" s="11" t="s">
        <v>233</v>
      </c>
      <c r="C354" s="18">
        <v>19.100000000000001</v>
      </c>
      <c r="D354" s="18">
        <v>71.599999999999994</v>
      </c>
      <c r="E354" s="18">
        <v>99.1</v>
      </c>
      <c r="F354" s="18">
        <v>89.7</v>
      </c>
      <c r="G354" s="18">
        <v>48.3</v>
      </c>
      <c r="H354" s="18">
        <v>10.1</v>
      </c>
    </row>
    <row r="355" spans="1:8" x14ac:dyDescent="0.25">
      <c r="A355" s="11">
        <v>2014</v>
      </c>
      <c r="B355" s="11" t="s">
        <v>240</v>
      </c>
      <c r="C355" s="18">
        <v>22.1</v>
      </c>
      <c r="D355" s="18">
        <v>64.099999999999994</v>
      </c>
      <c r="E355" s="18">
        <v>102</v>
      </c>
      <c r="F355" s="18">
        <v>101.5</v>
      </c>
      <c r="G355" s="18">
        <v>49.8</v>
      </c>
      <c r="H355" s="18">
        <v>10.7</v>
      </c>
    </row>
    <row r="356" spans="1:8" x14ac:dyDescent="0.25">
      <c r="A356" s="11">
        <v>2014</v>
      </c>
      <c r="B356" s="11" t="s">
        <v>262</v>
      </c>
      <c r="C356" s="18">
        <v>18.3</v>
      </c>
      <c r="D356" s="18">
        <v>61.7</v>
      </c>
      <c r="E356" s="18">
        <v>96.9</v>
      </c>
      <c r="F356" s="18">
        <v>100.4</v>
      </c>
      <c r="G356" s="18">
        <v>58.3</v>
      </c>
      <c r="H356" s="18">
        <v>9.9</v>
      </c>
    </row>
    <row r="357" spans="1:8" x14ac:dyDescent="0.25">
      <c r="A357" s="11">
        <v>2014</v>
      </c>
      <c r="B357" s="11" t="s">
        <v>263</v>
      </c>
      <c r="C357" s="18">
        <v>12</v>
      </c>
      <c r="D357" s="18">
        <v>41.8</v>
      </c>
      <c r="E357" s="18">
        <v>89.3</v>
      </c>
      <c r="F357" s="18">
        <v>107.1</v>
      </c>
      <c r="G357" s="18">
        <v>59.3</v>
      </c>
      <c r="H357" s="18">
        <v>11.6</v>
      </c>
    </row>
    <row r="358" spans="1:8" x14ac:dyDescent="0.25">
      <c r="A358" s="11">
        <v>2014</v>
      </c>
      <c r="B358" s="11" t="s">
        <v>264</v>
      </c>
      <c r="C358" s="18">
        <v>15.5</v>
      </c>
      <c r="D358" s="18">
        <v>44</v>
      </c>
      <c r="E358" s="18">
        <v>80.400000000000006</v>
      </c>
      <c r="F358" s="18">
        <v>102.2</v>
      </c>
      <c r="G358" s="18">
        <v>61.6</v>
      </c>
      <c r="H358" s="18">
        <v>12.8</v>
      </c>
    </row>
    <row r="359" spans="1:8" x14ac:dyDescent="0.25">
      <c r="A359" s="11">
        <v>2014</v>
      </c>
      <c r="B359" s="11" t="s">
        <v>242</v>
      </c>
      <c r="C359" s="18">
        <v>17.5</v>
      </c>
      <c r="D359" s="18">
        <v>73.5</v>
      </c>
      <c r="E359" s="18">
        <v>103.4</v>
      </c>
      <c r="F359" s="18">
        <v>96.5</v>
      </c>
      <c r="G359" s="18">
        <v>58.6</v>
      </c>
      <c r="H359" s="18">
        <v>11</v>
      </c>
    </row>
    <row r="360" spans="1:8" x14ac:dyDescent="0.25">
      <c r="A360" s="11">
        <v>2014</v>
      </c>
      <c r="B360" s="11" t="s">
        <v>265</v>
      </c>
      <c r="C360" s="18">
        <v>17.3</v>
      </c>
      <c r="D360" s="18">
        <v>59.1</v>
      </c>
      <c r="E360" s="18">
        <v>102.7</v>
      </c>
      <c r="F360" s="18">
        <v>104.6</v>
      </c>
      <c r="G360" s="18">
        <v>52.7</v>
      </c>
      <c r="H360" s="18">
        <v>9.3000000000000007</v>
      </c>
    </row>
    <row r="361" spans="1:8" x14ac:dyDescent="0.25">
      <c r="A361" s="11">
        <v>2014</v>
      </c>
      <c r="B361" s="11" t="s">
        <v>266</v>
      </c>
      <c r="C361" s="18">
        <v>15.3</v>
      </c>
      <c r="D361" s="18">
        <v>37.1</v>
      </c>
      <c r="E361" s="18">
        <v>70.900000000000006</v>
      </c>
      <c r="F361" s="18">
        <v>99.5</v>
      </c>
      <c r="G361" s="18">
        <v>67</v>
      </c>
      <c r="H361" s="18">
        <v>16</v>
      </c>
    </row>
    <row r="362" spans="1:8" x14ac:dyDescent="0.25">
      <c r="A362" s="11">
        <v>2014</v>
      </c>
      <c r="B362" s="11" t="s">
        <v>267</v>
      </c>
      <c r="C362" s="18">
        <v>10.9</v>
      </c>
      <c r="D362" s="18">
        <v>49.8</v>
      </c>
      <c r="E362" s="18">
        <v>94.3</v>
      </c>
      <c r="F362" s="18">
        <v>102.7</v>
      </c>
      <c r="G362" s="18">
        <v>53.6</v>
      </c>
      <c r="H362" s="18">
        <v>5.5</v>
      </c>
    </row>
    <row r="363" spans="1:8" x14ac:dyDescent="0.25">
      <c r="A363" s="11">
        <v>2014</v>
      </c>
      <c r="B363" s="11" t="s">
        <v>268</v>
      </c>
      <c r="C363" s="18">
        <v>12.8</v>
      </c>
      <c r="D363" s="18">
        <v>59.8</v>
      </c>
      <c r="E363" s="18">
        <v>102.4</v>
      </c>
      <c r="F363" s="18">
        <v>118.9</v>
      </c>
      <c r="G363" s="18">
        <v>80.900000000000006</v>
      </c>
      <c r="H363" s="18">
        <v>9.9</v>
      </c>
    </row>
    <row r="364" spans="1:8" x14ac:dyDescent="0.25">
      <c r="A364" s="11">
        <v>2014</v>
      </c>
      <c r="B364" s="11" t="s">
        <v>269</v>
      </c>
      <c r="C364" s="18">
        <v>16.2</v>
      </c>
      <c r="D364" s="18">
        <v>53.5</v>
      </c>
      <c r="E364" s="18">
        <v>100.3</v>
      </c>
      <c r="F364" s="18">
        <v>98.3</v>
      </c>
      <c r="G364" s="18">
        <v>53.7</v>
      </c>
      <c r="H364" s="18">
        <v>10.5</v>
      </c>
    </row>
    <row r="365" spans="1:8" x14ac:dyDescent="0.25">
      <c r="A365" s="11">
        <v>2014</v>
      </c>
      <c r="B365" s="11" t="s">
        <v>270</v>
      </c>
      <c r="C365" s="18">
        <v>9.6999999999999993</v>
      </c>
      <c r="D365" s="18">
        <v>46.9</v>
      </c>
      <c r="E365" s="18">
        <v>103.4</v>
      </c>
      <c r="F365" s="18">
        <v>101.2</v>
      </c>
      <c r="G365" s="18">
        <v>59.4</v>
      </c>
      <c r="H365" s="18">
        <v>19.5</v>
      </c>
    </row>
    <row r="366" spans="1:8" x14ac:dyDescent="0.25">
      <c r="A366" s="11">
        <v>2015</v>
      </c>
      <c r="B366" s="11" t="s">
        <v>11</v>
      </c>
      <c r="C366" s="18">
        <v>14.4</v>
      </c>
      <c r="D366" s="18">
        <v>47.5</v>
      </c>
      <c r="E366" s="18">
        <v>86.3</v>
      </c>
      <c r="F366" s="18">
        <v>99.4</v>
      </c>
      <c r="G366" s="18">
        <v>58.2</v>
      </c>
      <c r="H366" s="18">
        <v>11.6</v>
      </c>
    </row>
    <row r="367" spans="1:8" x14ac:dyDescent="0.25">
      <c r="A367" s="11">
        <v>2015</v>
      </c>
      <c r="B367" s="11" t="s">
        <v>260</v>
      </c>
      <c r="C367" s="18">
        <v>17</v>
      </c>
      <c r="D367" s="18">
        <v>65.599999999999994</v>
      </c>
      <c r="E367" s="18">
        <v>103.5</v>
      </c>
      <c r="F367" s="18">
        <v>99.7</v>
      </c>
      <c r="G367" s="18">
        <v>53.5</v>
      </c>
      <c r="H367" s="18">
        <v>8.8000000000000007</v>
      </c>
    </row>
    <row r="368" spans="1:8" x14ac:dyDescent="0.25">
      <c r="A368" s="11">
        <v>2015</v>
      </c>
      <c r="B368" s="11" t="s">
        <v>261</v>
      </c>
      <c r="C368" s="18">
        <v>15.5</v>
      </c>
      <c r="D368" s="18">
        <v>68.8</v>
      </c>
      <c r="E368" s="18">
        <v>112.9</v>
      </c>
      <c r="F368" s="18">
        <v>111.4</v>
      </c>
      <c r="G368" s="18">
        <v>54.6</v>
      </c>
      <c r="H368" s="18">
        <v>9.9</v>
      </c>
    </row>
    <row r="369" spans="1:8" x14ac:dyDescent="0.25">
      <c r="A369" s="11">
        <v>2015</v>
      </c>
      <c r="B369" s="11" t="s">
        <v>233</v>
      </c>
      <c r="C369" s="18">
        <v>12.1</v>
      </c>
      <c r="D369" s="18">
        <v>65.599999999999994</v>
      </c>
      <c r="E369" s="18">
        <v>112.6</v>
      </c>
      <c r="F369" s="18">
        <v>89.5</v>
      </c>
      <c r="G369" s="18">
        <v>44.8</v>
      </c>
      <c r="H369" s="18">
        <v>7.5</v>
      </c>
    </row>
    <row r="370" spans="1:8" x14ac:dyDescent="0.25">
      <c r="A370" s="11">
        <v>2015</v>
      </c>
      <c r="B370" s="11" t="s">
        <v>240</v>
      </c>
      <c r="C370" s="18">
        <v>18.2</v>
      </c>
      <c r="D370" s="18">
        <v>60.3</v>
      </c>
      <c r="E370" s="18">
        <v>102.1</v>
      </c>
      <c r="F370" s="18">
        <v>97.2</v>
      </c>
      <c r="G370" s="18">
        <v>51.7</v>
      </c>
      <c r="H370" s="18">
        <v>10</v>
      </c>
    </row>
    <row r="371" spans="1:8" x14ac:dyDescent="0.25">
      <c r="A371" s="11">
        <v>2015</v>
      </c>
      <c r="B371" s="11" t="s">
        <v>262</v>
      </c>
      <c r="C371" s="18">
        <v>15.1</v>
      </c>
      <c r="D371" s="18">
        <v>50</v>
      </c>
      <c r="E371" s="18">
        <v>98.6</v>
      </c>
      <c r="F371" s="18">
        <v>96.6</v>
      </c>
      <c r="G371" s="18">
        <v>55.8</v>
      </c>
      <c r="H371" s="18">
        <v>9.6</v>
      </c>
    </row>
    <row r="372" spans="1:8" x14ac:dyDescent="0.25">
      <c r="A372" s="11">
        <v>2015</v>
      </c>
      <c r="B372" s="11" t="s">
        <v>263</v>
      </c>
      <c r="C372" s="18">
        <v>11.1</v>
      </c>
      <c r="D372" s="18">
        <v>40.299999999999997</v>
      </c>
      <c r="E372" s="18">
        <v>91.5</v>
      </c>
      <c r="F372" s="18">
        <v>108.9</v>
      </c>
      <c r="G372" s="18">
        <v>59</v>
      </c>
      <c r="H372" s="18">
        <v>11.4</v>
      </c>
    </row>
    <row r="373" spans="1:8" x14ac:dyDescent="0.25">
      <c r="A373" s="11">
        <v>2015</v>
      </c>
      <c r="B373" s="11" t="s">
        <v>264</v>
      </c>
      <c r="C373" s="18">
        <v>14</v>
      </c>
      <c r="D373" s="18">
        <v>42.1</v>
      </c>
      <c r="E373" s="18">
        <v>73.3</v>
      </c>
      <c r="F373" s="18">
        <v>98.3</v>
      </c>
      <c r="G373" s="18">
        <v>61.1</v>
      </c>
      <c r="H373" s="18">
        <v>14.6</v>
      </c>
    </row>
    <row r="374" spans="1:8" x14ac:dyDescent="0.25">
      <c r="A374" s="11">
        <v>2015</v>
      </c>
      <c r="B374" s="11" t="s">
        <v>242</v>
      </c>
      <c r="C374" s="18">
        <v>13.2</v>
      </c>
      <c r="D374" s="18">
        <v>70.400000000000006</v>
      </c>
      <c r="E374" s="18">
        <v>100.8</v>
      </c>
      <c r="F374" s="18">
        <v>94.7</v>
      </c>
      <c r="G374" s="18">
        <v>55.5</v>
      </c>
      <c r="H374" s="18">
        <v>11.1</v>
      </c>
    </row>
    <row r="375" spans="1:8" x14ac:dyDescent="0.25">
      <c r="A375" s="11">
        <v>2015</v>
      </c>
      <c r="B375" s="11" t="s">
        <v>265</v>
      </c>
      <c r="C375" s="18">
        <v>16.3</v>
      </c>
      <c r="D375" s="18">
        <v>58.7</v>
      </c>
      <c r="E375" s="18">
        <v>97.7</v>
      </c>
      <c r="F375" s="18">
        <v>101</v>
      </c>
      <c r="G375" s="18">
        <v>53.2</v>
      </c>
      <c r="H375" s="18">
        <v>10.3</v>
      </c>
    </row>
    <row r="376" spans="1:8" x14ac:dyDescent="0.25">
      <c r="A376" s="11">
        <v>2015</v>
      </c>
      <c r="B376" s="11" t="s">
        <v>266</v>
      </c>
      <c r="C376" s="18">
        <v>12.9</v>
      </c>
      <c r="D376" s="18">
        <v>32.700000000000003</v>
      </c>
      <c r="E376" s="18">
        <v>70.8</v>
      </c>
      <c r="F376" s="18">
        <v>96.5</v>
      </c>
      <c r="G376" s="18">
        <v>67</v>
      </c>
      <c r="H376" s="18">
        <v>13.2</v>
      </c>
    </row>
    <row r="377" spans="1:8" x14ac:dyDescent="0.25">
      <c r="A377" s="11">
        <v>2015</v>
      </c>
      <c r="B377" s="11" t="s">
        <v>267</v>
      </c>
      <c r="C377" s="18">
        <v>5.8</v>
      </c>
      <c r="D377" s="18">
        <v>45.8</v>
      </c>
      <c r="E377" s="18">
        <v>95.6</v>
      </c>
      <c r="F377" s="18">
        <v>106.3</v>
      </c>
      <c r="G377" s="18">
        <v>60.8</v>
      </c>
      <c r="H377" s="18">
        <v>16.600000000000001</v>
      </c>
    </row>
    <row r="378" spans="1:8" x14ac:dyDescent="0.25">
      <c r="A378" s="11">
        <v>2015</v>
      </c>
      <c r="B378" s="11" t="s">
        <v>268</v>
      </c>
      <c r="C378" s="18">
        <v>11.7</v>
      </c>
      <c r="D378" s="18">
        <v>55.6</v>
      </c>
      <c r="E378" s="18">
        <v>106.2</v>
      </c>
      <c r="F378" s="18">
        <v>94.9</v>
      </c>
      <c r="G378" s="18">
        <v>77.099999999999994</v>
      </c>
      <c r="H378" s="18">
        <v>7.6</v>
      </c>
    </row>
    <row r="379" spans="1:8" x14ac:dyDescent="0.25">
      <c r="A379" s="11">
        <v>2015</v>
      </c>
      <c r="B379" s="11" t="s">
        <v>269</v>
      </c>
      <c r="C379" s="18">
        <v>14.8</v>
      </c>
      <c r="D379" s="18">
        <v>48.6</v>
      </c>
      <c r="E379" s="18">
        <v>87.6</v>
      </c>
      <c r="F379" s="18">
        <v>99.1</v>
      </c>
      <c r="G379" s="18">
        <v>52.6</v>
      </c>
      <c r="H379" s="18">
        <v>10.6</v>
      </c>
    </row>
    <row r="380" spans="1:8" x14ac:dyDescent="0.25">
      <c r="A380" s="11">
        <v>2015</v>
      </c>
      <c r="B380" s="11" t="s">
        <v>270</v>
      </c>
      <c r="C380" s="18">
        <v>17.8</v>
      </c>
      <c r="D380" s="18">
        <v>62.2</v>
      </c>
      <c r="E380" s="18">
        <v>96.6</v>
      </c>
      <c r="F380" s="18">
        <v>98.6</v>
      </c>
      <c r="G380" s="18">
        <v>55.2</v>
      </c>
      <c r="H380" s="18">
        <v>14.4</v>
      </c>
    </row>
    <row r="381" spans="1:8" x14ac:dyDescent="0.25">
      <c r="A381" s="11">
        <v>2016</v>
      </c>
      <c r="B381" s="11" t="s">
        <v>11</v>
      </c>
      <c r="C381" s="18">
        <v>13.4</v>
      </c>
      <c r="D381" s="18">
        <v>46.2</v>
      </c>
      <c r="E381" s="18">
        <v>83.2</v>
      </c>
      <c r="F381" s="18">
        <v>99.4</v>
      </c>
      <c r="G381" s="18">
        <v>57.7</v>
      </c>
      <c r="H381" s="18">
        <v>12.7</v>
      </c>
    </row>
    <row r="382" spans="1:8" x14ac:dyDescent="0.25">
      <c r="A382" s="11">
        <v>2016</v>
      </c>
      <c r="B382" s="11" t="s">
        <v>260</v>
      </c>
      <c r="C382" s="18">
        <v>18.399999999999999</v>
      </c>
      <c r="D382" s="18">
        <v>67.5</v>
      </c>
      <c r="E382" s="18">
        <v>97.1</v>
      </c>
      <c r="F382" s="18">
        <v>98.3</v>
      </c>
      <c r="G382" s="18">
        <v>48.5</v>
      </c>
      <c r="H382" s="18">
        <v>9.5</v>
      </c>
    </row>
    <row r="383" spans="1:8" x14ac:dyDescent="0.25">
      <c r="A383" s="11">
        <v>2016</v>
      </c>
      <c r="B383" s="11" t="s">
        <v>261</v>
      </c>
      <c r="C383" s="18">
        <v>13.8</v>
      </c>
      <c r="D383" s="18">
        <v>56</v>
      </c>
      <c r="E383" s="18">
        <v>107.7</v>
      </c>
      <c r="F383" s="18">
        <v>105</v>
      </c>
      <c r="G383" s="18">
        <v>62.3</v>
      </c>
      <c r="H383" s="18">
        <v>13.4</v>
      </c>
    </row>
    <row r="384" spans="1:8" x14ac:dyDescent="0.25">
      <c r="A384" s="11">
        <v>2016</v>
      </c>
      <c r="B384" s="11" t="s">
        <v>233</v>
      </c>
      <c r="C384" s="18">
        <v>20.8</v>
      </c>
      <c r="D384" s="18">
        <v>69.7</v>
      </c>
      <c r="E384" s="18">
        <v>106.2</v>
      </c>
      <c r="F384" s="18">
        <v>99</v>
      </c>
      <c r="G384" s="18">
        <v>42.1</v>
      </c>
      <c r="H384" s="18">
        <v>12.2</v>
      </c>
    </row>
    <row r="385" spans="1:8" x14ac:dyDescent="0.25">
      <c r="A385" s="11">
        <v>2016</v>
      </c>
      <c r="B385" s="11" t="s">
        <v>240</v>
      </c>
      <c r="C385" s="18">
        <v>17.899999999999999</v>
      </c>
      <c r="D385" s="18">
        <v>57.7</v>
      </c>
      <c r="E385" s="18">
        <v>102.1</v>
      </c>
      <c r="F385" s="18">
        <v>96.2</v>
      </c>
      <c r="G385" s="18">
        <v>52.6</v>
      </c>
      <c r="H385" s="18">
        <v>11</v>
      </c>
    </row>
    <row r="386" spans="1:8" x14ac:dyDescent="0.25">
      <c r="A386" s="11">
        <v>2016</v>
      </c>
      <c r="B386" s="11" t="s">
        <v>262</v>
      </c>
      <c r="C386" s="18">
        <v>12.4</v>
      </c>
      <c r="D386" s="18">
        <v>55.3</v>
      </c>
      <c r="E386" s="18">
        <v>87.1</v>
      </c>
      <c r="F386" s="18">
        <v>96.7</v>
      </c>
      <c r="G386" s="18">
        <v>52.9</v>
      </c>
      <c r="H386" s="18">
        <v>11</v>
      </c>
    </row>
    <row r="387" spans="1:8" x14ac:dyDescent="0.25">
      <c r="A387" s="11">
        <v>2016</v>
      </c>
      <c r="B387" s="11" t="s">
        <v>263</v>
      </c>
      <c r="C387" s="18">
        <v>11.2</v>
      </c>
      <c r="D387" s="18">
        <v>43</v>
      </c>
      <c r="E387" s="18">
        <v>86.7</v>
      </c>
      <c r="F387" s="18">
        <v>107.1</v>
      </c>
      <c r="G387" s="18">
        <v>57.8</v>
      </c>
      <c r="H387" s="18">
        <v>12.8</v>
      </c>
    </row>
    <row r="388" spans="1:8" x14ac:dyDescent="0.25">
      <c r="A388" s="11">
        <v>2016</v>
      </c>
      <c r="B388" s="11" t="s">
        <v>264</v>
      </c>
      <c r="C388" s="18">
        <v>11.7</v>
      </c>
      <c r="D388" s="18">
        <v>38.4</v>
      </c>
      <c r="E388" s="18">
        <v>71.400000000000006</v>
      </c>
      <c r="F388" s="18">
        <v>97.9</v>
      </c>
      <c r="G388" s="18">
        <v>61.3</v>
      </c>
      <c r="H388" s="18">
        <v>14.2</v>
      </c>
    </row>
    <row r="389" spans="1:8" x14ac:dyDescent="0.25">
      <c r="A389" s="11">
        <v>2016</v>
      </c>
      <c r="B389" s="11" t="s">
        <v>242</v>
      </c>
      <c r="C389" s="18">
        <v>13.7</v>
      </c>
      <c r="D389" s="18">
        <v>64</v>
      </c>
      <c r="E389" s="18">
        <v>95.8</v>
      </c>
      <c r="F389" s="18">
        <v>94</v>
      </c>
      <c r="G389" s="18">
        <v>56</v>
      </c>
      <c r="H389" s="18">
        <v>13.5</v>
      </c>
    </row>
    <row r="390" spans="1:8" x14ac:dyDescent="0.25">
      <c r="A390" s="11">
        <v>2016</v>
      </c>
      <c r="B390" s="11" t="s">
        <v>265</v>
      </c>
      <c r="C390" s="18">
        <v>14.9</v>
      </c>
      <c r="D390" s="18">
        <v>54.3</v>
      </c>
      <c r="E390" s="18">
        <v>95.5</v>
      </c>
      <c r="F390" s="18">
        <v>105.3</v>
      </c>
      <c r="G390" s="18">
        <v>52.8</v>
      </c>
      <c r="H390" s="18">
        <v>11</v>
      </c>
    </row>
    <row r="391" spans="1:8" x14ac:dyDescent="0.25">
      <c r="A391" s="11">
        <v>2016</v>
      </c>
      <c r="B391" s="11" t="s">
        <v>266</v>
      </c>
      <c r="C391" s="18">
        <v>11</v>
      </c>
      <c r="D391" s="18">
        <v>31.8</v>
      </c>
      <c r="E391" s="18">
        <v>68.3</v>
      </c>
      <c r="F391" s="18">
        <v>96.4</v>
      </c>
      <c r="G391" s="18">
        <v>67.099999999999994</v>
      </c>
      <c r="H391" s="18">
        <v>15.1</v>
      </c>
    </row>
    <row r="392" spans="1:8" x14ac:dyDescent="0.25">
      <c r="A392" s="11">
        <v>2016</v>
      </c>
      <c r="B392" s="11" t="s">
        <v>267</v>
      </c>
      <c r="C392" s="18">
        <v>10.1</v>
      </c>
      <c r="D392" s="18">
        <v>61.9</v>
      </c>
      <c r="E392" s="18">
        <v>100.5</v>
      </c>
      <c r="F392" s="18">
        <v>80.7</v>
      </c>
      <c r="G392" s="18">
        <v>45.1</v>
      </c>
      <c r="H392" s="18">
        <v>10.4</v>
      </c>
    </row>
    <row r="393" spans="1:8" x14ac:dyDescent="0.25">
      <c r="A393" s="11">
        <v>2016</v>
      </c>
      <c r="B393" s="11" t="s">
        <v>268</v>
      </c>
      <c r="C393" s="18">
        <v>12.3</v>
      </c>
      <c r="D393" s="18">
        <v>58.9</v>
      </c>
      <c r="E393" s="18">
        <v>117.7</v>
      </c>
      <c r="F393" s="18">
        <v>127.3</v>
      </c>
      <c r="G393" s="18">
        <v>67.5</v>
      </c>
      <c r="H393" s="18">
        <v>19</v>
      </c>
    </row>
    <row r="394" spans="1:8" x14ac:dyDescent="0.25">
      <c r="A394" s="11">
        <v>2016</v>
      </c>
      <c r="B394" s="11" t="s">
        <v>269</v>
      </c>
      <c r="C394" s="18">
        <v>14.1</v>
      </c>
      <c r="D394" s="18">
        <v>48.7</v>
      </c>
      <c r="E394" s="18">
        <v>87.1</v>
      </c>
      <c r="F394" s="18">
        <v>97.3</v>
      </c>
      <c r="G394" s="18">
        <v>52</v>
      </c>
      <c r="H394" s="18">
        <v>10.199999999999999</v>
      </c>
    </row>
    <row r="395" spans="1:8" x14ac:dyDescent="0.25">
      <c r="A395" s="11">
        <v>2016</v>
      </c>
      <c r="B395" s="11" t="s">
        <v>270</v>
      </c>
      <c r="C395" s="18">
        <v>14</v>
      </c>
      <c r="D395" s="18">
        <v>57.2</v>
      </c>
      <c r="E395" s="18">
        <v>112.2</v>
      </c>
      <c r="F395" s="18">
        <v>108</v>
      </c>
      <c r="G395" s="18">
        <v>63.3</v>
      </c>
      <c r="H395" s="18">
        <v>15.9</v>
      </c>
    </row>
    <row r="396" spans="1:8" x14ac:dyDescent="0.25">
      <c r="A396" s="11">
        <v>2017</v>
      </c>
      <c r="B396" s="11" t="s">
        <v>11</v>
      </c>
      <c r="C396" s="18">
        <v>12.6</v>
      </c>
      <c r="D396" s="18">
        <v>44</v>
      </c>
      <c r="E396" s="18">
        <v>79.900000000000006</v>
      </c>
      <c r="F396" s="18">
        <v>96.4</v>
      </c>
      <c r="G396" s="18">
        <v>57</v>
      </c>
      <c r="H396" s="18">
        <v>12.4</v>
      </c>
    </row>
    <row r="397" spans="1:8" x14ac:dyDescent="0.25">
      <c r="A397" s="11">
        <v>2017</v>
      </c>
      <c r="B397" s="11" t="s">
        <v>260</v>
      </c>
      <c r="C397" s="18">
        <v>16.100000000000001</v>
      </c>
      <c r="D397" s="18">
        <v>61.8</v>
      </c>
      <c r="E397" s="18">
        <v>97.5</v>
      </c>
      <c r="F397" s="18">
        <v>88.1</v>
      </c>
      <c r="G397" s="18">
        <v>46.9</v>
      </c>
      <c r="H397" s="18">
        <v>9.4</v>
      </c>
    </row>
    <row r="398" spans="1:8" x14ac:dyDescent="0.25">
      <c r="A398" s="11">
        <v>2017</v>
      </c>
      <c r="B398" s="11" t="s">
        <v>261</v>
      </c>
      <c r="C398" s="18">
        <v>10.9</v>
      </c>
      <c r="D398" s="18">
        <v>50.8</v>
      </c>
      <c r="E398" s="18">
        <v>106.9</v>
      </c>
      <c r="F398" s="18">
        <v>114.4</v>
      </c>
      <c r="G398" s="18">
        <v>53.7</v>
      </c>
      <c r="H398" s="18">
        <v>12.4</v>
      </c>
    </row>
    <row r="399" spans="1:8" x14ac:dyDescent="0.25">
      <c r="A399" s="11">
        <v>2017</v>
      </c>
      <c r="B399" s="11" t="s">
        <v>233</v>
      </c>
      <c r="C399" s="18">
        <v>15.3</v>
      </c>
      <c r="D399" s="18">
        <v>65.8</v>
      </c>
      <c r="E399" s="18">
        <v>99.4</v>
      </c>
      <c r="F399" s="18">
        <v>90</v>
      </c>
      <c r="G399" s="18">
        <v>55</v>
      </c>
      <c r="H399" s="18">
        <v>8</v>
      </c>
    </row>
    <row r="400" spans="1:8" x14ac:dyDescent="0.25">
      <c r="A400" s="11">
        <v>2017</v>
      </c>
      <c r="B400" s="11" t="s">
        <v>240</v>
      </c>
      <c r="C400" s="18">
        <v>18.100000000000001</v>
      </c>
      <c r="D400" s="18">
        <v>52.2</v>
      </c>
      <c r="E400" s="18">
        <v>93.1</v>
      </c>
      <c r="F400" s="18">
        <v>91.9</v>
      </c>
      <c r="G400" s="18">
        <v>47.7</v>
      </c>
      <c r="H400" s="18">
        <v>9.8000000000000007</v>
      </c>
    </row>
    <row r="401" spans="1:8" x14ac:dyDescent="0.25">
      <c r="A401" s="11">
        <v>2017</v>
      </c>
      <c r="B401" s="11" t="s">
        <v>262</v>
      </c>
      <c r="C401" s="18">
        <v>14.4</v>
      </c>
      <c r="D401" s="18">
        <v>48.5</v>
      </c>
      <c r="E401" s="18">
        <v>91.1</v>
      </c>
      <c r="F401" s="18">
        <v>99.5</v>
      </c>
      <c r="G401" s="18">
        <v>52.3</v>
      </c>
      <c r="H401" s="18">
        <v>12.1</v>
      </c>
    </row>
    <row r="402" spans="1:8" x14ac:dyDescent="0.25">
      <c r="A402" s="11">
        <v>2017</v>
      </c>
      <c r="B402" s="11" t="s">
        <v>263</v>
      </c>
      <c r="C402" s="18">
        <v>10.1</v>
      </c>
      <c r="D402" s="18">
        <v>40.1</v>
      </c>
      <c r="E402" s="18">
        <v>88.8</v>
      </c>
      <c r="F402" s="18">
        <v>101.1</v>
      </c>
      <c r="G402" s="18">
        <v>54.3</v>
      </c>
      <c r="H402" s="18">
        <v>11</v>
      </c>
    </row>
    <row r="403" spans="1:8" x14ac:dyDescent="0.25">
      <c r="A403" s="11">
        <v>2017</v>
      </c>
      <c r="B403" s="11" t="s">
        <v>264</v>
      </c>
      <c r="C403" s="18">
        <v>11.5</v>
      </c>
      <c r="D403" s="18">
        <v>38.700000000000003</v>
      </c>
      <c r="E403" s="18">
        <v>68.7</v>
      </c>
      <c r="F403" s="18">
        <v>96.2</v>
      </c>
      <c r="G403" s="18">
        <v>63.5</v>
      </c>
      <c r="H403" s="18">
        <v>14.4</v>
      </c>
    </row>
    <row r="404" spans="1:8" x14ac:dyDescent="0.25">
      <c r="A404" s="11">
        <v>2017</v>
      </c>
      <c r="B404" s="11" t="s">
        <v>242</v>
      </c>
      <c r="C404" s="18">
        <v>11.8</v>
      </c>
      <c r="D404" s="18">
        <v>55.4</v>
      </c>
      <c r="E404" s="18">
        <v>97.3</v>
      </c>
      <c r="F404" s="18">
        <v>95.8</v>
      </c>
      <c r="G404" s="18">
        <v>54.6</v>
      </c>
      <c r="H404" s="18">
        <v>11.4</v>
      </c>
    </row>
    <row r="405" spans="1:8" x14ac:dyDescent="0.25">
      <c r="A405" s="11">
        <v>2017</v>
      </c>
      <c r="B405" s="11" t="s">
        <v>265</v>
      </c>
      <c r="C405" s="18">
        <v>14.6</v>
      </c>
      <c r="D405" s="18">
        <v>54.3</v>
      </c>
      <c r="E405" s="18">
        <v>92.3</v>
      </c>
      <c r="F405" s="18">
        <v>100.5</v>
      </c>
      <c r="G405" s="18">
        <v>56</v>
      </c>
      <c r="H405" s="18">
        <v>11.6</v>
      </c>
    </row>
    <row r="406" spans="1:8" x14ac:dyDescent="0.25">
      <c r="A406" s="11">
        <v>2017</v>
      </c>
      <c r="B406" s="11" t="s">
        <v>266</v>
      </c>
      <c r="C406" s="18">
        <v>9.8000000000000007</v>
      </c>
      <c r="D406" s="18">
        <v>31.6</v>
      </c>
      <c r="E406" s="18">
        <v>60.8</v>
      </c>
      <c r="F406" s="18">
        <v>94.2</v>
      </c>
      <c r="G406" s="18">
        <v>63.2</v>
      </c>
      <c r="H406" s="18">
        <v>15.6</v>
      </c>
    </row>
    <row r="407" spans="1:8" x14ac:dyDescent="0.25">
      <c r="A407" s="11">
        <v>2017</v>
      </c>
      <c r="B407" s="11" t="s">
        <v>267</v>
      </c>
      <c r="C407" s="18">
        <v>6</v>
      </c>
      <c r="D407" s="18">
        <v>35</v>
      </c>
      <c r="E407" s="18">
        <v>86.4</v>
      </c>
      <c r="F407" s="18">
        <v>114</v>
      </c>
      <c r="G407" s="18">
        <v>48.4</v>
      </c>
      <c r="H407" s="18">
        <v>20.399999999999999</v>
      </c>
    </row>
    <row r="408" spans="1:8" x14ac:dyDescent="0.25">
      <c r="A408" s="11">
        <v>2017</v>
      </c>
      <c r="B408" s="11" t="s">
        <v>268</v>
      </c>
      <c r="C408" s="18">
        <v>0</v>
      </c>
      <c r="D408" s="18">
        <v>52.3</v>
      </c>
      <c r="E408" s="18">
        <v>100.8</v>
      </c>
      <c r="F408" s="18">
        <v>118.3</v>
      </c>
      <c r="G408" s="18">
        <v>52.6</v>
      </c>
      <c r="H408" s="18">
        <v>14.8</v>
      </c>
    </row>
    <row r="409" spans="1:8" x14ac:dyDescent="0.25">
      <c r="A409" s="11">
        <v>2017</v>
      </c>
      <c r="B409" s="11" t="s">
        <v>269</v>
      </c>
      <c r="C409" s="18">
        <v>14</v>
      </c>
      <c r="D409" s="18">
        <v>46.5</v>
      </c>
      <c r="E409" s="18">
        <v>81.8</v>
      </c>
      <c r="F409" s="18">
        <v>92.3</v>
      </c>
      <c r="G409" s="18">
        <v>50.3</v>
      </c>
      <c r="H409" s="18">
        <v>10.1</v>
      </c>
    </row>
    <row r="410" spans="1:8" x14ac:dyDescent="0.25">
      <c r="A410" s="11">
        <v>2017</v>
      </c>
      <c r="B410" s="11" t="s">
        <v>270</v>
      </c>
      <c r="C410" s="18">
        <v>9.6999999999999993</v>
      </c>
      <c r="D410" s="18">
        <v>33.700000000000003</v>
      </c>
      <c r="E410" s="18">
        <v>92.3</v>
      </c>
      <c r="F410" s="18">
        <v>117.6</v>
      </c>
      <c r="G410" s="18">
        <v>68.099999999999994</v>
      </c>
      <c r="H410" s="18">
        <v>15.2</v>
      </c>
    </row>
    <row r="411" spans="1:8" x14ac:dyDescent="0.25">
      <c r="A411" s="11">
        <v>2018</v>
      </c>
      <c r="B411" s="11" t="s">
        <v>11</v>
      </c>
      <c r="C411" s="18">
        <v>11.1</v>
      </c>
      <c r="D411" s="18">
        <v>41.8</v>
      </c>
      <c r="E411" s="18">
        <v>77.7</v>
      </c>
      <c r="F411" s="18">
        <v>93.8</v>
      </c>
      <c r="G411" s="18">
        <v>55</v>
      </c>
      <c r="H411" s="18">
        <v>13.3</v>
      </c>
    </row>
    <row r="412" spans="1:8" x14ac:dyDescent="0.25">
      <c r="A412" s="11">
        <v>2018</v>
      </c>
      <c r="B412" s="11" t="s">
        <v>260</v>
      </c>
      <c r="C412" s="18">
        <v>15.6</v>
      </c>
      <c r="D412" s="18">
        <v>59.1</v>
      </c>
      <c r="E412" s="18">
        <v>90.1</v>
      </c>
      <c r="F412" s="18">
        <v>95.7</v>
      </c>
      <c r="G412" s="18">
        <v>47.6</v>
      </c>
      <c r="H412" s="18">
        <v>8.9</v>
      </c>
    </row>
    <row r="413" spans="1:8" x14ac:dyDescent="0.25">
      <c r="A413" s="11">
        <v>2018</v>
      </c>
      <c r="B413" s="11" t="s">
        <v>261</v>
      </c>
      <c r="C413" s="18">
        <v>8.3000000000000007</v>
      </c>
      <c r="D413" s="18">
        <v>51.6</v>
      </c>
      <c r="E413" s="18">
        <v>103.8</v>
      </c>
      <c r="F413" s="18">
        <v>108.2</v>
      </c>
      <c r="G413" s="18">
        <v>61.7</v>
      </c>
      <c r="H413" s="18">
        <v>11.9</v>
      </c>
    </row>
    <row r="414" spans="1:8" x14ac:dyDescent="0.25">
      <c r="A414" s="11">
        <v>2018</v>
      </c>
      <c r="B414" s="11" t="s">
        <v>233</v>
      </c>
      <c r="C414" s="18">
        <v>13.5</v>
      </c>
      <c r="D414" s="18">
        <v>68.7</v>
      </c>
      <c r="E414" s="18">
        <v>96.7</v>
      </c>
      <c r="F414" s="18">
        <v>93.6</v>
      </c>
      <c r="G414" s="18">
        <v>39.299999999999997</v>
      </c>
      <c r="H414" s="18">
        <v>12.1</v>
      </c>
    </row>
    <row r="415" spans="1:8" x14ac:dyDescent="0.25">
      <c r="A415" s="11">
        <v>2018</v>
      </c>
      <c r="B415" s="11" t="s">
        <v>240</v>
      </c>
      <c r="C415" s="18">
        <v>15.8</v>
      </c>
      <c r="D415" s="18">
        <v>51.1</v>
      </c>
      <c r="E415" s="18">
        <v>94.7</v>
      </c>
      <c r="F415" s="18">
        <v>94.5</v>
      </c>
      <c r="G415" s="18">
        <v>48</v>
      </c>
      <c r="H415" s="18">
        <v>10.5</v>
      </c>
    </row>
    <row r="416" spans="1:8" x14ac:dyDescent="0.25">
      <c r="A416" s="11">
        <v>2018</v>
      </c>
      <c r="B416" s="11" t="s">
        <v>262</v>
      </c>
      <c r="C416" s="18">
        <v>8.1999999999999993</v>
      </c>
      <c r="D416" s="18">
        <v>44.7</v>
      </c>
      <c r="E416" s="18">
        <v>88.4</v>
      </c>
      <c r="F416" s="18">
        <v>91.6</v>
      </c>
      <c r="G416" s="18">
        <v>51.5</v>
      </c>
      <c r="H416" s="18">
        <v>12.3</v>
      </c>
    </row>
    <row r="417" spans="1:8" x14ac:dyDescent="0.25">
      <c r="A417" s="11">
        <v>2018</v>
      </c>
      <c r="B417" s="11" t="s">
        <v>263</v>
      </c>
      <c r="C417" s="18">
        <v>8.1999999999999993</v>
      </c>
      <c r="D417" s="18">
        <v>41</v>
      </c>
      <c r="E417" s="18">
        <v>85</v>
      </c>
      <c r="F417" s="18">
        <v>100.5</v>
      </c>
      <c r="G417" s="18">
        <v>57.9</v>
      </c>
      <c r="H417" s="18">
        <v>13.6</v>
      </c>
    </row>
    <row r="418" spans="1:8" x14ac:dyDescent="0.25">
      <c r="A418" s="11">
        <v>2018</v>
      </c>
      <c r="B418" s="11" t="s">
        <v>264</v>
      </c>
      <c r="C418" s="18">
        <v>10.4</v>
      </c>
      <c r="D418" s="18">
        <v>36.5</v>
      </c>
      <c r="E418" s="18">
        <v>66.400000000000006</v>
      </c>
      <c r="F418" s="18">
        <v>91.6</v>
      </c>
      <c r="G418" s="18">
        <v>57.3</v>
      </c>
      <c r="H418" s="18">
        <v>15.5</v>
      </c>
    </row>
    <row r="419" spans="1:8" x14ac:dyDescent="0.25">
      <c r="A419" s="11">
        <v>2018</v>
      </c>
      <c r="B419" s="11" t="s">
        <v>242</v>
      </c>
      <c r="C419" s="18">
        <v>12.1</v>
      </c>
      <c r="D419" s="18">
        <v>57.5</v>
      </c>
      <c r="E419" s="18">
        <v>93.4</v>
      </c>
      <c r="F419" s="18">
        <v>90.3</v>
      </c>
      <c r="G419" s="18">
        <v>52.8</v>
      </c>
      <c r="H419" s="18">
        <v>11</v>
      </c>
    </row>
    <row r="420" spans="1:8" x14ac:dyDescent="0.25">
      <c r="A420" s="11">
        <v>2018</v>
      </c>
      <c r="B420" s="11" t="s">
        <v>265</v>
      </c>
      <c r="C420" s="18">
        <v>14</v>
      </c>
      <c r="D420" s="18">
        <v>51.2</v>
      </c>
      <c r="E420" s="18">
        <v>92.5</v>
      </c>
      <c r="F420" s="18">
        <v>98.6</v>
      </c>
      <c r="G420" s="18">
        <v>50.8</v>
      </c>
      <c r="H420" s="18">
        <v>11.8</v>
      </c>
    </row>
    <row r="421" spans="1:8" x14ac:dyDescent="0.25">
      <c r="A421" s="11">
        <v>2018</v>
      </c>
      <c r="B421" s="11" t="s">
        <v>266</v>
      </c>
      <c r="C421" s="18">
        <v>8.5</v>
      </c>
      <c r="D421" s="18">
        <v>26.5</v>
      </c>
      <c r="E421" s="18">
        <v>59.5</v>
      </c>
      <c r="F421" s="18">
        <v>90.6</v>
      </c>
      <c r="G421" s="18">
        <v>62.3</v>
      </c>
      <c r="H421" s="18">
        <v>16</v>
      </c>
    </row>
    <row r="422" spans="1:8" x14ac:dyDescent="0.25">
      <c r="A422" s="11">
        <v>2018</v>
      </c>
      <c r="B422" s="11" t="s">
        <v>267</v>
      </c>
      <c r="C422" s="18">
        <v>0</v>
      </c>
      <c r="D422" s="18">
        <v>39.200000000000003</v>
      </c>
      <c r="E422" s="18">
        <v>99.7</v>
      </c>
      <c r="F422" s="18">
        <v>112.3</v>
      </c>
      <c r="G422" s="18">
        <v>52.5</v>
      </c>
      <c r="H422" s="18">
        <v>8.3000000000000007</v>
      </c>
    </row>
    <row r="423" spans="1:8" x14ac:dyDescent="0.25">
      <c r="A423" s="11">
        <v>2018</v>
      </c>
      <c r="B423" s="11" t="s">
        <v>268</v>
      </c>
      <c r="C423" s="18">
        <v>5.2</v>
      </c>
      <c r="D423" s="18">
        <v>61.2</v>
      </c>
      <c r="E423" s="18">
        <v>89.6</v>
      </c>
      <c r="F423" s="18">
        <v>101.9</v>
      </c>
      <c r="G423" s="18">
        <v>63.7</v>
      </c>
      <c r="H423" s="18">
        <v>18.2</v>
      </c>
    </row>
    <row r="424" spans="1:8" x14ac:dyDescent="0.25">
      <c r="A424" s="11">
        <v>2018</v>
      </c>
      <c r="B424" s="11" t="s">
        <v>269</v>
      </c>
      <c r="C424" s="18">
        <v>12.5</v>
      </c>
      <c r="D424" s="18">
        <v>44</v>
      </c>
      <c r="E424" s="18">
        <v>81.2</v>
      </c>
      <c r="F424" s="18">
        <v>87.9</v>
      </c>
      <c r="G424" s="18">
        <v>51.9</v>
      </c>
      <c r="H424" s="18">
        <v>11.6</v>
      </c>
    </row>
    <row r="425" spans="1:8" x14ac:dyDescent="0.25">
      <c r="A425" s="11">
        <v>2018</v>
      </c>
      <c r="B425" s="11" t="s">
        <v>270</v>
      </c>
      <c r="C425" s="18">
        <v>6.8</v>
      </c>
      <c r="D425" s="18">
        <v>58.6</v>
      </c>
      <c r="E425" s="18">
        <v>71.400000000000006</v>
      </c>
      <c r="F425" s="18">
        <v>107.8</v>
      </c>
      <c r="G425" s="18">
        <v>61</v>
      </c>
      <c r="H425" s="18">
        <v>22.9</v>
      </c>
    </row>
    <row r="426" spans="1:8" x14ac:dyDescent="0.25">
      <c r="A426" s="11">
        <v>2019</v>
      </c>
      <c r="B426" s="11" t="s">
        <v>11</v>
      </c>
      <c r="C426" s="18">
        <v>10</v>
      </c>
      <c r="D426" s="18">
        <v>39.4</v>
      </c>
      <c r="E426" s="18">
        <v>75.400000000000006</v>
      </c>
      <c r="F426" s="18">
        <v>92.4</v>
      </c>
      <c r="G426" s="18">
        <v>53.8</v>
      </c>
      <c r="H426" s="18">
        <v>12.8</v>
      </c>
    </row>
    <row r="427" spans="1:8" x14ac:dyDescent="0.25">
      <c r="A427" s="11">
        <v>2019</v>
      </c>
      <c r="B427" s="11" t="s">
        <v>260</v>
      </c>
      <c r="C427" s="18">
        <v>14.6</v>
      </c>
      <c r="D427" s="18">
        <v>58.6</v>
      </c>
      <c r="E427" s="18">
        <v>93.1</v>
      </c>
      <c r="F427" s="18">
        <v>90.5</v>
      </c>
      <c r="G427" s="18">
        <v>43</v>
      </c>
      <c r="H427" s="18">
        <v>9.8000000000000007</v>
      </c>
    </row>
    <row r="428" spans="1:8" x14ac:dyDescent="0.25">
      <c r="A428" s="11">
        <v>2019</v>
      </c>
      <c r="B428" s="11" t="s">
        <v>261</v>
      </c>
      <c r="C428" s="18">
        <v>12</v>
      </c>
      <c r="D428" s="18">
        <v>45.8</v>
      </c>
      <c r="E428" s="18">
        <v>88.9</v>
      </c>
      <c r="F428" s="18">
        <v>104.6</v>
      </c>
      <c r="G428" s="18">
        <v>53.4</v>
      </c>
      <c r="H428" s="18">
        <v>16.2</v>
      </c>
    </row>
    <row r="429" spans="1:8" x14ac:dyDescent="0.25">
      <c r="A429" s="11">
        <v>2019</v>
      </c>
      <c r="B429" s="11" t="s">
        <v>233</v>
      </c>
      <c r="C429" s="18">
        <v>11.4</v>
      </c>
      <c r="D429" s="18">
        <v>64.099999999999994</v>
      </c>
      <c r="E429" s="18">
        <v>99</v>
      </c>
      <c r="F429" s="18">
        <v>89.7</v>
      </c>
      <c r="G429" s="18">
        <v>40.700000000000003</v>
      </c>
      <c r="H429" s="18">
        <v>9</v>
      </c>
    </row>
    <row r="430" spans="1:8" x14ac:dyDescent="0.25">
      <c r="A430" s="11">
        <v>2019</v>
      </c>
      <c r="B430" s="11" t="s">
        <v>240</v>
      </c>
      <c r="C430" s="18">
        <v>14.3</v>
      </c>
      <c r="D430" s="18">
        <v>48.2</v>
      </c>
      <c r="E430" s="18">
        <v>92.2</v>
      </c>
      <c r="F430" s="18">
        <v>90.6</v>
      </c>
      <c r="G430" s="18">
        <v>46</v>
      </c>
      <c r="H430" s="18">
        <v>9.6</v>
      </c>
    </row>
    <row r="431" spans="1:8" x14ac:dyDescent="0.25">
      <c r="A431" s="11">
        <v>2019</v>
      </c>
      <c r="B431" s="11" t="s">
        <v>262</v>
      </c>
      <c r="C431" s="18">
        <v>9.8000000000000007</v>
      </c>
      <c r="D431" s="18">
        <v>40.6</v>
      </c>
      <c r="E431" s="18">
        <v>81.3</v>
      </c>
      <c r="F431" s="18">
        <v>92.1</v>
      </c>
      <c r="G431" s="18">
        <v>52.1</v>
      </c>
      <c r="H431" s="18">
        <v>9.5</v>
      </c>
    </row>
    <row r="432" spans="1:8" x14ac:dyDescent="0.25">
      <c r="A432" s="11">
        <v>2019</v>
      </c>
      <c r="B432" s="11" t="s">
        <v>263</v>
      </c>
      <c r="C432" s="18">
        <v>7</v>
      </c>
      <c r="D432" s="18">
        <v>33.4</v>
      </c>
      <c r="E432" s="18">
        <v>82.9</v>
      </c>
      <c r="F432" s="18">
        <v>98.1</v>
      </c>
      <c r="G432" s="18">
        <v>54.6</v>
      </c>
      <c r="H432" s="18">
        <v>12.3</v>
      </c>
    </row>
    <row r="433" spans="1:8" x14ac:dyDescent="0.25">
      <c r="A433" s="11">
        <v>2019</v>
      </c>
      <c r="B433" s="11" t="s">
        <v>264</v>
      </c>
      <c r="C433" s="18">
        <v>8.8000000000000007</v>
      </c>
      <c r="D433" s="18">
        <v>34.299999999999997</v>
      </c>
      <c r="E433" s="18">
        <v>65.099999999999994</v>
      </c>
      <c r="F433" s="18">
        <v>90.6</v>
      </c>
      <c r="G433" s="18">
        <v>57</v>
      </c>
      <c r="H433" s="18">
        <v>14.6</v>
      </c>
    </row>
    <row r="434" spans="1:8" x14ac:dyDescent="0.25">
      <c r="A434" s="11">
        <v>2019</v>
      </c>
      <c r="B434" s="11" t="s">
        <v>242</v>
      </c>
      <c r="C434" s="18">
        <v>10.4</v>
      </c>
      <c r="D434" s="18">
        <v>56.2</v>
      </c>
      <c r="E434" s="18">
        <v>89.6</v>
      </c>
      <c r="F434" s="18">
        <v>91.6</v>
      </c>
      <c r="G434" s="18">
        <v>51.7</v>
      </c>
      <c r="H434" s="18">
        <v>12.2</v>
      </c>
    </row>
    <row r="435" spans="1:8" x14ac:dyDescent="0.25">
      <c r="A435" s="11">
        <v>2019</v>
      </c>
      <c r="B435" s="11" t="s">
        <v>265</v>
      </c>
      <c r="C435" s="18">
        <v>11.8</v>
      </c>
      <c r="D435" s="18">
        <v>50.1</v>
      </c>
      <c r="E435" s="18">
        <v>89</v>
      </c>
      <c r="F435" s="18">
        <v>101.5</v>
      </c>
      <c r="G435" s="18">
        <v>53.9</v>
      </c>
      <c r="H435" s="18">
        <v>11.3</v>
      </c>
    </row>
    <row r="436" spans="1:8" x14ac:dyDescent="0.25">
      <c r="A436" s="11">
        <v>2019</v>
      </c>
      <c r="B436" s="11" t="s">
        <v>266</v>
      </c>
      <c r="C436" s="18">
        <v>7.8</v>
      </c>
      <c r="D436" s="18">
        <v>26.8</v>
      </c>
      <c r="E436" s="18">
        <v>55.9</v>
      </c>
      <c r="F436" s="18">
        <v>88.3</v>
      </c>
      <c r="G436" s="18">
        <v>59.5</v>
      </c>
      <c r="H436" s="18">
        <v>15.9</v>
      </c>
    </row>
    <row r="437" spans="1:8" x14ac:dyDescent="0.25">
      <c r="A437" s="11">
        <v>2019</v>
      </c>
      <c r="B437" s="11" t="s">
        <v>267</v>
      </c>
      <c r="C437" s="18">
        <v>6.3</v>
      </c>
      <c r="D437" s="18">
        <v>40.799999999999997</v>
      </c>
      <c r="E437" s="18">
        <v>90</v>
      </c>
      <c r="F437" s="18">
        <v>97.4</v>
      </c>
      <c r="G437" s="18">
        <v>57.7</v>
      </c>
      <c r="H437" s="18">
        <v>17.600000000000001</v>
      </c>
    </row>
    <row r="438" spans="1:8" x14ac:dyDescent="0.25">
      <c r="A438" s="11">
        <v>2019</v>
      </c>
      <c r="B438" s="11" t="s">
        <v>268</v>
      </c>
      <c r="C438" s="18">
        <v>9.1</v>
      </c>
      <c r="D438" s="18">
        <v>53.6</v>
      </c>
      <c r="E438" s="18">
        <v>92.8</v>
      </c>
      <c r="F438" s="18">
        <v>98.8</v>
      </c>
      <c r="G438" s="18">
        <v>62.1</v>
      </c>
      <c r="H438" s="18">
        <v>13</v>
      </c>
    </row>
    <row r="439" spans="1:8" x14ac:dyDescent="0.25">
      <c r="A439" s="11">
        <v>2019</v>
      </c>
      <c r="B439" s="11" t="s">
        <v>269</v>
      </c>
      <c r="C439" s="18">
        <v>10.9</v>
      </c>
      <c r="D439" s="18">
        <v>41.6</v>
      </c>
      <c r="E439" s="18">
        <v>81.3</v>
      </c>
      <c r="F439" s="18">
        <v>87.1</v>
      </c>
      <c r="G439" s="18">
        <v>50.1</v>
      </c>
      <c r="H439" s="18">
        <v>12.3</v>
      </c>
    </row>
    <row r="440" spans="1:8" x14ac:dyDescent="0.25">
      <c r="A440" s="11">
        <v>2019</v>
      </c>
      <c r="B440" s="11" t="s">
        <v>270</v>
      </c>
      <c r="C440" s="18">
        <v>9.8000000000000007</v>
      </c>
      <c r="D440" s="18">
        <v>55.6</v>
      </c>
      <c r="E440" s="18">
        <v>104.3</v>
      </c>
      <c r="F440" s="18">
        <v>97.5</v>
      </c>
      <c r="G440" s="18">
        <v>50.3</v>
      </c>
      <c r="H440" s="18">
        <v>13.6</v>
      </c>
    </row>
    <row r="441" spans="1:8" x14ac:dyDescent="0.25">
      <c r="A441" s="11">
        <v>2020</v>
      </c>
      <c r="B441" s="11" t="s">
        <v>11</v>
      </c>
      <c r="C441" s="18">
        <v>8.9</v>
      </c>
      <c r="D441" s="18">
        <v>36.299999999999997</v>
      </c>
      <c r="E441" s="18">
        <v>71.099999999999994</v>
      </c>
      <c r="F441" s="18">
        <v>87.8</v>
      </c>
      <c r="G441" s="18">
        <v>50.6</v>
      </c>
      <c r="H441" s="18">
        <v>12.6</v>
      </c>
    </row>
    <row r="442" spans="1:8" x14ac:dyDescent="0.25">
      <c r="A442" s="11">
        <v>2020</v>
      </c>
      <c r="B442" s="11" t="s">
        <v>260</v>
      </c>
      <c r="C442" s="18">
        <v>11.8</v>
      </c>
      <c r="D442" s="18">
        <v>60.6</v>
      </c>
      <c r="E442" s="18">
        <v>87.3</v>
      </c>
      <c r="F442" s="18">
        <v>88.6</v>
      </c>
      <c r="G442" s="18">
        <v>44.3</v>
      </c>
      <c r="H442" s="18">
        <v>11</v>
      </c>
    </row>
    <row r="443" spans="1:8" x14ac:dyDescent="0.25">
      <c r="A443" s="11">
        <v>2020</v>
      </c>
      <c r="B443" s="11" t="s">
        <v>261</v>
      </c>
      <c r="C443" s="18">
        <v>7.8</v>
      </c>
      <c r="D443" s="18">
        <v>42.3</v>
      </c>
      <c r="E443" s="18">
        <v>89</v>
      </c>
      <c r="F443" s="18">
        <v>101.9</v>
      </c>
      <c r="G443" s="18">
        <v>47.3</v>
      </c>
      <c r="H443" s="18">
        <v>9</v>
      </c>
    </row>
    <row r="444" spans="1:8" x14ac:dyDescent="0.25">
      <c r="A444" s="11">
        <v>2020</v>
      </c>
      <c r="B444" s="11" t="s">
        <v>233</v>
      </c>
      <c r="C444" s="18">
        <v>13.6</v>
      </c>
      <c r="D444" s="18">
        <v>57.2</v>
      </c>
      <c r="E444" s="18">
        <v>95.9</v>
      </c>
      <c r="F444" s="18">
        <v>86.2</v>
      </c>
      <c r="G444" s="18">
        <v>47.2</v>
      </c>
      <c r="H444" s="18">
        <v>10.5</v>
      </c>
    </row>
    <row r="445" spans="1:8" x14ac:dyDescent="0.25">
      <c r="A445" s="11">
        <v>2020</v>
      </c>
      <c r="B445" s="11" t="s">
        <v>240</v>
      </c>
      <c r="C445" s="18">
        <v>14.1</v>
      </c>
      <c r="D445" s="18">
        <v>44.5</v>
      </c>
      <c r="E445" s="18">
        <v>82.4</v>
      </c>
      <c r="F445" s="18">
        <v>90.4</v>
      </c>
      <c r="G445" s="18">
        <v>43.3</v>
      </c>
      <c r="H445" s="18">
        <v>10.9</v>
      </c>
    </row>
    <row r="446" spans="1:8" x14ac:dyDescent="0.25">
      <c r="A446" s="11">
        <v>2020</v>
      </c>
      <c r="B446" s="11" t="s">
        <v>262</v>
      </c>
      <c r="C446" s="18">
        <v>9.4</v>
      </c>
      <c r="D446" s="18">
        <v>39.4</v>
      </c>
      <c r="E446" s="18">
        <v>82</v>
      </c>
      <c r="F446" s="18">
        <v>90.5</v>
      </c>
      <c r="G446" s="18">
        <v>50.3</v>
      </c>
      <c r="H446" s="18">
        <v>10.199999999999999</v>
      </c>
    </row>
    <row r="447" spans="1:8" x14ac:dyDescent="0.25">
      <c r="A447" s="11">
        <v>2020</v>
      </c>
      <c r="B447" s="11" t="s">
        <v>263</v>
      </c>
      <c r="C447" s="18">
        <v>8.1</v>
      </c>
      <c r="D447" s="18">
        <v>33.1</v>
      </c>
      <c r="E447" s="18">
        <v>80.7</v>
      </c>
      <c r="F447" s="18">
        <v>92.3</v>
      </c>
      <c r="G447" s="18">
        <v>49.2</v>
      </c>
      <c r="H447" s="18">
        <v>11.8</v>
      </c>
    </row>
    <row r="448" spans="1:8" x14ac:dyDescent="0.25">
      <c r="A448" s="11">
        <v>2020</v>
      </c>
      <c r="B448" s="11" t="s">
        <v>264</v>
      </c>
      <c r="C448" s="18">
        <v>8</v>
      </c>
      <c r="D448" s="18">
        <v>30.1</v>
      </c>
      <c r="E448" s="18">
        <v>60.2</v>
      </c>
      <c r="F448" s="18">
        <v>82.6</v>
      </c>
      <c r="G448" s="18">
        <v>53.1</v>
      </c>
      <c r="H448" s="18">
        <v>13.9</v>
      </c>
    </row>
    <row r="449" spans="1:8" x14ac:dyDescent="0.25">
      <c r="A449" s="11">
        <v>2020</v>
      </c>
      <c r="B449" s="11" t="s">
        <v>242</v>
      </c>
      <c r="C449" s="18">
        <v>8.1999999999999993</v>
      </c>
      <c r="D449" s="18">
        <v>49.8</v>
      </c>
      <c r="E449" s="18">
        <v>87.3</v>
      </c>
      <c r="F449" s="18">
        <v>90.5</v>
      </c>
      <c r="G449" s="18">
        <v>48.4</v>
      </c>
      <c r="H449" s="18">
        <v>14.5</v>
      </c>
    </row>
    <row r="450" spans="1:8" x14ac:dyDescent="0.25">
      <c r="A450" s="11">
        <v>2020</v>
      </c>
      <c r="B450" s="11" t="s">
        <v>265</v>
      </c>
      <c r="C450" s="18">
        <v>10.199999999999999</v>
      </c>
      <c r="D450" s="18">
        <v>47.2</v>
      </c>
      <c r="E450" s="18">
        <v>84.1</v>
      </c>
      <c r="F450" s="18">
        <v>90.8</v>
      </c>
      <c r="G450" s="18">
        <v>48.8</v>
      </c>
      <c r="H450" s="18">
        <v>9.3000000000000007</v>
      </c>
    </row>
    <row r="451" spans="1:8" x14ac:dyDescent="0.25">
      <c r="A451" s="11">
        <v>2020</v>
      </c>
      <c r="B451" s="11" t="s">
        <v>266</v>
      </c>
      <c r="C451" s="18">
        <v>6</v>
      </c>
      <c r="D451" s="18">
        <v>23.2</v>
      </c>
      <c r="E451" s="18">
        <v>51.4</v>
      </c>
      <c r="F451" s="18">
        <v>87</v>
      </c>
      <c r="G451" s="18">
        <v>58.2</v>
      </c>
      <c r="H451" s="18">
        <v>16.5</v>
      </c>
    </row>
    <row r="452" spans="1:8" x14ac:dyDescent="0.25">
      <c r="A452" s="11">
        <v>2020</v>
      </c>
      <c r="B452" s="11" t="s">
        <v>267</v>
      </c>
      <c r="C452" s="18">
        <v>2.1</v>
      </c>
      <c r="D452" s="18">
        <v>40.6</v>
      </c>
      <c r="E452" s="18">
        <v>84.2</v>
      </c>
      <c r="F452" s="18">
        <v>110.6</v>
      </c>
      <c r="G452" s="18">
        <v>60.8</v>
      </c>
      <c r="H452" s="18">
        <v>11.8</v>
      </c>
    </row>
    <row r="453" spans="1:8" x14ac:dyDescent="0.25">
      <c r="A453" s="11">
        <v>2020</v>
      </c>
      <c r="B453" s="11" t="s">
        <v>268</v>
      </c>
      <c r="C453" s="18">
        <v>5.8</v>
      </c>
      <c r="D453" s="18">
        <v>30.4</v>
      </c>
      <c r="E453" s="18">
        <v>97.2</v>
      </c>
      <c r="F453" s="18">
        <v>104.4</v>
      </c>
      <c r="G453" s="18">
        <v>32.799999999999997</v>
      </c>
      <c r="H453" s="18">
        <v>11.3</v>
      </c>
    </row>
    <row r="454" spans="1:8" x14ac:dyDescent="0.25">
      <c r="A454" s="11">
        <v>2020</v>
      </c>
      <c r="B454" s="11" t="s">
        <v>269</v>
      </c>
      <c r="C454" s="18">
        <v>9.6999999999999993</v>
      </c>
      <c r="D454" s="18">
        <v>39.1</v>
      </c>
      <c r="E454" s="18">
        <v>77.599999999999994</v>
      </c>
      <c r="F454" s="18">
        <v>84.3</v>
      </c>
      <c r="G454" s="18">
        <v>44.6</v>
      </c>
      <c r="H454" s="18">
        <v>10.8</v>
      </c>
    </row>
    <row r="455" spans="1:8" x14ac:dyDescent="0.25">
      <c r="A455" s="11">
        <v>2020</v>
      </c>
      <c r="B455" s="11" t="s">
        <v>270</v>
      </c>
      <c r="C455" s="18">
        <v>6.6</v>
      </c>
      <c r="D455" s="18">
        <v>63.6</v>
      </c>
      <c r="E455" s="18">
        <v>60.6</v>
      </c>
      <c r="F455" s="18">
        <v>107</v>
      </c>
      <c r="G455" s="18">
        <v>50.7</v>
      </c>
      <c r="H455" s="18">
        <v>20.9</v>
      </c>
    </row>
    <row r="456" spans="1:8" x14ac:dyDescent="0.25">
      <c r="A456" s="11">
        <v>2021</v>
      </c>
      <c r="B456" s="11" t="s">
        <v>11</v>
      </c>
      <c r="C456" s="18">
        <v>7.2</v>
      </c>
      <c r="D456" s="18">
        <v>33</v>
      </c>
      <c r="E456" s="18">
        <v>74.400000000000006</v>
      </c>
      <c r="F456" s="18">
        <v>91.6</v>
      </c>
      <c r="G456" s="18">
        <v>54.5</v>
      </c>
      <c r="H456" s="18">
        <v>12.3</v>
      </c>
    </row>
    <row r="457" spans="1:8" x14ac:dyDescent="0.25">
      <c r="A457" s="11">
        <v>2021</v>
      </c>
      <c r="B457" s="11" t="s">
        <v>260</v>
      </c>
      <c r="C457" s="18">
        <v>9.6</v>
      </c>
      <c r="D457" s="18">
        <v>52</v>
      </c>
      <c r="E457" s="18">
        <v>88.4</v>
      </c>
      <c r="F457" s="18">
        <v>91.4</v>
      </c>
      <c r="G457" s="18">
        <v>46.7</v>
      </c>
      <c r="H457" s="18">
        <v>8.1</v>
      </c>
    </row>
    <row r="458" spans="1:8" x14ac:dyDescent="0.25">
      <c r="A458" s="11">
        <v>2021</v>
      </c>
      <c r="B458" s="11" t="s">
        <v>261</v>
      </c>
      <c r="C458" s="18">
        <v>8.1</v>
      </c>
      <c r="D458" s="18">
        <v>40.6</v>
      </c>
      <c r="E458" s="18">
        <v>87.2</v>
      </c>
      <c r="F458" s="18">
        <v>102.7</v>
      </c>
      <c r="G458" s="18">
        <v>48.6</v>
      </c>
      <c r="H458" s="18">
        <v>9.6999999999999993</v>
      </c>
    </row>
    <row r="459" spans="1:8" x14ac:dyDescent="0.25">
      <c r="A459" s="11">
        <v>2021</v>
      </c>
      <c r="B459" s="11" t="s">
        <v>233</v>
      </c>
      <c r="C459" s="18">
        <v>8.6</v>
      </c>
      <c r="D459" s="18">
        <v>43.3</v>
      </c>
      <c r="E459" s="18">
        <v>101.3</v>
      </c>
      <c r="F459" s="18">
        <v>90.7</v>
      </c>
      <c r="G459" s="18">
        <v>41.2</v>
      </c>
      <c r="H459" s="18">
        <v>9.6999999999999993</v>
      </c>
    </row>
    <row r="460" spans="1:8" x14ac:dyDescent="0.25">
      <c r="A460" s="11">
        <v>2021</v>
      </c>
      <c r="B460" s="11" t="s">
        <v>240</v>
      </c>
      <c r="C460" s="18">
        <v>10.199999999999999</v>
      </c>
      <c r="D460" s="18">
        <v>42.3</v>
      </c>
      <c r="E460" s="18">
        <v>94.8</v>
      </c>
      <c r="F460" s="18">
        <v>85.1</v>
      </c>
      <c r="G460" s="18">
        <v>45.1</v>
      </c>
      <c r="H460" s="18">
        <v>11.4</v>
      </c>
    </row>
    <row r="461" spans="1:8" x14ac:dyDescent="0.25">
      <c r="A461" s="11">
        <v>2021</v>
      </c>
      <c r="B461" s="11" t="s">
        <v>262</v>
      </c>
      <c r="C461" s="18">
        <v>7.9</v>
      </c>
      <c r="D461" s="18">
        <v>35.299999999999997</v>
      </c>
      <c r="E461" s="18">
        <v>86.1</v>
      </c>
      <c r="F461" s="18">
        <v>99.3</v>
      </c>
      <c r="G461" s="18">
        <v>51.2</v>
      </c>
      <c r="H461" s="18">
        <v>9.3000000000000007</v>
      </c>
    </row>
    <row r="462" spans="1:8" x14ac:dyDescent="0.25">
      <c r="A462" s="11">
        <v>2021</v>
      </c>
      <c r="B462" s="11" t="s">
        <v>263</v>
      </c>
      <c r="C462" s="18">
        <v>6.5</v>
      </c>
      <c r="D462" s="18">
        <v>32.200000000000003</v>
      </c>
      <c r="E462" s="18">
        <v>84.4</v>
      </c>
      <c r="F462" s="18">
        <v>94.7</v>
      </c>
      <c r="G462" s="18">
        <v>53</v>
      </c>
      <c r="H462" s="18">
        <v>12.7</v>
      </c>
    </row>
    <row r="463" spans="1:8" x14ac:dyDescent="0.25">
      <c r="A463" s="11">
        <v>2021</v>
      </c>
      <c r="B463" s="11" t="s">
        <v>264</v>
      </c>
      <c r="C463" s="18">
        <v>7.2</v>
      </c>
      <c r="D463" s="18">
        <v>25.9</v>
      </c>
      <c r="E463" s="18">
        <v>60.3</v>
      </c>
      <c r="F463" s="18">
        <v>86.9</v>
      </c>
      <c r="G463" s="18">
        <v>57.5</v>
      </c>
      <c r="H463" s="18">
        <v>13.6</v>
      </c>
    </row>
    <row r="464" spans="1:8" x14ac:dyDescent="0.25">
      <c r="A464" s="11">
        <v>2021</v>
      </c>
      <c r="B464" s="11" t="s">
        <v>242</v>
      </c>
      <c r="C464" s="18">
        <v>7.1</v>
      </c>
      <c r="D464" s="18">
        <v>47.9</v>
      </c>
      <c r="E464" s="18">
        <v>89.4</v>
      </c>
      <c r="F464" s="18">
        <v>87.3</v>
      </c>
      <c r="G464" s="18">
        <v>51.4</v>
      </c>
      <c r="H464" s="18">
        <v>15</v>
      </c>
    </row>
    <row r="465" spans="1:8" x14ac:dyDescent="0.25">
      <c r="A465" s="11">
        <v>2021</v>
      </c>
      <c r="B465" s="11" t="s">
        <v>265</v>
      </c>
      <c r="C465" s="18">
        <v>7.1</v>
      </c>
      <c r="D465" s="18">
        <v>46.4</v>
      </c>
      <c r="E465" s="18">
        <v>89.5</v>
      </c>
      <c r="F465" s="18">
        <v>101.4</v>
      </c>
      <c r="G465" s="18">
        <v>54.6</v>
      </c>
      <c r="H465" s="18">
        <v>11.6</v>
      </c>
    </row>
    <row r="466" spans="1:8" x14ac:dyDescent="0.25">
      <c r="A466" s="11">
        <v>2021</v>
      </c>
      <c r="B466" s="11" t="s">
        <v>266</v>
      </c>
      <c r="C466" s="18">
        <v>5.4</v>
      </c>
      <c r="D466" s="18">
        <v>20.5</v>
      </c>
      <c r="E466" s="18">
        <v>54.2</v>
      </c>
      <c r="F466" s="18">
        <v>92.1</v>
      </c>
      <c r="G466" s="18">
        <v>64.2</v>
      </c>
      <c r="H466" s="18">
        <v>14.2</v>
      </c>
    </row>
    <row r="467" spans="1:8" x14ac:dyDescent="0.25">
      <c r="A467" s="11">
        <v>2021</v>
      </c>
      <c r="B467" s="11" t="s">
        <v>267</v>
      </c>
      <c r="C467" s="18">
        <v>4</v>
      </c>
      <c r="D467" s="18">
        <v>23.6</v>
      </c>
      <c r="E467" s="18">
        <v>97.8</v>
      </c>
      <c r="F467" s="18">
        <v>85.9</v>
      </c>
      <c r="G467" s="18">
        <v>53.8</v>
      </c>
      <c r="H467" s="18">
        <v>19.7</v>
      </c>
    </row>
    <row r="468" spans="1:8" x14ac:dyDescent="0.25">
      <c r="A468" s="11">
        <v>2021</v>
      </c>
      <c r="B468" s="11" t="s">
        <v>268</v>
      </c>
      <c r="C468" s="18">
        <v>7</v>
      </c>
      <c r="D468" s="18">
        <v>40.5</v>
      </c>
      <c r="E468" s="18">
        <v>103.3</v>
      </c>
      <c r="F468" s="18">
        <v>94</v>
      </c>
      <c r="G468" s="18">
        <v>58.5</v>
      </c>
      <c r="H468" s="18">
        <v>16.3</v>
      </c>
    </row>
    <row r="469" spans="1:8" x14ac:dyDescent="0.25">
      <c r="A469" s="11">
        <v>2021</v>
      </c>
      <c r="B469" s="11" t="s">
        <v>269</v>
      </c>
      <c r="C469" s="18">
        <v>7</v>
      </c>
      <c r="D469" s="18">
        <v>36.200000000000003</v>
      </c>
      <c r="E469" s="18">
        <v>83.2</v>
      </c>
      <c r="F469" s="18">
        <v>85.9</v>
      </c>
      <c r="G469" s="18">
        <v>46.8</v>
      </c>
      <c r="H469" s="18">
        <v>10.3</v>
      </c>
    </row>
    <row r="470" spans="1:8" x14ac:dyDescent="0.25">
      <c r="A470" s="11">
        <v>2021</v>
      </c>
      <c r="B470" s="11" t="s">
        <v>270</v>
      </c>
      <c r="C470" s="18">
        <v>8.3000000000000007</v>
      </c>
      <c r="D470" s="18">
        <v>43.5</v>
      </c>
      <c r="E470" s="18">
        <v>73.5</v>
      </c>
      <c r="F470" s="18">
        <v>104.3</v>
      </c>
      <c r="G470" s="18">
        <v>56.2</v>
      </c>
      <c r="H470" s="18">
        <v>13.7</v>
      </c>
    </row>
    <row r="471" spans="1:8" x14ac:dyDescent="0.25">
      <c r="A471" s="11">
        <v>2022</v>
      </c>
      <c r="B471" s="11" t="s">
        <v>11</v>
      </c>
      <c r="C471" s="18">
        <v>7.5</v>
      </c>
      <c r="D471" s="18">
        <v>32.1</v>
      </c>
      <c r="E471" s="18">
        <v>71.7</v>
      </c>
      <c r="F471" s="18">
        <v>88.7</v>
      </c>
      <c r="G471" s="18">
        <v>53.2</v>
      </c>
      <c r="H471" s="18">
        <v>12.9</v>
      </c>
    </row>
    <row r="472" spans="1:8" x14ac:dyDescent="0.25">
      <c r="A472" s="11">
        <v>2022</v>
      </c>
      <c r="B472" s="11" t="s">
        <v>260</v>
      </c>
      <c r="C472" s="18">
        <v>10</v>
      </c>
      <c r="D472" s="18">
        <v>47.2</v>
      </c>
      <c r="E472" s="18">
        <v>86.9</v>
      </c>
      <c r="F472" s="18">
        <v>86</v>
      </c>
      <c r="G472" s="18">
        <v>43.6</v>
      </c>
      <c r="H472" s="18">
        <v>9.3000000000000007</v>
      </c>
    </row>
    <row r="473" spans="1:8" x14ac:dyDescent="0.25">
      <c r="A473" s="11">
        <v>2022</v>
      </c>
      <c r="B473" s="11" t="s">
        <v>261</v>
      </c>
      <c r="C473" s="18">
        <v>7.2</v>
      </c>
      <c r="D473" s="18">
        <v>46.5</v>
      </c>
      <c r="E473" s="18">
        <v>80.2</v>
      </c>
      <c r="F473" s="18">
        <v>99</v>
      </c>
      <c r="G473" s="18">
        <v>51.8</v>
      </c>
      <c r="H473" s="18">
        <v>13.5</v>
      </c>
    </row>
    <row r="474" spans="1:8" x14ac:dyDescent="0.25">
      <c r="A474" s="11">
        <v>2022</v>
      </c>
      <c r="B474" s="11" t="s">
        <v>233</v>
      </c>
      <c r="C474" s="18">
        <v>8.5</v>
      </c>
      <c r="D474" s="18">
        <v>50.5</v>
      </c>
      <c r="E474" s="18">
        <v>98</v>
      </c>
      <c r="F474" s="18">
        <v>96.4</v>
      </c>
      <c r="G474" s="18">
        <v>41.3</v>
      </c>
      <c r="H474" s="18">
        <v>8.4</v>
      </c>
    </row>
    <row r="475" spans="1:8" x14ac:dyDescent="0.25">
      <c r="A475" s="11">
        <v>2022</v>
      </c>
      <c r="B475" s="11" t="s">
        <v>240</v>
      </c>
      <c r="C475" s="18">
        <v>9.3000000000000007</v>
      </c>
      <c r="D475" s="18">
        <v>37.799999999999997</v>
      </c>
      <c r="E475" s="18">
        <v>85</v>
      </c>
      <c r="F475" s="18">
        <v>83.4</v>
      </c>
      <c r="G475" s="18">
        <v>46.2</v>
      </c>
      <c r="H475" s="18">
        <v>10.1</v>
      </c>
    </row>
    <row r="476" spans="1:8" x14ac:dyDescent="0.25">
      <c r="A476" s="11">
        <v>2022</v>
      </c>
      <c r="B476" s="11" t="s">
        <v>262</v>
      </c>
      <c r="C476" s="18">
        <v>7.9</v>
      </c>
      <c r="D476" s="18">
        <v>36</v>
      </c>
      <c r="E476" s="18">
        <v>79.099999999999994</v>
      </c>
      <c r="F476" s="18">
        <v>89.6</v>
      </c>
      <c r="G476" s="18">
        <v>51.1</v>
      </c>
      <c r="H476" s="18">
        <v>12.2</v>
      </c>
    </row>
    <row r="477" spans="1:8" x14ac:dyDescent="0.25">
      <c r="A477" s="11">
        <v>2022</v>
      </c>
      <c r="B477" s="11" t="s">
        <v>263</v>
      </c>
      <c r="C477" s="18">
        <v>4.5</v>
      </c>
      <c r="D477" s="18">
        <v>29.2</v>
      </c>
      <c r="E477" s="18">
        <v>74.900000000000006</v>
      </c>
      <c r="F477" s="18">
        <v>92.3</v>
      </c>
      <c r="G477" s="18">
        <v>49.3</v>
      </c>
      <c r="H477" s="18">
        <v>11.2</v>
      </c>
    </row>
    <row r="478" spans="1:8" x14ac:dyDescent="0.25">
      <c r="A478" s="11">
        <v>2022</v>
      </c>
      <c r="B478" s="11" t="s">
        <v>264</v>
      </c>
      <c r="C478" s="18">
        <v>7.6</v>
      </c>
      <c r="D478" s="18">
        <v>28.1</v>
      </c>
      <c r="E478" s="18">
        <v>63.4</v>
      </c>
      <c r="F478" s="18">
        <v>83.6</v>
      </c>
      <c r="G478" s="18">
        <v>56.8</v>
      </c>
      <c r="H478" s="18">
        <v>15</v>
      </c>
    </row>
    <row r="479" spans="1:8" x14ac:dyDescent="0.25">
      <c r="A479" s="11">
        <v>2022</v>
      </c>
      <c r="B479" s="11" t="s">
        <v>242</v>
      </c>
      <c r="C479" s="18">
        <v>7.3</v>
      </c>
      <c r="D479" s="18">
        <v>45.8</v>
      </c>
      <c r="E479" s="18">
        <v>88.3</v>
      </c>
      <c r="F479" s="18">
        <v>91.5</v>
      </c>
      <c r="G479" s="18">
        <v>56.4</v>
      </c>
      <c r="H479" s="18">
        <v>12.5</v>
      </c>
    </row>
    <row r="480" spans="1:8" x14ac:dyDescent="0.25">
      <c r="A480" s="11">
        <v>2022</v>
      </c>
      <c r="B480" s="11" t="s">
        <v>265</v>
      </c>
      <c r="C480" s="18">
        <v>8.1999999999999993</v>
      </c>
      <c r="D480" s="18">
        <v>45</v>
      </c>
      <c r="E480" s="18">
        <v>89.6</v>
      </c>
      <c r="F480" s="18">
        <v>97.4</v>
      </c>
      <c r="G480" s="18">
        <v>53.2</v>
      </c>
      <c r="H480" s="18">
        <v>11.4</v>
      </c>
    </row>
    <row r="481" spans="1:8" x14ac:dyDescent="0.25">
      <c r="A481" s="11">
        <v>2022</v>
      </c>
      <c r="B481" s="11" t="s">
        <v>266</v>
      </c>
      <c r="C481" s="18">
        <v>5.7</v>
      </c>
      <c r="D481" s="18">
        <v>19.8</v>
      </c>
      <c r="E481" s="18">
        <v>50.9</v>
      </c>
      <c r="F481" s="18">
        <v>84.8</v>
      </c>
      <c r="G481" s="18">
        <v>60.4</v>
      </c>
      <c r="H481" s="18">
        <v>16.3</v>
      </c>
    </row>
    <row r="482" spans="1:8" x14ac:dyDescent="0.25">
      <c r="A482" s="11">
        <v>2022</v>
      </c>
      <c r="B482" s="11" t="s">
        <v>267</v>
      </c>
      <c r="C482" s="18">
        <v>4</v>
      </c>
      <c r="D482" s="18">
        <v>46.5</v>
      </c>
      <c r="E482" s="18">
        <v>68.8</v>
      </c>
      <c r="F482" s="18">
        <v>97.5</v>
      </c>
      <c r="G482" s="18">
        <v>48.4</v>
      </c>
      <c r="H482" s="18">
        <v>17.7</v>
      </c>
    </row>
    <row r="483" spans="1:8" x14ac:dyDescent="0.25">
      <c r="A483" s="11">
        <v>2022</v>
      </c>
      <c r="B483" s="11" t="s">
        <v>268</v>
      </c>
      <c r="C483" s="18">
        <v>6.6</v>
      </c>
      <c r="D483" s="18">
        <v>48.6</v>
      </c>
      <c r="E483" s="18">
        <v>109</v>
      </c>
      <c r="F483" s="18">
        <v>109.9</v>
      </c>
      <c r="G483" s="18">
        <v>53.2</v>
      </c>
      <c r="H483" s="18">
        <v>8.6999999999999993</v>
      </c>
    </row>
    <row r="484" spans="1:8" x14ac:dyDescent="0.25">
      <c r="A484" s="11">
        <v>2022</v>
      </c>
      <c r="B484" s="11" t="s">
        <v>269</v>
      </c>
      <c r="C484" s="18">
        <v>9.6999999999999993</v>
      </c>
      <c r="D484" s="18">
        <v>34</v>
      </c>
      <c r="E484" s="18">
        <v>76.599999999999994</v>
      </c>
      <c r="F484" s="18">
        <v>92.6</v>
      </c>
      <c r="G484" s="18">
        <v>47.2</v>
      </c>
      <c r="H484" s="18">
        <v>11</v>
      </c>
    </row>
    <row r="485" spans="1:8" x14ac:dyDescent="0.25">
      <c r="A485" s="11">
        <v>2022</v>
      </c>
      <c r="B485" s="11" t="s">
        <v>270</v>
      </c>
      <c r="C485" s="18">
        <v>11.3</v>
      </c>
      <c r="D485" s="18">
        <v>30.2</v>
      </c>
      <c r="E485" s="18">
        <v>79.400000000000006</v>
      </c>
      <c r="F485" s="18">
        <v>123.1</v>
      </c>
      <c r="G485" s="18">
        <v>50.2</v>
      </c>
      <c r="H485" s="18">
        <v>6.2</v>
      </c>
    </row>
    <row r="486" spans="1:8" x14ac:dyDescent="0.25">
      <c r="A486" s="11">
        <v>2023</v>
      </c>
      <c r="B486" s="11" t="s">
        <v>11</v>
      </c>
      <c r="C486" s="18">
        <v>7.7</v>
      </c>
      <c r="D486" s="18">
        <v>29.8</v>
      </c>
      <c r="E486" s="18">
        <v>66.8</v>
      </c>
      <c r="F486" s="18">
        <v>87</v>
      </c>
      <c r="G486" s="18">
        <v>50.7</v>
      </c>
      <c r="H486" s="18">
        <v>12.2</v>
      </c>
    </row>
    <row r="487" spans="1:8" x14ac:dyDescent="0.25">
      <c r="A487" s="11">
        <v>2023</v>
      </c>
      <c r="B487" s="11" t="s">
        <v>260</v>
      </c>
      <c r="C487" s="18">
        <v>10.7</v>
      </c>
      <c r="D487" s="18">
        <v>49.1</v>
      </c>
      <c r="E487" s="18">
        <v>83.9</v>
      </c>
      <c r="F487" s="18">
        <v>88.5</v>
      </c>
      <c r="G487" s="18">
        <v>45.3</v>
      </c>
      <c r="H487" s="18">
        <v>8.6</v>
      </c>
    </row>
    <row r="488" spans="1:8" x14ac:dyDescent="0.25">
      <c r="A488" s="11">
        <v>2023</v>
      </c>
      <c r="B488" s="11" t="s">
        <v>261</v>
      </c>
      <c r="C488" s="18">
        <v>6.1</v>
      </c>
      <c r="D488" s="18">
        <v>44.6</v>
      </c>
      <c r="E488" s="18">
        <v>83.7</v>
      </c>
      <c r="F488" s="18">
        <v>90.5</v>
      </c>
      <c r="G488" s="18">
        <v>57.5</v>
      </c>
      <c r="H488" s="18">
        <v>10.5</v>
      </c>
    </row>
    <row r="489" spans="1:8" x14ac:dyDescent="0.25">
      <c r="A489" s="11">
        <v>2023</v>
      </c>
      <c r="B489" s="11" t="s">
        <v>233</v>
      </c>
      <c r="C489" s="18">
        <v>10.5</v>
      </c>
      <c r="D489" s="18">
        <v>54.8</v>
      </c>
      <c r="E489" s="18">
        <v>100.4</v>
      </c>
      <c r="F489" s="18">
        <v>96.6</v>
      </c>
      <c r="G489" s="18">
        <v>40.4</v>
      </c>
      <c r="H489" s="18">
        <v>11.7</v>
      </c>
    </row>
    <row r="490" spans="1:8" x14ac:dyDescent="0.25">
      <c r="A490" s="11">
        <v>2023</v>
      </c>
      <c r="B490" s="11" t="s">
        <v>240</v>
      </c>
      <c r="C490" s="18">
        <v>9.3000000000000007</v>
      </c>
      <c r="D490" s="18">
        <v>35.6</v>
      </c>
      <c r="E490" s="18">
        <v>82.5</v>
      </c>
      <c r="F490" s="18">
        <v>84.4</v>
      </c>
      <c r="G490" s="18">
        <v>44.4</v>
      </c>
      <c r="H490" s="18">
        <v>9</v>
      </c>
    </row>
    <row r="491" spans="1:8" x14ac:dyDescent="0.25">
      <c r="A491" s="11">
        <v>2023</v>
      </c>
      <c r="B491" s="11" t="s">
        <v>262</v>
      </c>
      <c r="C491" s="18">
        <v>7.8</v>
      </c>
      <c r="D491" s="18">
        <v>32.700000000000003</v>
      </c>
      <c r="E491" s="18">
        <v>74</v>
      </c>
      <c r="F491" s="18">
        <v>87.4</v>
      </c>
      <c r="G491" s="18">
        <v>47.7</v>
      </c>
      <c r="H491" s="18">
        <v>10.5</v>
      </c>
    </row>
    <row r="492" spans="1:8" x14ac:dyDescent="0.25">
      <c r="A492" s="11">
        <v>2023</v>
      </c>
      <c r="B492" s="11" t="s">
        <v>263</v>
      </c>
      <c r="C492" s="18">
        <v>6.1</v>
      </c>
      <c r="D492" s="18">
        <v>28.9</v>
      </c>
      <c r="E492" s="18">
        <v>76.2</v>
      </c>
      <c r="F492" s="18">
        <v>93.4</v>
      </c>
      <c r="G492" s="18">
        <v>47</v>
      </c>
      <c r="H492" s="18">
        <v>12</v>
      </c>
    </row>
    <row r="493" spans="1:8" x14ac:dyDescent="0.25">
      <c r="A493" s="11">
        <v>2023</v>
      </c>
      <c r="B493" s="11" t="s">
        <v>264</v>
      </c>
      <c r="C493" s="18">
        <v>7.4</v>
      </c>
      <c r="D493" s="18">
        <v>23.8</v>
      </c>
      <c r="E493" s="18">
        <v>54.4</v>
      </c>
      <c r="F493" s="18">
        <v>83.5</v>
      </c>
      <c r="G493" s="18">
        <v>53.6</v>
      </c>
      <c r="H493" s="18">
        <v>14.6</v>
      </c>
    </row>
    <row r="494" spans="1:8" x14ac:dyDescent="0.25">
      <c r="A494" s="11">
        <v>2023</v>
      </c>
      <c r="B494" s="11" t="s">
        <v>242</v>
      </c>
      <c r="C494" s="18">
        <v>7.6</v>
      </c>
      <c r="D494" s="18">
        <v>47.7</v>
      </c>
      <c r="E494" s="18">
        <v>82.3</v>
      </c>
      <c r="F494" s="18">
        <v>89.2</v>
      </c>
      <c r="G494" s="18">
        <v>49.9</v>
      </c>
      <c r="H494" s="18">
        <v>12.6</v>
      </c>
    </row>
    <row r="495" spans="1:8" x14ac:dyDescent="0.25">
      <c r="A495" s="11">
        <v>2023</v>
      </c>
      <c r="B495" s="11" t="s">
        <v>265</v>
      </c>
      <c r="C495" s="18">
        <v>7.4</v>
      </c>
      <c r="D495" s="18">
        <v>41.3</v>
      </c>
      <c r="E495" s="18">
        <v>85.9</v>
      </c>
      <c r="F495" s="18">
        <v>92.9</v>
      </c>
      <c r="G495" s="18">
        <v>52.9</v>
      </c>
      <c r="H495" s="18">
        <v>11.1</v>
      </c>
    </row>
    <row r="496" spans="1:8" x14ac:dyDescent="0.25">
      <c r="A496" s="11">
        <v>2023</v>
      </c>
      <c r="B496" s="11" t="s">
        <v>266</v>
      </c>
      <c r="C496" s="18">
        <v>6.6</v>
      </c>
      <c r="D496" s="18">
        <v>18.2</v>
      </c>
      <c r="E496" s="18">
        <v>46.3</v>
      </c>
      <c r="F496" s="18">
        <v>82.9</v>
      </c>
      <c r="G496" s="18">
        <v>56.7</v>
      </c>
      <c r="H496" s="18">
        <v>13.8</v>
      </c>
    </row>
    <row r="497" spans="1:8" x14ac:dyDescent="0.25">
      <c r="A497" s="11">
        <v>2023</v>
      </c>
      <c r="B497" s="11" t="s">
        <v>267</v>
      </c>
      <c r="C497" s="18">
        <v>7.5</v>
      </c>
      <c r="D497" s="18">
        <v>47.9</v>
      </c>
      <c r="E497" s="18">
        <v>72.900000000000006</v>
      </c>
      <c r="F497" s="18">
        <v>103.1</v>
      </c>
      <c r="G497" s="18">
        <v>45</v>
      </c>
      <c r="H497" s="18">
        <v>9</v>
      </c>
    </row>
    <row r="498" spans="1:8" x14ac:dyDescent="0.25">
      <c r="A498" s="11">
        <v>2023</v>
      </c>
      <c r="B498" s="11" t="s">
        <v>268</v>
      </c>
      <c r="C498" s="18">
        <v>1.6</v>
      </c>
      <c r="D498" s="18">
        <v>59.7</v>
      </c>
      <c r="E498" s="18">
        <v>83.8</v>
      </c>
      <c r="F498" s="18">
        <v>83</v>
      </c>
      <c r="G498" s="18">
        <v>45.9</v>
      </c>
      <c r="H498" s="18">
        <v>13.8</v>
      </c>
    </row>
    <row r="499" spans="1:8" x14ac:dyDescent="0.25">
      <c r="A499" s="11">
        <v>2023</v>
      </c>
      <c r="B499" s="11" t="s">
        <v>269</v>
      </c>
      <c r="C499" s="18">
        <v>9.8000000000000007</v>
      </c>
      <c r="D499" s="18">
        <v>33.299999999999997</v>
      </c>
      <c r="E499" s="18">
        <v>76</v>
      </c>
      <c r="F499" s="18">
        <v>85.1</v>
      </c>
      <c r="G499" s="18">
        <v>42.1</v>
      </c>
      <c r="H499" s="18">
        <v>10.199999999999999</v>
      </c>
    </row>
    <row r="500" spans="1:8" x14ac:dyDescent="0.25">
      <c r="A500" s="11">
        <v>2023</v>
      </c>
      <c r="B500" s="11" t="s">
        <v>270</v>
      </c>
      <c r="C500" s="18">
        <v>3.3</v>
      </c>
      <c r="D500" s="18">
        <v>38.9</v>
      </c>
      <c r="E500" s="18">
        <v>77.3</v>
      </c>
      <c r="F500" s="18">
        <v>102.4</v>
      </c>
      <c r="G500" s="18">
        <v>54.6</v>
      </c>
      <c r="H500" s="18">
        <v>17.3</v>
      </c>
    </row>
    <row r="501" spans="1:8" x14ac:dyDescent="0.25">
      <c r="A501" s="11">
        <v>2024</v>
      </c>
      <c r="B501" s="11" t="s">
        <v>11</v>
      </c>
      <c r="C501" s="18">
        <v>7.3</v>
      </c>
      <c r="D501" s="18">
        <v>29.1</v>
      </c>
      <c r="E501" s="18">
        <v>64.099999999999994</v>
      </c>
      <c r="F501" s="18">
        <v>86.5</v>
      </c>
      <c r="G501" s="18">
        <v>50</v>
      </c>
      <c r="H501" s="18">
        <v>12.5</v>
      </c>
    </row>
    <row r="502" spans="1:8" x14ac:dyDescent="0.25">
      <c r="A502" s="11">
        <v>2024</v>
      </c>
      <c r="B502" s="11" t="s">
        <v>260</v>
      </c>
      <c r="C502" s="18">
        <v>9.8000000000000007</v>
      </c>
      <c r="D502" s="18">
        <v>51.5</v>
      </c>
      <c r="E502" s="18">
        <v>83.1</v>
      </c>
      <c r="F502" s="18">
        <v>87.2</v>
      </c>
      <c r="G502" s="18">
        <v>42.9</v>
      </c>
      <c r="H502" s="18">
        <v>9</v>
      </c>
    </row>
    <row r="503" spans="1:8" x14ac:dyDescent="0.25">
      <c r="A503" s="11">
        <v>2024</v>
      </c>
      <c r="B503" s="11" t="s">
        <v>261</v>
      </c>
      <c r="C503" s="18">
        <v>6.8</v>
      </c>
      <c r="D503" s="18">
        <v>54.7</v>
      </c>
      <c r="E503" s="18">
        <v>82.6</v>
      </c>
      <c r="F503" s="18">
        <v>97.8</v>
      </c>
      <c r="G503" s="18">
        <v>43.5</v>
      </c>
      <c r="H503" s="18">
        <v>13.6</v>
      </c>
    </row>
    <row r="504" spans="1:8" x14ac:dyDescent="0.25">
      <c r="A504" s="11">
        <v>2024</v>
      </c>
      <c r="B504" s="11" t="s">
        <v>233</v>
      </c>
      <c r="C504" s="18">
        <v>10.8</v>
      </c>
      <c r="D504" s="18">
        <v>51.7</v>
      </c>
      <c r="E504" s="18">
        <v>90.2</v>
      </c>
      <c r="F504" s="18">
        <v>90.7</v>
      </c>
      <c r="G504" s="18">
        <v>42.9</v>
      </c>
      <c r="H504" s="18">
        <v>10.4</v>
      </c>
    </row>
    <row r="505" spans="1:8" x14ac:dyDescent="0.25">
      <c r="A505" s="11">
        <v>2024</v>
      </c>
      <c r="B505" s="11" t="s">
        <v>240</v>
      </c>
      <c r="C505" s="18">
        <v>7.8</v>
      </c>
      <c r="D505" s="18">
        <v>33.299999999999997</v>
      </c>
      <c r="E505" s="18">
        <v>73.400000000000006</v>
      </c>
      <c r="F505" s="18">
        <v>82.3</v>
      </c>
      <c r="G505" s="18">
        <v>46.3</v>
      </c>
      <c r="H505" s="18">
        <v>9.5</v>
      </c>
    </row>
    <row r="506" spans="1:8" x14ac:dyDescent="0.25">
      <c r="A506" s="11">
        <v>2024</v>
      </c>
      <c r="B506" s="11" t="s">
        <v>262</v>
      </c>
      <c r="C506" s="18">
        <v>7.4</v>
      </c>
      <c r="D506" s="18">
        <v>32.700000000000003</v>
      </c>
      <c r="E506" s="18">
        <v>70.400000000000006</v>
      </c>
      <c r="F506" s="18">
        <v>82.8</v>
      </c>
      <c r="G506" s="18">
        <v>47.7</v>
      </c>
      <c r="H506" s="18">
        <v>12.8</v>
      </c>
    </row>
    <row r="507" spans="1:8" x14ac:dyDescent="0.25">
      <c r="A507" s="11">
        <v>2024</v>
      </c>
      <c r="B507" s="11" t="s">
        <v>263</v>
      </c>
      <c r="C507" s="18">
        <v>5</v>
      </c>
      <c r="D507" s="18">
        <v>26.6</v>
      </c>
      <c r="E507" s="18">
        <v>69</v>
      </c>
      <c r="F507" s="18">
        <v>84.8</v>
      </c>
      <c r="G507" s="18">
        <v>43.3</v>
      </c>
      <c r="H507" s="18">
        <v>10.9</v>
      </c>
    </row>
    <row r="508" spans="1:8" x14ac:dyDescent="0.25">
      <c r="A508" s="11">
        <v>2024</v>
      </c>
      <c r="B508" s="11" t="s">
        <v>264</v>
      </c>
      <c r="C508" s="18">
        <v>7.1</v>
      </c>
      <c r="D508" s="18">
        <v>23.4</v>
      </c>
      <c r="E508" s="18">
        <v>52.5</v>
      </c>
      <c r="F508" s="18">
        <v>83.2</v>
      </c>
      <c r="G508" s="18">
        <v>54.6</v>
      </c>
      <c r="H508" s="18">
        <v>13.8</v>
      </c>
    </row>
    <row r="509" spans="1:8" x14ac:dyDescent="0.25">
      <c r="A509" s="11">
        <v>2024</v>
      </c>
      <c r="B509" s="11" t="s">
        <v>242</v>
      </c>
      <c r="C509" s="18">
        <v>8.1</v>
      </c>
      <c r="D509" s="18">
        <v>42.5</v>
      </c>
      <c r="E509" s="18">
        <v>80.599999999999994</v>
      </c>
      <c r="F509" s="18">
        <v>89</v>
      </c>
      <c r="G509" s="18">
        <v>46.4</v>
      </c>
      <c r="H509" s="18">
        <v>14</v>
      </c>
    </row>
    <row r="510" spans="1:8" x14ac:dyDescent="0.25">
      <c r="A510" s="11">
        <v>2024</v>
      </c>
      <c r="B510" s="11" t="s">
        <v>265</v>
      </c>
      <c r="C510" s="18">
        <v>8.1</v>
      </c>
      <c r="D510" s="18">
        <v>41.7</v>
      </c>
      <c r="E510" s="18">
        <v>85.5</v>
      </c>
      <c r="F510" s="18">
        <v>97</v>
      </c>
      <c r="G510" s="18">
        <v>49.7</v>
      </c>
      <c r="H510" s="18">
        <v>10.9</v>
      </c>
    </row>
    <row r="511" spans="1:8" x14ac:dyDescent="0.25">
      <c r="A511" s="11">
        <v>2024</v>
      </c>
      <c r="B511" s="11" t="s">
        <v>266</v>
      </c>
      <c r="C511" s="18">
        <v>5.9</v>
      </c>
      <c r="D511" s="18">
        <v>17.7</v>
      </c>
      <c r="E511" s="18">
        <v>45.7</v>
      </c>
      <c r="F511" s="18">
        <v>84.5</v>
      </c>
      <c r="G511" s="18">
        <v>56.9</v>
      </c>
      <c r="H511" s="18">
        <v>15.5</v>
      </c>
    </row>
    <row r="512" spans="1:8" x14ac:dyDescent="0.25">
      <c r="A512" s="11">
        <v>2024</v>
      </c>
      <c r="B512" s="11" t="s">
        <v>267</v>
      </c>
      <c r="C512" s="18">
        <v>3.6</v>
      </c>
      <c r="D512" s="18">
        <v>47.4</v>
      </c>
      <c r="E512" s="18">
        <v>85.6</v>
      </c>
      <c r="F512" s="18">
        <v>88.3</v>
      </c>
      <c r="G512" s="18">
        <v>30.3</v>
      </c>
      <c r="H512" s="18">
        <v>12.5</v>
      </c>
    </row>
    <row r="513" spans="1:8" x14ac:dyDescent="0.25">
      <c r="A513" s="11">
        <v>2024</v>
      </c>
      <c r="B513" s="11" t="s">
        <v>268</v>
      </c>
      <c r="C513" s="18">
        <v>4.5</v>
      </c>
      <c r="D513" s="18">
        <v>36.700000000000003</v>
      </c>
      <c r="E513" s="18">
        <v>91.8</v>
      </c>
      <c r="F513" s="18">
        <v>70.599999999999994</v>
      </c>
      <c r="G513" s="18">
        <v>51.2</v>
      </c>
      <c r="H513" s="18">
        <v>8.1</v>
      </c>
    </row>
    <row r="514" spans="1:8" x14ac:dyDescent="0.25">
      <c r="A514" s="11">
        <v>2024</v>
      </c>
      <c r="B514" s="11" t="s">
        <v>269</v>
      </c>
      <c r="C514" s="18">
        <v>8.6999999999999993</v>
      </c>
      <c r="D514" s="18">
        <v>32.700000000000003</v>
      </c>
      <c r="E514" s="18">
        <v>76</v>
      </c>
      <c r="F514" s="18">
        <v>89.3</v>
      </c>
      <c r="G514" s="18">
        <v>45.2</v>
      </c>
      <c r="H514" s="18">
        <v>11.3</v>
      </c>
    </row>
    <row r="515" spans="1:8" x14ac:dyDescent="0.25">
      <c r="A515" s="11">
        <v>2024</v>
      </c>
      <c r="B515" s="11" t="s">
        <v>270</v>
      </c>
      <c r="C515" s="18">
        <v>4.9000000000000004</v>
      </c>
      <c r="D515" s="18">
        <v>44.1</v>
      </c>
      <c r="E515" s="18">
        <v>91.9</v>
      </c>
      <c r="F515" s="18">
        <v>97.4</v>
      </c>
      <c r="G515" s="18">
        <v>58</v>
      </c>
      <c r="H515" s="18">
        <v>7.9</v>
      </c>
    </row>
  </sheetData>
  <pageMargins left="0.7" right="0.7" top="0.75" bottom="0.75" header="0.3" footer="0.3"/>
  <pageSetup paperSize="9" orientation="portrait" horizontalDpi="300" verticalDpi="300"/>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424"/>
  <sheetViews>
    <sheetView workbookViewId="0"/>
  </sheetViews>
  <sheetFormatPr defaultColWidth="11.6328125" defaultRowHeight="15" x14ac:dyDescent="0.25"/>
  <cols>
    <col min="1" max="1" width="25.6328125" bestFit="1" customWidth="1"/>
    <col min="2" max="5" width="10.6328125" bestFit="1" customWidth="1"/>
  </cols>
  <sheetData>
    <row r="1" spans="1:5" ht="21" x14ac:dyDescent="0.4">
      <c r="A1" s="5" t="s">
        <v>294</v>
      </c>
    </row>
    <row r="2" spans="1:5" x14ac:dyDescent="0.25">
      <c r="A2" t="s">
        <v>29</v>
      </c>
    </row>
    <row r="3" spans="1:5" x14ac:dyDescent="0.25">
      <c r="A3" s="16" t="str">
        <f>HYPERLINK("#'Contents'!A1", "back to contents")</f>
        <v>back to contents</v>
      </c>
    </row>
    <row r="4" spans="1:5" ht="15.6" x14ac:dyDescent="0.3">
      <c r="A4" s="10" t="s">
        <v>279</v>
      </c>
      <c r="B4" s="10" t="s">
        <v>69</v>
      </c>
      <c r="C4" s="12" t="s">
        <v>70</v>
      </c>
      <c r="D4" s="12" t="s">
        <v>72</v>
      </c>
      <c r="E4" s="12" t="s">
        <v>71</v>
      </c>
    </row>
    <row r="5" spans="1:5" x14ac:dyDescent="0.25">
      <c r="A5" s="11" t="s">
        <v>11</v>
      </c>
      <c r="B5" s="11">
        <v>1997</v>
      </c>
      <c r="C5" s="13">
        <v>59440</v>
      </c>
      <c r="D5" s="13">
        <v>28924</v>
      </c>
      <c r="E5" s="13">
        <v>30516</v>
      </c>
    </row>
    <row r="6" spans="1:5" x14ac:dyDescent="0.25">
      <c r="A6" s="11" t="s">
        <v>260</v>
      </c>
      <c r="B6" s="11">
        <v>1997</v>
      </c>
      <c r="C6" s="13">
        <v>4167</v>
      </c>
      <c r="D6" s="13">
        <v>2007</v>
      </c>
      <c r="E6" s="13">
        <v>2160</v>
      </c>
    </row>
    <row r="7" spans="1:5" x14ac:dyDescent="0.25">
      <c r="A7" s="11" t="s">
        <v>261</v>
      </c>
      <c r="B7" s="11">
        <v>1997</v>
      </c>
      <c r="C7" s="13">
        <v>1132</v>
      </c>
      <c r="D7" s="13">
        <v>567</v>
      </c>
      <c r="E7" s="13">
        <v>565</v>
      </c>
    </row>
    <row r="8" spans="1:5" x14ac:dyDescent="0.25">
      <c r="A8" s="11" t="s">
        <v>233</v>
      </c>
      <c r="B8" s="11">
        <v>1997</v>
      </c>
      <c r="C8" s="13">
        <v>1568</v>
      </c>
      <c r="D8" s="13">
        <v>766</v>
      </c>
      <c r="E8" s="13">
        <v>802</v>
      </c>
    </row>
    <row r="9" spans="1:5" x14ac:dyDescent="0.25">
      <c r="A9" s="11" t="s">
        <v>240</v>
      </c>
      <c r="B9" s="11">
        <v>1997</v>
      </c>
      <c r="C9" s="13">
        <v>3824</v>
      </c>
      <c r="D9" s="13">
        <v>1905</v>
      </c>
      <c r="E9" s="13">
        <v>1919</v>
      </c>
    </row>
    <row r="10" spans="1:5" x14ac:dyDescent="0.25">
      <c r="A10" s="11" t="s">
        <v>262</v>
      </c>
      <c r="B10" s="11">
        <v>1997</v>
      </c>
      <c r="C10" s="13">
        <v>3178</v>
      </c>
      <c r="D10" s="13">
        <v>1556</v>
      </c>
      <c r="E10" s="13">
        <v>1622</v>
      </c>
    </row>
    <row r="11" spans="1:5" x14ac:dyDescent="0.25">
      <c r="A11" s="11" t="s">
        <v>263</v>
      </c>
      <c r="B11" s="11">
        <v>1997</v>
      </c>
      <c r="C11" s="13">
        <v>6044</v>
      </c>
      <c r="D11" s="13">
        <v>2866</v>
      </c>
      <c r="E11" s="13">
        <v>3178</v>
      </c>
    </row>
    <row r="12" spans="1:5" x14ac:dyDescent="0.25">
      <c r="A12" s="11" t="s">
        <v>264</v>
      </c>
      <c r="B12" s="11">
        <v>1997</v>
      </c>
      <c r="C12" s="13">
        <v>15010</v>
      </c>
      <c r="D12" s="13">
        <v>7323</v>
      </c>
      <c r="E12" s="13">
        <v>7687</v>
      </c>
    </row>
    <row r="13" spans="1:5" x14ac:dyDescent="0.25">
      <c r="A13" s="11" t="s">
        <v>242</v>
      </c>
      <c r="B13" s="11">
        <v>1997</v>
      </c>
      <c r="C13" s="13">
        <v>3391</v>
      </c>
      <c r="D13" s="13">
        <v>1626</v>
      </c>
      <c r="E13" s="13">
        <v>1765</v>
      </c>
    </row>
    <row r="14" spans="1:5" x14ac:dyDescent="0.25">
      <c r="A14" s="11" t="s">
        <v>265</v>
      </c>
      <c r="B14" s="11">
        <v>1997</v>
      </c>
      <c r="C14" s="13">
        <v>6788</v>
      </c>
      <c r="D14" s="13">
        <v>3249</v>
      </c>
      <c r="E14" s="13">
        <v>3539</v>
      </c>
    </row>
    <row r="15" spans="1:5" x14ac:dyDescent="0.25">
      <c r="A15" s="11" t="s">
        <v>266</v>
      </c>
      <c r="B15" s="11">
        <v>1997</v>
      </c>
      <c r="C15" s="13">
        <v>9172</v>
      </c>
      <c r="D15" s="13">
        <v>4522</v>
      </c>
      <c r="E15" s="13">
        <v>4650</v>
      </c>
    </row>
    <row r="16" spans="1:5" x14ac:dyDescent="0.25">
      <c r="A16" s="11" t="s">
        <v>267</v>
      </c>
      <c r="B16" s="11">
        <v>1997</v>
      </c>
      <c r="C16" s="13">
        <v>224</v>
      </c>
      <c r="D16" s="13">
        <v>102</v>
      </c>
      <c r="E16" s="13">
        <v>122</v>
      </c>
    </row>
    <row r="17" spans="1:5" x14ac:dyDescent="0.25">
      <c r="A17" s="11" t="s">
        <v>268</v>
      </c>
      <c r="B17" s="11">
        <v>1997</v>
      </c>
      <c r="C17" s="13">
        <v>286</v>
      </c>
      <c r="D17" s="13">
        <v>157</v>
      </c>
      <c r="E17" s="13">
        <v>129</v>
      </c>
    </row>
    <row r="18" spans="1:5" x14ac:dyDescent="0.25">
      <c r="A18" s="11" t="s">
        <v>269</v>
      </c>
      <c r="B18" s="11">
        <v>1997</v>
      </c>
      <c r="C18" s="13">
        <v>4404</v>
      </c>
      <c r="D18" s="13">
        <v>2150</v>
      </c>
      <c r="E18" s="13">
        <v>2254</v>
      </c>
    </row>
    <row r="19" spans="1:5" x14ac:dyDescent="0.25">
      <c r="A19" s="11" t="s">
        <v>270</v>
      </c>
      <c r="B19" s="11">
        <v>1997</v>
      </c>
      <c r="C19" s="13">
        <v>252</v>
      </c>
      <c r="D19" s="13">
        <v>128</v>
      </c>
      <c r="E19" s="13">
        <v>124</v>
      </c>
    </row>
    <row r="20" spans="1:5" x14ac:dyDescent="0.25">
      <c r="A20" s="11" t="s">
        <v>11</v>
      </c>
      <c r="B20" s="11">
        <v>1998</v>
      </c>
      <c r="C20" s="13">
        <v>57319</v>
      </c>
      <c r="D20" s="13">
        <v>27823</v>
      </c>
      <c r="E20" s="13">
        <v>29496</v>
      </c>
    </row>
    <row r="21" spans="1:5" x14ac:dyDescent="0.25">
      <c r="A21" s="11" t="s">
        <v>260</v>
      </c>
      <c r="B21" s="11">
        <v>1998</v>
      </c>
      <c r="C21" s="13">
        <v>4056</v>
      </c>
      <c r="D21" s="13">
        <v>1973</v>
      </c>
      <c r="E21" s="13">
        <v>2083</v>
      </c>
    </row>
    <row r="22" spans="1:5" x14ac:dyDescent="0.25">
      <c r="A22" s="11" t="s">
        <v>261</v>
      </c>
      <c r="B22" s="11">
        <v>1998</v>
      </c>
      <c r="C22" s="13">
        <v>1038</v>
      </c>
      <c r="D22" s="13">
        <v>501</v>
      </c>
      <c r="E22" s="13">
        <v>537</v>
      </c>
    </row>
    <row r="23" spans="1:5" x14ac:dyDescent="0.25">
      <c r="A23" s="11" t="s">
        <v>233</v>
      </c>
      <c r="B23" s="11">
        <v>1998</v>
      </c>
      <c r="C23" s="13">
        <v>1514</v>
      </c>
      <c r="D23" s="13">
        <v>734</v>
      </c>
      <c r="E23" s="13">
        <v>780</v>
      </c>
    </row>
    <row r="24" spans="1:5" x14ac:dyDescent="0.25">
      <c r="A24" s="11" t="s">
        <v>240</v>
      </c>
      <c r="B24" s="11">
        <v>1998</v>
      </c>
      <c r="C24" s="13">
        <v>3854</v>
      </c>
      <c r="D24" s="13">
        <v>1886</v>
      </c>
      <c r="E24" s="13">
        <v>1968</v>
      </c>
    </row>
    <row r="25" spans="1:5" x14ac:dyDescent="0.25">
      <c r="A25" s="11" t="s">
        <v>262</v>
      </c>
      <c r="B25" s="11">
        <v>1998</v>
      </c>
      <c r="C25" s="13">
        <v>3158</v>
      </c>
      <c r="D25" s="13">
        <v>1504</v>
      </c>
      <c r="E25" s="13">
        <v>1654</v>
      </c>
    </row>
    <row r="26" spans="1:5" x14ac:dyDescent="0.25">
      <c r="A26" s="11" t="s">
        <v>263</v>
      </c>
      <c r="B26" s="11">
        <v>1998</v>
      </c>
      <c r="C26" s="13">
        <v>5967</v>
      </c>
      <c r="D26" s="13">
        <v>2881</v>
      </c>
      <c r="E26" s="13">
        <v>3086</v>
      </c>
    </row>
    <row r="27" spans="1:5" x14ac:dyDescent="0.25">
      <c r="A27" s="11" t="s">
        <v>264</v>
      </c>
      <c r="B27" s="11">
        <v>1998</v>
      </c>
      <c r="C27" s="13">
        <v>14090</v>
      </c>
      <c r="D27" s="13">
        <v>6813</v>
      </c>
      <c r="E27" s="13">
        <v>7277</v>
      </c>
    </row>
    <row r="28" spans="1:5" x14ac:dyDescent="0.25">
      <c r="A28" s="11" t="s">
        <v>242</v>
      </c>
      <c r="B28" s="11">
        <v>1998</v>
      </c>
      <c r="C28" s="13">
        <v>3301</v>
      </c>
      <c r="D28" s="13">
        <v>1583</v>
      </c>
      <c r="E28" s="13">
        <v>1718</v>
      </c>
    </row>
    <row r="29" spans="1:5" x14ac:dyDescent="0.25">
      <c r="A29" s="11" t="s">
        <v>265</v>
      </c>
      <c r="B29" s="11">
        <v>1998</v>
      </c>
      <c r="C29" s="13">
        <v>6607</v>
      </c>
      <c r="D29" s="13">
        <v>3225</v>
      </c>
      <c r="E29" s="13">
        <v>3382</v>
      </c>
    </row>
    <row r="30" spans="1:5" x14ac:dyDescent="0.25">
      <c r="A30" s="11" t="s">
        <v>266</v>
      </c>
      <c r="B30" s="11">
        <v>1998</v>
      </c>
      <c r="C30" s="13">
        <v>8805</v>
      </c>
      <c r="D30" s="13">
        <v>4320</v>
      </c>
      <c r="E30" s="13">
        <v>4485</v>
      </c>
    </row>
    <row r="31" spans="1:5" x14ac:dyDescent="0.25">
      <c r="A31" s="11" t="s">
        <v>267</v>
      </c>
      <c r="B31" s="11">
        <v>1998</v>
      </c>
      <c r="C31" s="13">
        <v>194</v>
      </c>
      <c r="D31" s="13">
        <v>91</v>
      </c>
      <c r="E31" s="13">
        <v>103</v>
      </c>
    </row>
    <row r="32" spans="1:5" x14ac:dyDescent="0.25">
      <c r="A32" s="11" t="s">
        <v>268</v>
      </c>
      <c r="B32" s="11">
        <v>1998</v>
      </c>
      <c r="C32" s="13">
        <v>265</v>
      </c>
      <c r="D32" s="13">
        <v>139</v>
      </c>
      <c r="E32" s="13">
        <v>126</v>
      </c>
    </row>
    <row r="33" spans="1:5" x14ac:dyDescent="0.25">
      <c r="A33" s="11" t="s">
        <v>269</v>
      </c>
      <c r="B33" s="11">
        <v>1998</v>
      </c>
      <c r="C33" s="13">
        <v>4196</v>
      </c>
      <c r="D33" s="13">
        <v>2030</v>
      </c>
      <c r="E33" s="13">
        <v>2166</v>
      </c>
    </row>
    <row r="34" spans="1:5" x14ac:dyDescent="0.25">
      <c r="A34" s="11" t="s">
        <v>270</v>
      </c>
      <c r="B34" s="11">
        <v>1998</v>
      </c>
      <c r="C34" s="13">
        <v>274</v>
      </c>
      <c r="D34" s="13">
        <v>143</v>
      </c>
      <c r="E34" s="13">
        <v>131</v>
      </c>
    </row>
    <row r="35" spans="1:5" x14ac:dyDescent="0.25">
      <c r="A35" s="11" t="s">
        <v>11</v>
      </c>
      <c r="B35" s="11">
        <v>1999</v>
      </c>
      <c r="C35" s="13">
        <v>55147</v>
      </c>
      <c r="D35" s="13">
        <v>26901</v>
      </c>
      <c r="E35" s="13">
        <v>28246</v>
      </c>
    </row>
    <row r="36" spans="1:5" x14ac:dyDescent="0.25">
      <c r="A36" s="11" t="s">
        <v>260</v>
      </c>
      <c r="B36" s="11">
        <v>1999</v>
      </c>
      <c r="C36" s="13">
        <v>3740</v>
      </c>
      <c r="D36" s="13">
        <v>1815</v>
      </c>
      <c r="E36" s="13">
        <v>1925</v>
      </c>
    </row>
    <row r="37" spans="1:5" x14ac:dyDescent="0.25">
      <c r="A37" s="11" t="s">
        <v>261</v>
      </c>
      <c r="B37" s="11">
        <v>1999</v>
      </c>
      <c r="C37" s="13">
        <v>1054</v>
      </c>
      <c r="D37" s="13">
        <v>523</v>
      </c>
      <c r="E37" s="13">
        <v>531</v>
      </c>
    </row>
    <row r="38" spans="1:5" x14ac:dyDescent="0.25">
      <c r="A38" s="11" t="s">
        <v>233</v>
      </c>
      <c r="B38" s="11">
        <v>1999</v>
      </c>
      <c r="C38" s="13">
        <v>1402</v>
      </c>
      <c r="D38" s="13">
        <v>684</v>
      </c>
      <c r="E38" s="13">
        <v>718</v>
      </c>
    </row>
    <row r="39" spans="1:5" x14ac:dyDescent="0.25">
      <c r="A39" s="11" t="s">
        <v>240</v>
      </c>
      <c r="B39" s="11">
        <v>1999</v>
      </c>
      <c r="C39" s="13">
        <v>3655</v>
      </c>
      <c r="D39" s="13">
        <v>1761</v>
      </c>
      <c r="E39" s="13">
        <v>1894</v>
      </c>
    </row>
    <row r="40" spans="1:5" x14ac:dyDescent="0.25">
      <c r="A40" s="11" t="s">
        <v>262</v>
      </c>
      <c r="B40" s="11">
        <v>1999</v>
      </c>
      <c r="C40" s="13">
        <v>3029</v>
      </c>
      <c r="D40" s="13">
        <v>1482</v>
      </c>
      <c r="E40" s="13">
        <v>1547</v>
      </c>
    </row>
    <row r="41" spans="1:5" x14ac:dyDescent="0.25">
      <c r="A41" s="11" t="s">
        <v>263</v>
      </c>
      <c r="B41" s="11">
        <v>1999</v>
      </c>
      <c r="C41" s="13">
        <v>5785</v>
      </c>
      <c r="D41" s="13">
        <v>2817</v>
      </c>
      <c r="E41" s="13">
        <v>2968</v>
      </c>
    </row>
    <row r="42" spans="1:5" x14ac:dyDescent="0.25">
      <c r="A42" s="11" t="s">
        <v>264</v>
      </c>
      <c r="B42" s="11">
        <v>1999</v>
      </c>
      <c r="C42" s="13">
        <v>13565</v>
      </c>
      <c r="D42" s="13">
        <v>6672</v>
      </c>
      <c r="E42" s="13">
        <v>6893</v>
      </c>
    </row>
    <row r="43" spans="1:5" x14ac:dyDescent="0.25">
      <c r="A43" s="11" t="s">
        <v>242</v>
      </c>
      <c r="B43" s="11">
        <v>1999</v>
      </c>
      <c r="C43" s="13">
        <v>3057</v>
      </c>
      <c r="D43" s="13">
        <v>1419</v>
      </c>
      <c r="E43" s="13">
        <v>1638</v>
      </c>
    </row>
    <row r="44" spans="1:5" x14ac:dyDescent="0.25">
      <c r="A44" s="11" t="s">
        <v>265</v>
      </c>
      <c r="B44" s="11">
        <v>1999</v>
      </c>
      <c r="C44" s="13">
        <v>6454</v>
      </c>
      <c r="D44" s="13">
        <v>3140</v>
      </c>
      <c r="E44" s="13">
        <v>3314</v>
      </c>
    </row>
    <row r="45" spans="1:5" x14ac:dyDescent="0.25">
      <c r="A45" s="11" t="s">
        <v>266</v>
      </c>
      <c r="B45" s="11">
        <v>1999</v>
      </c>
      <c r="C45" s="13">
        <v>8690</v>
      </c>
      <c r="D45" s="13">
        <v>4331</v>
      </c>
      <c r="E45" s="13">
        <v>4359</v>
      </c>
    </row>
    <row r="46" spans="1:5" x14ac:dyDescent="0.25">
      <c r="A46" s="11" t="s">
        <v>267</v>
      </c>
      <c r="B46" s="11">
        <v>1999</v>
      </c>
      <c r="C46" s="13">
        <v>188</v>
      </c>
      <c r="D46" s="13">
        <v>93</v>
      </c>
      <c r="E46" s="13">
        <v>95</v>
      </c>
    </row>
    <row r="47" spans="1:5" x14ac:dyDescent="0.25">
      <c r="A47" s="11" t="s">
        <v>268</v>
      </c>
      <c r="B47" s="11">
        <v>1999</v>
      </c>
      <c r="C47" s="13">
        <v>284</v>
      </c>
      <c r="D47" s="13">
        <v>144</v>
      </c>
      <c r="E47" s="13">
        <v>140</v>
      </c>
    </row>
    <row r="48" spans="1:5" x14ac:dyDescent="0.25">
      <c r="A48" s="11" t="s">
        <v>269</v>
      </c>
      <c r="B48" s="11">
        <v>1999</v>
      </c>
      <c r="C48" s="13">
        <v>3979</v>
      </c>
      <c r="D48" s="13">
        <v>1897</v>
      </c>
      <c r="E48" s="13">
        <v>2082</v>
      </c>
    </row>
    <row r="49" spans="1:5" x14ac:dyDescent="0.25">
      <c r="A49" s="11" t="s">
        <v>270</v>
      </c>
      <c r="B49" s="11">
        <v>1999</v>
      </c>
      <c r="C49" s="13">
        <v>265</v>
      </c>
      <c r="D49" s="13">
        <v>123</v>
      </c>
      <c r="E49" s="13">
        <v>142</v>
      </c>
    </row>
    <row r="50" spans="1:5" x14ac:dyDescent="0.25">
      <c r="A50" s="11" t="s">
        <v>11</v>
      </c>
      <c r="B50" s="11">
        <v>2000</v>
      </c>
      <c r="C50" s="13">
        <v>53076</v>
      </c>
      <c r="D50" s="13">
        <v>25880</v>
      </c>
      <c r="E50" s="13">
        <v>27196</v>
      </c>
    </row>
    <row r="51" spans="1:5" x14ac:dyDescent="0.25">
      <c r="A51" s="11" t="s">
        <v>260</v>
      </c>
      <c r="B51" s="11">
        <v>2000</v>
      </c>
      <c r="C51" s="13">
        <v>3671</v>
      </c>
      <c r="D51" s="13">
        <v>1821</v>
      </c>
      <c r="E51" s="13">
        <v>1850</v>
      </c>
    </row>
    <row r="52" spans="1:5" x14ac:dyDescent="0.25">
      <c r="A52" s="11" t="s">
        <v>261</v>
      </c>
      <c r="B52" s="11">
        <v>2000</v>
      </c>
      <c r="C52" s="13">
        <v>1068</v>
      </c>
      <c r="D52" s="13">
        <v>529</v>
      </c>
      <c r="E52" s="13">
        <v>539</v>
      </c>
    </row>
    <row r="53" spans="1:5" x14ac:dyDescent="0.25">
      <c r="A53" s="11" t="s">
        <v>233</v>
      </c>
      <c r="B53" s="11">
        <v>2000</v>
      </c>
      <c r="C53" s="13">
        <v>1369</v>
      </c>
      <c r="D53" s="13">
        <v>670</v>
      </c>
      <c r="E53" s="13">
        <v>699</v>
      </c>
    </row>
    <row r="54" spans="1:5" x14ac:dyDescent="0.25">
      <c r="A54" s="11" t="s">
        <v>240</v>
      </c>
      <c r="B54" s="11">
        <v>2000</v>
      </c>
      <c r="C54" s="13">
        <v>3498</v>
      </c>
      <c r="D54" s="13">
        <v>1674</v>
      </c>
      <c r="E54" s="13">
        <v>1824</v>
      </c>
    </row>
    <row r="55" spans="1:5" x14ac:dyDescent="0.25">
      <c r="A55" s="11" t="s">
        <v>262</v>
      </c>
      <c r="B55" s="11">
        <v>2000</v>
      </c>
      <c r="C55" s="13">
        <v>2921</v>
      </c>
      <c r="D55" s="13">
        <v>1451</v>
      </c>
      <c r="E55" s="13">
        <v>1470</v>
      </c>
    </row>
    <row r="56" spans="1:5" x14ac:dyDescent="0.25">
      <c r="A56" s="11" t="s">
        <v>263</v>
      </c>
      <c r="B56" s="11">
        <v>2000</v>
      </c>
      <c r="C56" s="13">
        <v>5320</v>
      </c>
      <c r="D56" s="13">
        <v>2530</v>
      </c>
      <c r="E56" s="13">
        <v>2790</v>
      </c>
    </row>
    <row r="57" spans="1:5" x14ac:dyDescent="0.25">
      <c r="A57" s="11" t="s">
        <v>264</v>
      </c>
      <c r="B57" s="11">
        <v>2000</v>
      </c>
      <c r="C57" s="13">
        <v>13133</v>
      </c>
      <c r="D57" s="13">
        <v>6369</v>
      </c>
      <c r="E57" s="13">
        <v>6764</v>
      </c>
    </row>
    <row r="58" spans="1:5" x14ac:dyDescent="0.25">
      <c r="A58" s="11" t="s">
        <v>242</v>
      </c>
      <c r="B58" s="11">
        <v>2000</v>
      </c>
      <c r="C58" s="13">
        <v>2945</v>
      </c>
      <c r="D58" s="13">
        <v>1401</v>
      </c>
      <c r="E58" s="13">
        <v>1544</v>
      </c>
    </row>
    <row r="59" spans="1:5" x14ac:dyDescent="0.25">
      <c r="A59" s="11" t="s">
        <v>265</v>
      </c>
      <c r="B59" s="11">
        <v>2000</v>
      </c>
      <c r="C59" s="13">
        <v>6220</v>
      </c>
      <c r="D59" s="13">
        <v>3081</v>
      </c>
      <c r="E59" s="13">
        <v>3139</v>
      </c>
    </row>
    <row r="60" spans="1:5" x14ac:dyDescent="0.25">
      <c r="A60" s="11" t="s">
        <v>266</v>
      </c>
      <c r="B60" s="11">
        <v>2000</v>
      </c>
      <c r="C60" s="13">
        <v>8479</v>
      </c>
      <c r="D60" s="13">
        <v>4181</v>
      </c>
      <c r="E60" s="13">
        <v>4298</v>
      </c>
    </row>
    <row r="61" spans="1:5" x14ac:dyDescent="0.25">
      <c r="A61" s="11" t="s">
        <v>267</v>
      </c>
      <c r="B61" s="11">
        <v>2000</v>
      </c>
      <c r="C61" s="13">
        <v>152</v>
      </c>
      <c r="D61" s="13">
        <v>83</v>
      </c>
      <c r="E61" s="13">
        <v>69</v>
      </c>
    </row>
    <row r="62" spans="1:5" x14ac:dyDescent="0.25">
      <c r="A62" s="11" t="s">
        <v>268</v>
      </c>
      <c r="B62" s="11">
        <v>2000</v>
      </c>
      <c r="C62" s="13">
        <v>226</v>
      </c>
      <c r="D62" s="13">
        <v>109</v>
      </c>
      <c r="E62" s="13">
        <v>117</v>
      </c>
    </row>
    <row r="63" spans="1:5" x14ac:dyDescent="0.25">
      <c r="A63" s="11" t="s">
        <v>269</v>
      </c>
      <c r="B63" s="11">
        <v>2000</v>
      </c>
      <c r="C63" s="13">
        <v>3846</v>
      </c>
      <c r="D63" s="13">
        <v>1873</v>
      </c>
      <c r="E63" s="13">
        <v>1973</v>
      </c>
    </row>
    <row r="64" spans="1:5" x14ac:dyDescent="0.25">
      <c r="A64" s="11" t="s">
        <v>270</v>
      </c>
      <c r="B64" s="11">
        <v>2000</v>
      </c>
      <c r="C64" s="13">
        <v>228</v>
      </c>
      <c r="D64" s="13">
        <v>108</v>
      </c>
      <c r="E64" s="13">
        <v>120</v>
      </c>
    </row>
    <row r="65" spans="1:5" x14ac:dyDescent="0.25">
      <c r="A65" s="11" t="s">
        <v>11</v>
      </c>
      <c r="B65" s="11">
        <v>2001</v>
      </c>
      <c r="C65" s="13">
        <v>52527</v>
      </c>
      <c r="D65" s="13">
        <v>25741</v>
      </c>
      <c r="E65" s="13">
        <v>26786</v>
      </c>
    </row>
    <row r="66" spans="1:5" x14ac:dyDescent="0.25">
      <c r="A66" s="11" t="s">
        <v>260</v>
      </c>
      <c r="B66" s="11">
        <v>2001</v>
      </c>
      <c r="C66" s="13">
        <v>3675</v>
      </c>
      <c r="D66" s="13">
        <v>1807</v>
      </c>
      <c r="E66" s="13">
        <v>1868</v>
      </c>
    </row>
    <row r="67" spans="1:5" x14ac:dyDescent="0.25">
      <c r="A67" s="11" t="s">
        <v>261</v>
      </c>
      <c r="B67" s="11">
        <v>2001</v>
      </c>
      <c r="C67" s="13">
        <v>1066</v>
      </c>
      <c r="D67" s="13">
        <v>537</v>
      </c>
      <c r="E67" s="13">
        <v>529</v>
      </c>
    </row>
    <row r="68" spans="1:5" x14ac:dyDescent="0.25">
      <c r="A68" s="11" t="s">
        <v>233</v>
      </c>
      <c r="B68" s="11">
        <v>2001</v>
      </c>
      <c r="C68" s="13">
        <v>1283</v>
      </c>
      <c r="D68" s="13">
        <v>622</v>
      </c>
      <c r="E68" s="13">
        <v>661</v>
      </c>
    </row>
    <row r="69" spans="1:5" x14ac:dyDescent="0.25">
      <c r="A69" s="11" t="s">
        <v>240</v>
      </c>
      <c r="B69" s="11">
        <v>2001</v>
      </c>
      <c r="C69" s="13">
        <v>3642</v>
      </c>
      <c r="D69" s="13">
        <v>1782</v>
      </c>
      <c r="E69" s="13">
        <v>1860</v>
      </c>
    </row>
    <row r="70" spans="1:5" x14ac:dyDescent="0.25">
      <c r="A70" s="11" t="s">
        <v>262</v>
      </c>
      <c r="B70" s="11">
        <v>2001</v>
      </c>
      <c r="C70" s="13">
        <v>2817</v>
      </c>
      <c r="D70" s="13">
        <v>1403</v>
      </c>
      <c r="E70" s="13">
        <v>1414</v>
      </c>
    </row>
    <row r="71" spans="1:5" x14ac:dyDescent="0.25">
      <c r="A71" s="11" t="s">
        <v>263</v>
      </c>
      <c r="B71" s="11">
        <v>2001</v>
      </c>
      <c r="C71" s="13">
        <v>5213</v>
      </c>
      <c r="D71" s="13">
        <v>2558</v>
      </c>
      <c r="E71" s="13">
        <v>2655</v>
      </c>
    </row>
    <row r="72" spans="1:5" x14ac:dyDescent="0.25">
      <c r="A72" s="11" t="s">
        <v>264</v>
      </c>
      <c r="B72" s="11">
        <v>2001</v>
      </c>
      <c r="C72" s="13">
        <v>13012</v>
      </c>
      <c r="D72" s="13">
        <v>6387</v>
      </c>
      <c r="E72" s="13">
        <v>6625</v>
      </c>
    </row>
    <row r="73" spans="1:5" x14ac:dyDescent="0.25">
      <c r="A73" s="11" t="s">
        <v>242</v>
      </c>
      <c r="B73" s="11">
        <v>2001</v>
      </c>
      <c r="C73" s="13">
        <v>2911</v>
      </c>
      <c r="D73" s="13">
        <v>1402</v>
      </c>
      <c r="E73" s="13">
        <v>1509</v>
      </c>
    </row>
    <row r="74" spans="1:5" x14ac:dyDescent="0.25">
      <c r="A74" s="11" t="s">
        <v>265</v>
      </c>
      <c r="B74" s="11">
        <v>2001</v>
      </c>
      <c r="C74" s="13">
        <v>6025</v>
      </c>
      <c r="D74" s="13">
        <v>2918</v>
      </c>
      <c r="E74" s="13">
        <v>3107</v>
      </c>
    </row>
    <row r="75" spans="1:5" x14ac:dyDescent="0.25">
      <c r="A75" s="11" t="s">
        <v>266</v>
      </c>
      <c r="B75" s="11">
        <v>2001</v>
      </c>
      <c r="C75" s="13">
        <v>8331</v>
      </c>
      <c r="D75" s="13">
        <v>4123</v>
      </c>
      <c r="E75" s="13">
        <v>4208</v>
      </c>
    </row>
    <row r="76" spans="1:5" x14ac:dyDescent="0.25">
      <c r="A76" s="11" t="s">
        <v>267</v>
      </c>
      <c r="B76" s="11">
        <v>2001</v>
      </c>
      <c r="C76" s="13">
        <v>174</v>
      </c>
      <c r="D76" s="13">
        <v>93</v>
      </c>
      <c r="E76" s="13">
        <v>81</v>
      </c>
    </row>
    <row r="77" spans="1:5" x14ac:dyDescent="0.25">
      <c r="A77" s="11" t="s">
        <v>268</v>
      </c>
      <c r="B77" s="11">
        <v>2001</v>
      </c>
      <c r="C77" s="13">
        <v>247</v>
      </c>
      <c r="D77" s="13">
        <v>115</v>
      </c>
      <c r="E77" s="13">
        <v>132</v>
      </c>
    </row>
    <row r="78" spans="1:5" x14ac:dyDescent="0.25">
      <c r="A78" s="11" t="s">
        <v>269</v>
      </c>
      <c r="B78" s="11">
        <v>2001</v>
      </c>
      <c r="C78" s="13">
        <v>3905</v>
      </c>
      <c r="D78" s="13">
        <v>1885</v>
      </c>
      <c r="E78" s="13">
        <v>2020</v>
      </c>
    </row>
    <row r="79" spans="1:5" x14ac:dyDescent="0.25">
      <c r="A79" s="11" t="s">
        <v>270</v>
      </c>
      <c r="B79" s="11">
        <v>2001</v>
      </c>
      <c r="C79" s="13">
        <v>226</v>
      </c>
      <c r="D79" s="13">
        <v>109</v>
      </c>
      <c r="E79" s="13">
        <v>117</v>
      </c>
    </row>
    <row r="80" spans="1:5" x14ac:dyDescent="0.25">
      <c r="A80" s="11" t="s">
        <v>11</v>
      </c>
      <c r="B80" s="11">
        <v>2002</v>
      </c>
      <c r="C80" s="13">
        <v>51270</v>
      </c>
      <c r="D80" s="13">
        <v>25052</v>
      </c>
      <c r="E80" s="13">
        <v>26218</v>
      </c>
    </row>
    <row r="81" spans="1:5" x14ac:dyDescent="0.25">
      <c r="A81" s="11" t="s">
        <v>260</v>
      </c>
      <c r="B81" s="11">
        <v>2002</v>
      </c>
      <c r="C81" s="13">
        <v>3491</v>
      </c>
      <c r="D81" s="13">
        <v>1691</v>
      </c>
      <c r="E81" s="13">
        <v>1800</v>
      </c>
    </row>
    <row r="82" spans="1:5" x14ac:dyDescent="0.25">
      <c r="A82" s="11" t="s">
        <v>261</v>
      </c>
      <c r="B82" s="11">
        <v>2002</v>
      </c>
      <c r="C82" s="13">
        <v>1021</v>
      </c>
      <c r="D82" s="13">
        <v>499</v>
      </c>
      <c r="E82" s="13">
        <v>522</v>
      </c>
    </row>
    <row r="83" spans="1:5" x14ac:dyDescent="0.25">
      <c r="A83" s="11" t="s">
        <v>233</v>
      </c>
      <c r="B83" s="11">
        <v>2002</v>
      </c>
      <c r="C83" s="13">
        <v>1343</v>
      </c>
      <c r="D83" s="13">
        <v>639</v>
      </c>
      <c r="E83" s="13">
        <v>704</v>
      </c>
    </row>
    <row r="84" spans="1:5" x14ac:dyDescent="0.25">
      <c r="A84" s="11" t="s">
        <v>240</v>
      </c>
      <c r="B84" s="11">
        <v>2002</v>
      </c>
      <c r="C84" s="13">
        <v>3536</v>
      </c>
      <c r="D84" s="13">
        <v>1711</v>
      </c>
      <c r="E84" s="13">
        <v>1825</v>
      </c>
    </row>
    <row r="85" spans="1:5" x14ac:dyDescent="0.25">
      <c r="A85" s="11" t="s">
        <v>262</v>
      </c>
      <c r="B85" s="11">
        <v>2002</v>
      </c>
      <c r="C85" s="13">
        <v>2820</v>
      </c>
      <c r="D85" s="13">
        <v>1357</v>
      </c>
      <c r="E85" s="13">
        <v>1463</v>
      </c>
    </row>
    <row r="86" spans="1:5" x14ac:dyDescent="0.25">
      <c r="A86" s="11" t="s">
        <v>263</v>
      </c>
      <c r="B86" s="11">
        <v>2002</v>
      </c>
      <c r="C86" s="13">
        <v>5300</v>
      </c>
      <c r="D86" s="13">
        <v>2570</v>
      </c>
      <c r="E86" s="13">
        <v>2730</v>
      </c>
    </row>
    <row r="87" spans="1:5" x14ac:dyDescent="0.25">
      <c r="A87" s="11" t="s">
        <v>264</v>
      </c>
      <c r="B87" s="11">
        <v>2002</v>
      </c>
      <c r="C87" s="13">
        <v>12515</v>
      </c>
      <c r="D87" s="13">
        <v>6178</v>
      </c>
      <c r="E87" s="13">
        <v>6337</v>
      </c>
    </row>
    <row r="88" spans="1:5" x14ac:dyDescent="0.25">
      <c r="A88" s="11" t="s">
        <v>242</v>
      </c>
      <c r="B88" s="11">
        <v>2002</v>
      </c>
      <c r="C88" s="13">
        <v>2732</v>
      </c>
      <c r="D88" s="13">
        <v>1350</v>
      </c>
      <c r="E88" s="13">
        <v>1382</v>
      </c>
    </row>
    <row r="89" spans="1:5" x14ac:dyDescent="0.25">
      <c r="A89" s="11" t="s">
        <v>265</v>
      </c>
      <c r="B89" s="11">
        <v>2002</v>
      </c>
      <c r="C89" s="13">
        <v>5992</v>
      </c>
      <c r="D89" s="13">
        <v>2991</v>
      </c>
      <c r="E89" s="13">
        <v>3001</v>
      </c>
    </row>
    <row r="90" spans="1:5" x14ac:dyDescent="0.25">
      <c r="A90" s="11" t="s">
        <v>266</v>
      </c>
      <c r="B90" s="11">
        <v>2002</v>
      </c>
      <c r="C90" s="13">
        <v>8210</v>
      </c>
      <c r="D90" s="13">
        <v>3969</v>
      </c>
      <c r="E90" s="13">
        <v>4241</v>
      </c>
    </row>
    <row r="91" spans="1:5" x14ac:dyDescent="0.25">
      <c r="A91" s="11" t="s">
        <v>267</v>
      </c>
      <c r="B91" s="11">
        <v>2002</v>
      </c>
      <c r="C91" s="13">
        <v>164</v>
      </c>
      <c r="D91" s="13">
        <v>91</v>
      </c>
      <c r="E91" s="13">
        <v>73</v>
      </c>
    </row>
    <row r="92" spans="1:5" x14ac:dyDescent="0.25">
      <c r="A92" s="11" t="s">
        <v>268</v>
      </c>
      <c r="B92" s="11">
        <v>2002</v>
      </c>
      <c r="C92" s="13">
        <v>209</v>
      </c>
      <c r="D92" s="13">
        <v>85</v>
      </c>
      <c r="E92" s="13">
        <v>124</v>
      </c>
    </row>
    <row r="93" spans="1:5" x14ac:dyDescent="0.25">
      <c r="A93" s="11" t="s">
        <v>269</v>
      </c>
      <c r="B93" s="11">
        <v>2002</v>
      </c>
      <c r="C93" s="13">
        <v>3695</v>
      </c>
      <c r="D93" s="13">
        <v>1793</v>
      </c>
      <c r="E93" s="13">
        <v>1902</v>
      </c>
    </row>
    <row r="94" spans="1:5" x14ac:dyDescent="0.25">
      <c r="A94" s="11" t="s">
        <v>270</v>
      </c>
      <c r="B94" s="11">
        <v>2002</v>
      </c>
      <c r="C94" s="13">
        <v>242</v>
      </c>
      <c r="D94" s="13">
        <v>128</v>
      </c>
      <c r="E94" s="13">
        <v>114</v>
      </c>
    </row>
    <row r="95" spans="1:5" x14ac:dyDescent="0.25">
      <c r="A95" s="11" t="s">
        <v>11</v>
      </c>
      <c r="B95" s="11">
        <v>2003</v>
      </c>
      <c r="C95" s="13">
        <v>52432</v>
      </c>
      <c r="D95" s="13">
        <v>25526</v>
      </c>
      <c r="E95" s="13">
        <v>26906</v>
      </c>
    </row>
    <row r="96" spans="1:5" x14ac:dyDescent="0.25">
      <c r="A96" s="11" t="s">
        <v>260</v>
      </c>
      <c r="B96" s="11">
        <v>2003</v>
      </c>
      <c r="C96" s="13">
        <v>3602</v>
      </c>
      <c r="D96" s="13">
        <v>1756</v>
      </c>
      <c r="E96" s="13">
        <v>1846</v>
      </c>
    </row>
    <row r="97" spans="1:5" x14ac:dyDescent="0.25">
      <c r="A97" s="11" t="s">
        <v>261</v>
      </c>
      <c r="B97" s="11">
        <v>2003</v>
      </c>
      <c r="C97" s="13">
        <v>1047</v>
      </c>
      <c r="D97" s="13">
        <v>519</v>
      </c>
      <c r="E97" s="13">
        <v>528</v>
      </c>
    </row>
    <row r="98" spans="1:5" x14ac:dyDescent="0.25">
      <c r="A98" s="11" t="s">
        <v>233</v>
      </c>
      <c r="B98" s="11">
        <v>2003</v>
      </c>
      <c r="C98" s="13">
        <v>1307</v>
      </c>
      <c r="D98" s="13">
        <v>661</v>
      </c>
      <c r="E98" s="13">
        <v>646</v>
      </c>
    </row>
    <row r="99" spans="1:5" x14ac:dyDescent="0.25">
      <c r="A99" s="11" t="s">
        <v>240</v>
      </c>
      <c r="B99" s="11">
        <v>2003</v>
      </c>
      <c r="C99" s="13">
        <v>3642</v>
      </c>
      <c r="D99" s="13">
        <v>1776</v>
      </c>
      <c r="E99" s="13">
        <v>1866</v>
      </c>
    </row>
    <row r="100" spans="1:5" x14ac:dyDescent="0.25">
      <c r="A100" s="11" t="s">
        <v>262</v>
      </c>
      <c r="B100" s="11">
        <v>2003</v>
      </c>
      <c r="C100" s="13">
        <v>2926</v>
      </c>
      <c r="D100" s="13">
        <v>1393</v>
      </c>
      <c r="E100" s="13">
        <v>1533</v>
      </c>
    </row>
    <row r="101" spans="1:5" x14ac:dyDescent="0.25">
      <c r="A101" s="11" t="s">
        <v>263</v>
      </c>
      <c r="B101" s="11">
        <v>2003</v>
      </c>
      <c r="C101" s="13">
        <v>5195</v>
      </c>
      <c r="D101" s="13">
        <v>2529</v>
      </c>
      <c r="E101" s="13">
        <v>2666</v>
      </c>
    </row>
    <row r="102" spans="1:5" x14ac:dyDescent="0.25">
      <c r="A102" s="11" t="s">
        <v>264</v>
      </c>
      <c r="B102" s="11">
        <v>2003</v>
      </c>
      <c r="C102" s="13">
        <v>12832</v>
      </c>
      <c r="D102" s="13">
        <v>6168</v>
      </c>
      <c r="E102" s="13">
        <v>6664</v>
      </c>
    </row>
    <row r="103" spans="1:5" x14ac:dyDescent="0.25">
      <c r="A103" s="11" t="s">
        <v>242</v>
      </c>
      <c r="B103" s="11">
        <v>2003</v>
      </c>
      <c r="C103" s="13">
        <v>2816</v>
      </c>
      <c r="D103" s="13">
        <v>1421</v>
      </c>
      <c r="E103" s="13">
        <v>1395</v>
      </c>
    </row>
    <row r="104" spans="1:5" x14ac:dyDescent="0.25">
      <c r="A104" s="11" t="s">
        <v>265</v>
      </c>
      <c r="B104" s="11">
        <v>2003</v>
      </c>
      <c r="C104" s="13">
        <v>6045</v>
      </c>
      <c r="D104" s="13">
        <v>2987</v>
      </c>
      <c r="E104" s="13">
        <v>3058</v>
      </c>
    </row>
    <row r="105" spans="1:5" x14ac:dyDescent="0.25">
      <c r="A105" s="11" t="s">
        <v>266</v>
      </c>
      <c r="B105" s="11">
        <v>2003</v>
      </c>
      <c r="C105" s="13">
        <v>8414</v>
      </c>
      <c r="D105" s="13">
        <v>4092</v>
      </c>
      <c r="E105" s="13">
        <v>4322</v>
      </c>
    </row>
    <row r="106" spans="1:5" x14ac:dyDescent="0.25">
      <c r="A106" s="11" t="s">
        <v>267</v>
      </c>
      <c r="B106" s="11">
        <v>2003</v>
      </c>
      <c r="C106" s="13">
        <v>171</v>
      </c>
      <c r="D106" s="13">
        <v>80</v>
      </c>
      <c r="E106" s="13">
        <v>91</v>
      </c>
    </row>
    <row r="107" spans="1:5" x14ac:dyDescent="0.25">
      <c r="A107" s="11" t="s">
        <v>268</v>
      </c>
      <c r="B107" s="11">
        <v>2003</v>
      </c>
      <c r="C107" s="13">
        <v>251</v>
      </c>
      <c r="D107" s="13">
        <v>118</v>
      </c>
      <c r="E107" s="13">
        <v>133</v>
      </c>
    </row>
    <row r="108" spans="1:5" x14ac:dyDescent="0.25">
      <c r="A108" s="11" t="s">
        <v>269</v>
      </c>
      <c r="B108" s="11">
        <v>2003</v>
      </c>
      <c r="C108" s="13">
        <v>3929</v>
      </c>
      <c r="D108" s="13">
        <v>1897</v>
      </c>
      <c r="E108" s="13">
        <v>2032</v>
      </c>
    </row>
    <row r="109" spans="1:5" x14ac:dyDescent="0.25">
      <c r="A109" s="11" t="s">
        <v>270</v>
      </c>
      <c r="B109" s="11">
        <v>2003</v>
      </c>
      <c r="C109" s="13">
        <v>255</v>
      </c>
      <c r="D109" s="13">
        <v>129</v>
      </c>
      <c r="E109" s="13">
        <v>126</v>
      </c>
    </row>
    <row r="110" spans="1:5" x14ac:dyDescent="0.25">
      <c r="A110" s="11" t="s">
        <v>11</v>
      </c>
      <c r="B110" s="11">
        <v>2004</v>
      </c>
      <c r="C110" s="13">
        <v>53957</v>
      </c>
      <c r="D110" s="13">
        <v>26188</v>
      </c>
      <c r="E110" s="13">
        <v>27769</v>
      </c>
    </row>
    <row r="111" spans="1:5" x14ac:dyDescent="0.25">
      <c r="A111" s="11" t="s">
        <v>260</v>
      </c>
      <c r="B111" s="11">
        <v>2004</v>
      </c>
      <c r="C111" s="13">
        <v>3707</v>
      </c>
      <c r="D111" s="13">
        <v>1793</v>
      </c>
      <c r="E111" s="13">
        <v>1914</v>
      </c>
    </row>
    <row r="112" spans="1:5" x14ac:dyDescent="0.25">
      <c r="A112" s="11" t="s">
        <v>261</v>
      </c>
      <c r="B112" s="11">
        <v>2004</v>
      </c>
      <c r="C112" s="13">
        <v>1051</v>
      </c>
      <c r="D112" s="13">
        <v>499</v>
      </c>
      <c r="E112" s="13">
        <v>552</v>
      </c>
    </row>
    <row r="113" spans="1:5" x14ac:dyDescent="0.25">
      <c r="A113" s="11" t="s">
        <v>233</v>
      </c>
      <c r="B113" s="11">
        <v>2004</v>
      </c>
      <c r="C113" s="13">
        <v>1431</v>
      </c>
      <c r="D113" s="13">
        <v>705</v>
      </c>
      <c r="E113" s="13">
        <v>726</v>
      </c>
    </row>
    <row r="114" spans="1:5" x14ac:dyDescent="0.25">
      <c r="A114" s="11" t="s">
        <v>240</v>
      </c>
      <c r="B114" s="11">
        <v>2004</v>
      </c>
      <c r="C114" s="13">
        <v>3735</v>
      </c>
      <c r="D114" s="13">
        <v>1830</v>
      </c>
      <c r="E114" s="13">
        <v>1905</v>
      </c>
    </row>
    <row r="115" spans="1:5" x14ac:dyDescent="0.25">
      <c r="A115" s="11" t="s">
        <v>262</v>
      </c>
      <c r="B115" s="11">
        <v>2004</v>
      </c>
      <c r="C115" s="13">
        <v>3171</v>
      </c>
      <c r="D115" s="13">
        <v>1544</v>
      </c>
      <c r="E115" s="13">
        <v>1627</v>
      </c>
    </row>
    <row r="116" spans="1:5" x14ac:dyDescent="0.25">
      <c r="A116" s="11" t="s">
        <v>263</v>
      </c>
      <c r="B116" s="11">
        <v>2004</v>
      </c>
      <c r="C116" s="13">
        <v>5317</v>
      </c>
      <c r="D116" s="13">
        <v>2563</v>
      </c>
      <c r="E116" s="13">
        <v>2754</v>
      </c>
    </row>
    <row r="117" spans="1:5" x14ac:dyDescent="0.25">
      <c r="A117" s="11" t="s">
        <v>264</v>
      </c>
      <c r="B117" s="11">
        <v>2004</v>
      </c>
      <c r="C117" s="13">
        <v>13095</v>
      </c>
      <c r="D117" s="13">
        <v>6478</v>
      </c>
      <c r="E117" s="13">
        <v>6617</v>
      </c>
    </row>
    <row r="118" spans="1:5" x14ac:dyDescent="0.25">
      <c r="A118" s="11" t="s">
        <v>242</v>
      </c>
      <c r="B118" s="11">
        <v>2004</v>
      </c>
      <c r="C118" s="13">
        <v>2982</v>
      </c>
      <c r="D118" s="13">
        <v>1425</v>
      </c>
      <c r="E118" s="13">
        <v>1557</v>
      </c>
    </row>
    <row r="119" spans="1:5" x14ac:dyDescent="0.25">
      <c r="A119" s="11" t="s">
        <v>265</v>
      </c>
      <c r="B119" s="11">
        <v>2004</v>
      </c>
      <c r="C119" s="13">
        <v>6497</v>
      </c>
      <c r="D119" s="13">
        <v>3159</v>
      </c>
      <c r="E119" s="13">
        <v>3338</v>
      </c>
    </row>
    <row r="120" spans="1:5" x14ac:dyDescent="0.25">
      <c r="A120" s="11" t="s">
        <v>266</v>
      </c>
      <c r="B120" s="11">
        <v>2004</v>
      </c>
      <c r="C120" s="13">
        <v>8454</v>
      </c>
      <c r="D120" s="13">
        <v>4027</v>
      </c>
      <c r="E120" s="13">
        <v>4427</v>
      </c>
    </row>
    <row r="121" spans="1:5" x14ac:dyDescent="0.25">
      <c r="A121" s="11" t="s">
        <v>267</v>
      </c>
      <c r="B121" s="11">
        <v>2004</v>
      </c>
      <c r="C121" s="13">
        <v>171</v>
      </c>
      <c r="D121" s="13">
        <v>78</v>
      </c>
      <c r="E121" s="13">
        <v>93</v>
      </c>
    </row>
    <row r="122" spans="1:5" x14ac:dyDescent="0.25">
      <c r="A122" s="11" t="s">
        <v>268</v>
      </c>
      <c r="B122" s="11">
        <v>2004</v>
      </c>
      <c r="C122" s="13">
        <v>230</v>
      </c>
      <c r="D122" s="13">
        <v>111</v>
      </c>
      <c r="E122" s="13">
        <v>119</v>
      </c>
    </row>
    <row r="123" spans="1:5" x14ac:dyDescent="0.25">
      <c r="A123" s="11" t="s">
        <v>269</v>
      </c>
      <c r="B123" s="11">
        <v>2004</v>
      </c>
      <c r="C123" s="13">
        <v>3893</v>
      </c>
      <c r="D123" s="13">
        <v>1863</v>
      </c>
      <c r="E123" s="13">
        <v>2030</v>
      </c>
    </row>
    <row r="124" spans="1:5" x14ac:dyDescent="0.25">
      <c r="A124" s="11" t="s">
        <v>270</v>
      </c>
      <c r="B124" s="11">
        <v>2004</v>
      </c>
      <c r="C124" s="13">
        <v>223</v>
      </c>
      <c r="D124" s="13">
        <v>113</v>
      </c>
      <c r="E124" s="13">
        <v>110</v>
      </c>
    </row>
    <row r="125" spans="1:5" x14ac:dyDescent="0.25">
      <c r="A125" s="11" t="s">
        <v>11</v>
      </c>
      <c r="B125" s="11">
        <v>2005</v>
      </c>
      <c r="C125" s="13">
        <v>54386</v>
      </c>
      <c r="D125" s="13">
        <v>26303</v>
      </c>
      <c r="E125" s="13">
        <v>28083</v>
      </c>
    </row>
    <row r="126" spans="1:5" x14ac:dyDescent="0.25">
      <c r="A126" s="11" t="s">
        <v>260</v>
      </c>
      <c r="B126" s="11">
        <v>2005</v>
      </c>
      <c r="C126" s="13">
        <v>3613</v>
      </c>
      <c r="D126" s="13">
        <v>1782</v>
      </c>
      <c r="E126" s="13">
        <v>1831</v>
      </c>
    </row>
    <row r="127" spans="1:5" x14ac:dyDescent="0.25">
      <c r="A127" s="11" t="s">
        <v>261</v>
      </c>
      <c r="B127" s="11">
        <v>2005</v>
      </c>
      <c r="C127" s="13">
        <v>1047</v>
      </c>
      <c r="D127" s="13">
        <v>505</v>
      </c>
      <c r="E127" s="13">
        <v>542</v>
      </c>
    </row>
    <row r="128" spans="1:5" x14ac:dyDescent="0.25">
      <c r="A128" s="11" t="s">
        <v>233</v>
      </c>
      <c r="B128" s="11">
        <v>2005</v>
      </c>
      <c r="C128" s="13">
        <v>1407</v>
      </c>
      <c r="D128" s="13">
        <v>674</v>
      </c>
      <c r="E128" s="13">
        <v>733</v>
      </c>
    </row>
    <row r="129" spans="1:5" x14ac:dyDescent="0.25">
      <c r="A129" s="11" t="s">
        <v>240</v>
      </c>
      <c r="B129" s="11">
        <v>2005</v>
      </c>
      <c r="C129" s="13">
        <v>3831</v>
      </c>
      <c r="D129" s="13">
        <v>1906</v>
      </c>
      <c r="E129" s="13">
        <v>1925</v>
      </c>
    </row>
    <row r="130" spans="1:5" x14ac:dyDescent="0.25">
      <c r="A130" s="11" t="s">
        <v>262</v>
      </c>
      <c r="B130" s="11">
        <v>2005</v>
      </c>
      <c r="C130" s="13">
        <v>3136</v>
      </c>
      <c r="D130" s="13">
        <v>1514</v>
      </c>
      <c r="E130" s="13">
        <v>1622</v>
      </c>
    </row>
    <row r="131" spans="1:5" x14ac:dyDescent="0.25">
      <c r="A131" s="11" t="s">
        <v>263</v>
      </c>
      <c r="B131" s="11">
        <v>2005</v>
      </c>
      <c r="C131" s="13">
        <v>5404</v>
      </c>
      <c r="D131" s="13">
        <v>2636</v>
      </c>
      <c r="E131" s="13">
        <v>2768</v>
      </c>
    </row>
    <row r="132" spans="1:5" x14ac:dyDescent="0.25">
      <c r="A132" s="11" t="s">
        <v>264</v>
      </c>
      <c r="B132" s="11">
        <v>2005</v>
      </c>
      <c r="C132" s="13">
        <v>13310</v>
      </c>
      <c r="D132" s="13">
        <v>6426</v>
      </c>
      <c r="E132" s="13">
        <v>6884</v>
      </c>
    </row>
    <row r="133" spans="1:5" x14ac:dyDescent="0.25">
      <c r="A133" s="11" t="s">
        <v>242</v>
      </c>
      <c r="B133" s="11">
        <v>2005</v>
      </c>
      <c r="C133" s="13">
        <v>3006</v>
      </c>
      <c r="D133" s="13">
        <v>1434</v>
      </c>
      <c r="E133" s="13">
        <v>1572</v>
      </c>
    </row>
    <row r="134" spans="1:5" x14ac:dyDescent="0.25">
      <c r="A134" s="11" t="s">
        <v>265</v>
      </c>
      <c r="B134" s="11">
        <v>2005</v>
      </c>
      <c r="C134" s="13">
        <v>6283</v>
      </c>
      <c r="D134" s="13">
        <v>3017</v>
      </c>
      <c r="E134" s="13">
        <v>3266</v>
      </c>
    </row>
    <row r="135" spans="1:5" x14ac:dyDescent="0.25">
      <c r="A135" s="11" t="s">
        <v>266</v>
      </c>
      <c r="B135" s="11">
        <v>2005</v>
      </c>
      <c r="C135" s="13">
        <v>8723</v>
      </c>
      <c r="D135" s="13">
        <v>4150</v>
      </c>
      <c r="E135" s="13">
        <v>4573</v>
      </c>
    </row>
    <row r="136" spans="1:5" x14ac:dyDescent="0.25">
      <c r="A136" s="11" t="s">
        <v>267</v>
      </c>
      <c r="B136" s="11">
        <v>2005</v>
      </c>
      <c r="C136" s="13">
        <v>180</v>
      </c>
      <c r="D136" s="13">
        <v>91</v>
      </c>
      <c r="E136" s="13">
        <v>89</v>
      </c>
    </row>
    <row r="137" spans="1:5" x14ac:dyDescent="0.25">
      <c r="A137" s="11" t="s">
        <v>268</v>
      </c>
      <c r="B137" s="11">
        <v>2005</v>
      </c>
      <c r="C137" s="13">
        <v>227</v>
      </c>
      <c r="D137" s="13">
        <v>105</v>
      </c>
      <c r="E137" s="13">
        <v>122</v>
      </c>
    </row>
    <row r="138" spans="1:5" x14ac:dyDescent="0.25">
      <c r="A138" s="11" t="s">
        <v>269</v>
      </c>
      <c r="B138" s="11">
        <v>2005</v>
      </c>
      <c r="C138" s="13">
        <v>3986</v>
      </c>
      <c r="D138" s="13">
        <v>1940</v>
      </c>
      <c r="E138" s="13">
        <v>2046</v>
      </c>
    </row>
    <row r="139" spans="1:5" x14ac:dyDescent="0.25">
      <c r="A139" s="11" t="s">
        <v>270</v>
      </c>
      <c r="B139" s="11">
        <v>2005</v>
      </c>
      <c r="C139" s="13">
        <v>233</v>
      </c>
      <c r="D139" s="13">
        <v>123</v>
      </c>
      <c r="E139" s="13">
        <v>110</v>
      </c>
    </row>
    <row r="140" spans="1:5" x14ac:dyDescent="0.25">
      <c r="A140" s="11" t="s">
        <v>11</v>
      </c>
      <c r="B140" s="11">
        <v>2006</v>
      </c>
      <c r="C140" s="13">
        <v>55690</v>
      </c>
      <c r="D140" s="13">
        <v>27217</v>
      </c>
      <c r="E140" s="13">
        <v>28473</v>
      </c>
    </row>
    <row r="141" spans="1:5" x14ac:dyDescent="0.25">
      <c r="A141" s="11" t="s">
        <v>260</v>
      </c>
      <c r="B141" s="11">
        <v>2006</v>
      </c>
      <c r="C141" s="13">
        <v>3829</v>
      </c>
      <c r="D141" s="13">
        <v>1898</v>
      </c>
      <c r="E141" s="13">
        <v>1931</v>
      </c>
    </row>
    <row r="142" spans="1:5" x14ac:dyDescent="0.25">
      <c r="A142" s="11" t="s">
        <v>261</v>
      </c>
      <c r="B142" s="11">
        <v>2006</v>
      </c>
      <c r="C142" s="13">
        <v>1109</v>
      </c>
      <c r="D142" s="13">
        <v>535</v>
      </c>
      <c r="E142" s="13">
        <v>574</v>
      </c>
    </row>
    <row r="143" spans="1:5" x14ac:dyDescent="0.25">
      <c r="A143" s="11" t="s">
        <v>233</v>
      </c>
      <c r="B143" s="11">
        <v>2006</v>
      </c>
      <c r="C143" s="13">
        <v>1471</v>
      </c>
      <c r="D143" s="13">
        <v>712</v>
      </c>
      <c r="E143" s="13">
        <v>759</v>
      </c>
    </row>
    <row r="144" spans="1:5" x14ac:dyDescent="0.25">
      <c r="A144" s="11" t="s">
        <v>240</v>
      </c>
      <c r="B144" s="11">
        <v>2006</v>
      </c>
      <c r="C144" s="13">
        <v>3999</v>
      </c>
      <c r="D144" s="13">
        <v>1993</v>
      </c>
      <c r="E144" s="13">
        <v>2006</v>
      </c>
    </row>
    <row r="145" spans="1:5" x14ac:dyDescent="0.25">
      <c r="A145" s="11" t="s">
        <v>262</v>
      </c>
      <c r="B145" s="11">
        <v>2006</v>
      </c>
      <c r="C145" s="13">
        <v>3211</v>
      </c>
      <c r="D145" s="13">
        <v>1536</v>
      </c>
      <c r="E145" s="13">
        <v>1675</v>
      </c>
    </row>
    <row r="146" spans="1:5" x14ac:dyDescent="0.25">
      <c r="A146" s="11" t="s">
        <v>263</v>
      </c>
      <c r="B146" s="11">
        <v>2006</v>
      </c>
      <c r="C146" s="13">
        <v>5688</v>
      </c>
      <c r="D146" s="13">
        <v>2754</v>
      </c>
      <c r="E146" s="13">
        <v>2934</v>
      </c>
    </row>
    <row r="147" spans="1:5" x14ac:dyDescent="0.25">
      <c r="A147" s="11" t="s">
        <v>264</v>
      </c>
      <c r="B147" s="11">
        <v>2006</v>
      </c>
      <c r="C147" s="13">
        <v>13073</v>
      </c>
      <c r="D147" s="13">
        <v>6387</v>
      </c>
      <c r="E147" s="13">
        <v>6686</v>
      </c>
    </row>
    <row r="148" spans="1:5" x14ac:dyDescent="0.25">
      <c r="A148" s="11" t="s">
        <v>242</v>
      </c>
      <c r="B148" s="11">
        <v>2006</v>
      </c>
      <c r="C148" s="13">
        <v>2940</v>
      </c>
      <c r="D148" s="13">
        <v>1444</v>
      </c>
      <c r="E148" s="13">
        <v>1496</v>
      </c>
    </row>
    <row r="149" spans="1:5" x14ac:dyDescent="0.25">
      <c r="A149" s="11" t="s">
        <v>265</v>
      </c>
      <c r="B149" s="11">
        <v>2006</v>
      </c>
      <c r="C149" s="13">
        <v>6584</v>
      </c>
      <c r="D149" s="13">
        <v>3199</v>
      </c>
      <c r="E149" s="13">
        <v>3385</v>
      </c>
    </row>
    <row r="150" spans="1:5" x14ac:dyDescent="0.25">
      <c r="A150" s="11" t="s">
        <v>266</v>
      </c>
      <c r="B150" s="11">
        <v>2006</v>
      </c>
      <c r="C150" s="13">
        <v>9027</v>
      </c>
      <c r="D150" s="13">
        <v>4402</v>
      </c>
      <c r="E150" s="13">
        <v>4625</v>
      </c>
    </row>
    <row r="151" spans="1:5" x14ac:dyDescent="0.25">
      <c r="A151" s="11" t="s">
        <v>267</v>
      </c>
      <c r="B151" s="11">
        <v>2006</v>
      </c>
      <c r="C151" s="13">
        <v>213</v>
      </c>
      <c r="D151" s="13">
        <v>108</v>
      </c>
      <c r="E151" s="13">
        <v>105</v>
      </c>
    </row>
    <row r="152" spans="1:5" x14ac:dyDescent="0.25">
      <c r="A152" s="11" t="s">
        <v>268</v>
      </c>
      <c r="B152" s="11">
        <v>2006</v>
      </c>
      <c r="C152" s="13">
        <v>268</v>
      </c>
      <c r="D152" s="13">
        <v>142</v>
      </c>
      <c r="E152" s="13">
        <v>126</v>
      </c>
    </row>
    <row r="153" spans="1:5" x14ac:dyDescent="0.25">
      <c r="A153" s="11" t="s">
        <v>269</v>
      </c>
      <c r="B153" s="11">
        <v>2006</v>
      </c>
      <c r="C153" s="13">
        <v>4004</v>
      </c>
      <c r="D153" s="13">
        <v>1969</v>
      </c>
      <c r="E153" s="13">
        <v>2035</v>
      </c>
    </row>
    <row r="154" spans="1:5" x14ac:dyDescent="0.25">
      <c r="A154" s="11" t="s">
        <v>270</v>
      </c>
      <c r="B154" s="11">
        <v>2006</v>
      </c>
      <c r="C154" s="13">
        <v>274</v>
      </c>
      <c r="D154" s="13">
        <v>138</v>
      </c>
      <c r="E154" s="13">
        <v>136</v>
      </c>
    </row>
    <row r="155" spans="1:5" x14ac:dyDescent="0.25">
      <c r="A155" s="11" t="s">
        <v>11</v>
      </c>
      <c r="B155" s="11">
        <v>2007</v>
      </c>
      <c r="C155" s="13">
        <v>57781</v>
      </c>
      <c r="D155" s="13">
        <v>28087</v>
      </c>
      <c r="E155" s="13">
        <v>29694</v>
      </c>
    </row>
    <row r="156" spans="1:5" x14ac:dyDescent="0.25">
      <c r="A156" s="11" t="s">
        <v>260</v>
      </c>
      <c r="B156" s="11">
        <v>2007</v>
      </c>
      <c r="C156" s="13">
        <v>3861</v>
      </c>
      <c r="D156" s="13">
        <v>1857</v>
      </c>
      <c r="E156" s="13">
        <v>2004</v>
      </c>
    </row>
    <row r="157" spans="1:5" x14ac:dyDescent="0.25">
      <c r="A157" s="11" t="s">
        <v>261</v>
      </c>
      <c r="B157" s="11">
        <v>2007</v>
      </c>
      <c r="C157" s="13">
        <v>1169</v>
      </c>
      <c r="D157" s="13">
        <v>593</v>
      </c>
      <c r="E157" s="13">
        <v>576</v>
      </c>
    </row>
    <row r="158" spans="1:5" x14ac:dyDescent="0.25">
      <c r="A158" s="11" t="s">
        <v>233</v>
      </c>
      <c r="B158" s="11">
        <v>2007</v>
      </c>
      <c r="C158" s="13">
        <v>1507</v>
      </c>
      <c r="D158" s="13">
        <v>741</v>
      </c>
      <c r="E158" s="13">
        <v>766</v>
      </c>
    </row>
    <row r="159" spans="1:5" x14ac:dyDescent="0.25">
      <c r="A159" s="11" t="s">
        <v>240</v>
      </c>
      <c r="B159" s="11">
        <v>2007</v>
      </c>
      <c r="C159" s="13">
        <v>4076</v>
      </c>
      <c r="D159" s="13">
        <v>1976</v>
      </c>
      <c r="E159" s="13">
        <v>2100</v>
      </c>
    </row>
    <row r="160" spans="1:5" x14ac:dyDescent="0.25">
      <c r="A160" s="11" t="s">
        <v>262</v>
      </c>
      <c r="B160" s="11">
        <v>2007</v>
      </c>
      <c r="C160" s="13">
        <v>3405</v>
      </c>
      <c r="D160" s="13">
        <v>1693</v>
      </c>
      <c r="E160" s="13">
        <v>1712</v>
      </c>
    </row>
    <row r="161" spans="1:5" x14ac:dyDescent="0.25">
      <c r="A161" s="11" t="s">
        <v>263</v>
      </c>
      <c r="B161" s="11">
        <v>2007</v>
      </c>
      <c r="C161" s="13">
        <v>6108</v>
      </c>
      <c r="D161" s="13">
        <v>2924</v>
      </c>
      <c r="E161" s="13">
        <v>3184</v>
      </c>
    </row>
    <row r="162" spans="1:5" x14ac:dyDescent="0.25">
      <c r="A162" s="11" t="s">
        <v>264</v>
      </c>
      <c r="B162" s="11">
        <v>2007</v>
      </c>
      <c r="C162" s="13">
        <v>13751</v>
      </c>
      <c r="D162" s="13">
        <v>6744</v>
      </c>
      <c r="E162" s="13">
        <v>7007</v>
      </c>
    </row>
    <row r="163" spans="1:5" x14ac:dyDescent="0.25">
      <c r="A163" s="11" t="s">
        <v>242</v>
      </c>
      <c r="B163" s="11">
        <v>2007</v>
      </c>
      <c r="C163" s="13">
        <v>3072</v>
      </c>
      <c r="D163" s="13">
        <v>1463</v>
      </c>
      <c r="E163" s="13">
        <v>1609</v>
      </c>
    </row>
    <row r="164" spans="1:5" x14ac:dyDescent="0.25">
      <c r="A164" s="11" t="s">
        <v>265</v>
      </c>
      <c r="B164" s="11">
        <v>2007</v>
      </c>
      <c r="C164" s="13">
        <v>6548</v>
      </c>
      <c r="D164" s="13">
        <v>3123</v>
      </c>
      <c r="E164" s="13">
        <v>3425</v>
      </c>
    </row>
    <row r="165" spans="1:5" x14ac:dyDescent="0.25">
      <c r="A165" s="11" t="s">
        <v>266</v>
      </c>
      <c r="B165" s="11">
        <v>2007</v>
      </c>
      <c r="C165" s="13">
        <v>9378</v>
      </c>
      <c r="D165" s="13">
        <v>4572</v>
      </c>
      <c r="E165" s="13">
        <v>4806</v>
      </c>
    </row>
    <row r="166" spans="1:5" x14ac:dyDescent="0.25">
      <c r="A166" s="11" t="s">
        <v>267</v>
      </c>
      <c r="B166" s="11">
        <v>2007</v>
      </c>
      <c r="C166" s="13">
        <v>190</v>
      </c>
      <c r="D166" s="13">
        <v>96</v>
      </c>
      <c r="E166" s="13">
        <v>94</v>
      </c>
    </row>
    <row r="167" spans="1:5" x14ac:dyDescent="0.25">
      <c r="A167" s="11" t="s">
        <v>268</v>
      </c>
      <c r="B167" s="11">
        <v>2007</v>
      </c>
      <c r="C167" s="13">
        <v>244</v>
      </c>
      <c r="D167" s="13">
        <v>115</v>
      </c>
      <c r="E167" s="13">
        <v>129</v>
      </c>
    </row>
    <row r="168" spans="1:5" x14ac:dyDescent="0.25">
      <c r="A168" s="11" t="s">
        <v>269</v>
      </c>
      <c r="B168" s="11">
        <v>2007</v>
      </c>
      <c r="C168" s="13">
        <v>4209</v>
      </c>
      <c r="D168" s="13">
        <v>2073</v>
      </c>
      <c r="E168" s="13">
        <v>2136</v>
      </c>
    </row>
    <row r="169" spans="1:5" x14ac:dyDescent="0.25">
      <c r="A169" s="11" t="s">
        <v>270</v>
      </c>
      <c r="B169" s="11">
        <v>2007</v>
      </c>
      <c r="C169" s="13">
        <v>263</v>
      </c>
      <c r="D169" s="13">
        <v>117</v>
      </c>
      <c r="E169" s="13">
        <v>146</v>
      </c>
    </row>
    <row r="170" spans="1:5" x14ac:dyDescent="0.25">
      <c r="A170" s="11" t="s">
        <v>11</v>
      </c>
      <c r="B170" s="11">
        <v>2008</v>
      </c>
      <c r="C170" s="13">
        <v>60041</v>
      </c>
      <c r="D170" s="13">
        <v>29471</v>
      </c>
      <c r="E170" s="13">
        <v>30570</v>
      </c>
    </row>
    <row r="171" spans="1:5" x14ac:dyDescent="0.25">
      <c r="A171" s="11" t="s">
        <v>260</v>
      </c>
      <c r="B171" s="11">
        <v>2008</v>
      </c>
      <c r="C171" s="13">
        <v>3919</v>
      </c>
      <c r="D171" s="13">
        <v>1855</v>
      </c>
      <c r="E171" s="13">
        <v>2064</v>
      </c>
    </row>
    <row r="172" spans="1:5" x14ac:dyDescent="0.25">
      <c r="A172" s="11" t="s">
        <v>261</v>
      </c>
      <c r="B172" s="11">
        <v>2008</v>
      </c>
      <c r="C172" s="13">
        <v>1138</v>
      </c>
      <c r="D172" s="13">
        <v>580</v>
      </c>
      <c r="E172" s="13">
        <v>558</v>
      </c>
    </row>
    <row r="173" spans="1:5" x14ac:dyDescent="0.25">
      <c r="A173" s="11" t="s">
        <v>233</v>
      </c>
      <c r="B173" s="11">
        <v>2008</v>
      </c>
      <c r="C173" s="13">
        <v>1430</v>
      </c>
      <c r="D173" s="13">
        <v>713</v>
      </c>
      <c r="E173" s="13">
        <v>717</v>
      </c>
    </row>
    <row r="174" spans="1:5" x14ac:dyDescent="0.25">
      <c r="A174" s="11" t="s">
        <v>240</v>
      </c>
      <c r="B174" s="11">
        <v>2008</v>
      </c>
      <c r="C174" s="13">
        <v>4349</v>
      </c>
      <c r="D174" s="13">
        <v>2129</v>
      </c>
      <c r="E174" s="13">
        <v>2220</v>
      </c>
    </row>
    <row r="175" spans="1:5" x14ac:dyDescent="0.25">
      <c r="A175" s="11" t="s">
        <v>262</v>
      </c>
      <c r="B175" s="11">
        <v>2008</v>
      </c>
      <c r="C175" s="13">
        <v>3454</v>
      </c>
      <c r="D175" s="13">
        <v>1743</v>
      </c>
      <c r="E175" s="13">
        <v>1711</v>
      </c>
    </row>
    <row r="176" spans="1:5" x14ac:dyDescent="0.25">
      <c r="A176" s="11" t="s">
        <v>263</v>
      </c>
      <c r="B176" s="11">
        <v>2008</v>
      </c>
      <c r="C176" s="13">
        <v>6323</v>
      </c>
      <c r="D176" s="13">
        <v>3130</v>
      </c>
      <c r="E176" s="13">
        <v>3193</v>
      </c>
    </row>
    <row r="177" spans="1:5" x14ac:dyDescent="0.25">
      <c r="A177" s="11" t="s">
        <v>264</v>
      </c>
      <c r="B177" s="11">
        <v>2008</v>
      </c>
      <c r="C177" s="13">
        <v>14221</v>
      </c>
      <c r="D177" s="13">
        <v>6999</v>
      </c>
      <c r="E177" s="13">
        <v>7222</v>
      </c>
    </row>
    <row r="178" spans="1:5" x14ac:dyDescent="0.25">
      <c r="A178" s="11" t="s">
        <v>242</v>
      </c>
      <c r="B178" s="11">
        <v>2008</v>
      </c>
      <c r="C178" s="13">
        <v>3289</v>
      </c>
      <c r="D178" s="13">
        <v>1576</v>
      </c>
      <c r="E178" s="13">
        <v>1713</v>
      </c>
    </row>
    <row r="179" spans="1:5" x14ac:dyDescent="0.25">
      <c r="A179" s="11" t="s">
        <v>265</v>
      </c>
      <c r="B179" s="11">
        <v>2008</v>
      </c>
      <c r="C179" s="13">
        <v>6848</v>
      </c>
      <c r="D179" s="13">
        <v>3383</v>
      </c>
      <c r="E179" s="13">
        <v>3465</v>
      </c>
    </row>
    <row r="180" spans="1:5" x14ac:dyDescent="0.25">
      <c r="A180" s="11" t="s">
        <v>266</v>
      </c>
      <c r="B180" s="11">
        <v>2008</v>
      </c>
      <c r="C180" s="13">
        <v>9886</v>
      </c>
      <c r="D180" s="13">
        <v>4853</v>
      </c>
      <c r="E180" s="13">
        <v>5033</v>
      </c>
    </row>
    <row r="181" spans="1:5" x14ac:dyDescent="0.25">
      <c r="A181" s="11" t="s">
        <v>267</v>
      </c>
      <c r="B181" s="11">
        <v>2008</v>
      </c>
      <c r="C181" s="13">
        <v>214</v>
      </c>
      <c r="D181" s="13">
        <v>95</v>
      </c>
      <c r="E181" s="13">
        <v>119</v>
      </c>
    </row>
    <row r="182" spans="1:5" x14ac:dyDescent="0.25">
      <c r="A182" s="11" t="s">
        <v>268</v>
      </c>
      <c r="B182" s="11">
        <v>2008</v>
      </c>
      <c r="C182" s="13">
        <v>278</v>
      </c>
      <c r="D182" s="13">
        <v>133</v>
      </c>
      <c r="E182" s="13">
        <v>145</v>
      </c>
    </row>
    <row r="183" spans="1:5" x14ac:dyDescent="0.25">
      <c r="A183" s="11" t="s">
        <v>269</v>
      </c>
      <c r="B183" s="11">
        <v>2008</v>
      </c>
      <c r="C183" s="13">
        <v>4435</v>
      </c>
      <c r="D183" s="13">
        <v>2166</v>
      </c>
      <c r="E183" s="13">
        <v>2269</v>
      </c>
    </row>
    <row r="184" spans="1:5" x14ac:dyDescent="0.25">
      <c r="A184" s="11" t="s">
        <v>270</v>
      </c>
      <c r="B184" s="11">
        <v>2008</v>
      </c>
      <c r="C184" s="13">
        <v>257</v>
      </c>
      <c r="D184" s="13">
        <v>116</v>
      </c>
      <c r="E184" s="13">
        <v>141</v>
      </c>
    </row>
    <row r="185" spans="1:5" x14ac:dyDescent="0.25">
      <c r="A185" s="11" t="s">
        <v>11</v>
      </c>
      <c r="B185" s="11">
        <v>2009</v>
      </c>
      <c r="C185" s="13">
        <v>59046</v>
      </c>
      <c r="D185" s="13">
        <v>28881</v>
      </c>
      <c r="E185" s="13">
        <v>30165</v>
      </c>
    </row>
    <row r="186" spans="1:5" x14ac:dyDescent="0.25">
      <c r="A186" s="11" t="s">
        <v>260</v>
      </c>
      <c r="B186" s="11">
        <v>2009</v>
      </c>
      <c r="C186" s="13">
        <v>3914</v>
      </c>
      <c r="D186" s="13">
        <v>1947</v>
      </c>
      <c r="E186" s="13">
        <v>1967</v>
      </c>
    </row>
    <row r="187" spans="1:5" x14ac:dyDescent="0.25">
      <c r="A187" s="11" t="s">
        <v>261</v>
      </c>
      <c r="B187" s="11">
        <v>2009</v>
      </c>
      <c r="C187" s="13">
        <v>1157</v>
      </c>
      <c r="D187" s="13">
        <v>589</v>
      </c>
      <c r="E187" s="13">
        <v>568</v>
      </c>
    </row>
    <row r="188" spans="1:5" x14ac:dyDescent="0.25">
      <c r="A188" s="11" t="s">
        <v>233</v>
      </c>
      <c r="B188" s="11">
        <v>2009</v>
      </c>
      <c r="C188" s="13">
        <v>1507</v>
      </c>
      <c r="D188" s="13">
        <v>755</v>
      </c>
      <c r="E188" s="13">
        <v>752</v>
      </c>
    </row>
    <row r="189" spans="1:5" x14ac:dyDescent="0.25">
      <c r="A189" s="11" t="s">
        <v>240</v>
      </c>
      <c r="B189" s="11">
        <v>2009</v>
      </c>
      <c r="C189" s="13">
        <v>4135</v>
      </c>
      <c r="D189" s="13">
        <v>1986</v>
      </c>
      <c r="E189" s="13">
        <v>2149</v>
      </c>
    </row>
    <row r="190" spans="1:5" x14ac:dyDescent="0.25">
      <c r="A190" s="11" t="s">
        <v>262</v>
      </c>
      <c r="B190" s="11">
        <v>2009</v>
      </c>
      <c r="C190" s="13">
        <v>3345</v>
      </c>
      <c r="D190" s="13">
        <v>1674</v>
      </c>
      <c r="E190" s="13">
        <v>1671</v>
      </c>
    </row>
    <row r="191" spans="1:5" x14ac:dyDescent="0.25">
      <c r="A191" s="11" t="s">
        <v>263</v>
      </c>
      <c r="B191" s="11">
        <v>2009</v>
      </c>
      <c r="C191" s="13">
        <v>6433</v>
      </c>
      <c r="D191" s="13">
        <v>3080</v>
      </c>
      <c r="E191" s="13">
        <v>3353</v>
      </c>
    </row>
    <row r="192" spans="1:5" x14ac:dyDescent="0.25">
      <c r="A192" s="11" t="s">
        <v>264</v>
      </c>
      <c r="B192" s="11">
        <v>2009</v>
      </c>
      <c r="C192" s="13">
        <v>14015</v>
      </c>
      <c r="D192" s="13">
        <v>6823</v>
      </c>
      <c r="E192" s="13">
        <v>7192</v>
      </c>
    </row>
    <row r="193" spans="1:5" x14ac:dyDescent="0.25">
      <c r="A193" s="11" t="s">
        <v>242</v>
      </c>
      <c r="B193" s="11">
        <v>2009</v>
      </c>
      <c r="C193" s="13">
        <v>3189</v>
      </c>
      <c r="D193" s="13">
        <v>1553</v>
      </c>
      <c r="E193" s="13">
        <v>1636</v>
      </c>
    </row>
    <row r="194" spans="1:5" x14ac:dyDescent="0.25">
      <c r="A194" s="11" t="s">
        <v>265</v>
      </c>
      <c r="B194" s="11">
        <v>2009</v>
      </c>
      <c r="C194" s="13">
        <v>6575</v>
      </c>
      <c r="D194" s="13">
        <v>3250</v>
      </c>
      <c r="E194" s="13">
        <v>3325</v>
      </c>
    </row>
    <row r="195" spans="1:5" x14ac:dyDescent="0.25">
      <c r="A195" s="11" t="s">
        <v>266</v>
      </c>
      <c r="B195" s="11">
        <v>2009</v>
      </c>
      <c r="C195" s="13">
        <v>9719</v>
      </c>
      <c r="D195" s="13">
        <v>4747</v>
      </c>
      <c r="E195" s="13">
        <v>4972</v>
      </c>
    </row>
    <row r="196" spans="1:5" x14ac:dyDescent="0.25">
      <c r="A196" s="11" t="s">
        <v>267</v>
      </c>
      <c r="B196" s="11">
        <v>2009</v>
      </c>
      <c r="C196" s="13">
        <v>199</v>
      </c>
      <c r="D196" s="13">
        <v>95</v>
      </c>
      <c r="E196" s="13">
        <v>104</v>
      </c>
    </row>
    <row r="197" spans="1:5" x14ac:dyDescent="0.25">
      <c r="A197" s="11" t="s">
        <v>268</v>
      </c>
      <c r="B197" s="11">
        <v>2009</v>
      </c>
      <c r="C197" s="13">
        <v>273</v>
      </c>
      <c r="D197" s="13">
        <v>131</v>
      </c>
      <c r="E197" s="13">
        <v>142</v>
      </c>
    </row>
    <row r="198" spans="1:5" x14ac:dyDescent="0.25">
      <c r="A198" s="11" t="s">
        <v>269</v>
      </c>
      <c r="B198" s="11">
        <v>2009</v>
      </c>
      <c r="C198" s="13">
        <v>4358</v>
      </c>
      <c r="D198" s="13">
        <v>2143</v>
      </c>
      <c r="E198" s="13">
        <v>2215</v>
      </c>
    </row>
    <row r="199" spans="1:5" x14ac:dyDescent="0.25">
      <c r="A199" s="11" t="s">
        <v>270</v>
      </c>
      <c r="B199" s="11">
        <v>2009</v>
      </c>
      <c r="C199" s="13">
        <v>227</v>
      </c>
      <c r="D199" s="13">
        <v>108</v>
      </c>
      <c r="E199" s="13">
        <v>119</v>
      </c>
    </row>
    <row r="200" spans="1:5" x14ac:dyDescent="0.25">
      <c r="A200" s="11" t="s">
        <v>11</v>
      </c>
      <c r="B200" s="11">
        <v>2010</v>
      </c>
      <c r="C200" s="13">
        <v>58791</v>
      </c>
      <c r="D200" s="13">
        <v>28919</v>
      </c>
      <c r="E200" s="13">
        <v>29872</v>
      </c>
    </row>
    <row r="201" spans="1:5" x14ac:dyDescent="0.25">
      <c r="A201" s="11" t="s">
        <v>260</v>
      </c>
      <c r="B201" s="11">
        <v>2010</v>
      </c>
      <c r="C201" s="13">
        <v>3819</v>
      </c>
      <c r="D201" s="13">
        <v>1890</v>
      </c>
      <c r="E201" s="13">
        <v>1929</v>
      </c>
    </row>
    <row r="202" spans="1:5" x14ac:dyDescent="0.25">
      <c r="A202" s="11" t="s">
        <v>261</v>
      </c>
      <c r="B202" s="11">
        <v>2010</v>
      </c>
      <c r="C202" s="13">
        <v>1161</v>
      </c>
      <c r="D202" s="13">
        <v>565</v>
      </c>
      <c r="E202" s="13">
        <v>596</v>
      </c>
    </row>
    <row r="203" spans="1:5" x14ac:dyDescent="0.25">
      <c r="A203" s="11" t="s">
        <v>233</v>
      </c>
      <c r="B203" s="11">
        <v>2010</v>
      </c>
      <c r="C203" s="13">
        <v>1445</v>
      </c>
      <c r="D203" s="13">
        <v>697</v>
      </c>
      <c r="E203" s="13">
        <v>748</v>
      </c>
    </row>
    <row r="204" spans="1:5" x14ac:dyDescent="0.25">
      <c r="A204" s="11" t="s">
        <v>240</v>
      </c>
      <c r="B204" s="11">
        <v>2010</v>
      </c>
      <c r="C204" s="13">
        <v>4172</v>
      </c>
      <c r="D204" s="13">
        <v>1981</v>
      </c>
      <c r="E204" s="13">
        <v>2191</v>
      </c>
    </row>
    <row r="205" spans="1:5" x14ac:dyDescent="0.25">
      <c r="A205" s="11" t="s">
        <v>262</v>
      </c>
      <c r="B205" s="11">
        <v>2010</v>
      </c>
      <c r="C205" s="13">
        <v>3330</v>
      </c>
      <c r="D205" s="13">
        <v>1658</v>
      </c>
      <c r="E205" s="13">
        <v>1672</v>
      </c>
    </row>
    <row r="206" spans="1:5" x14ac:dyDescent="0.25">
      <c r="A206" s="11" t="s">
        <v>263</v>
      </c>
      <c r="B206" s="11">
        <v>2010</v>
      </c>
      <c r="C206" s="13">
        <v>6254</v>
      </c>
      <c r="D206" s="13">
        <v>3096</v>
      </c>
      <c r="E206" s="13">
        <v>3158</v>
      </c>
    </row>
    <row r="207" spans="1:5" x14ac:dyDescent="0.25">
      <c r="A207" s="11" t="s">
        <v>264</v>
      </c>
      <c r="B207" s="11">
        <v>2010</v>
      </c>
      <c r="C207" s="13">
        <v>14106</v>
      </c>
      <c r="D207" s="13">
        <v>6931</v>
      </c>
      <c r="E207" s="13">
        <v>7175</v>
      </c>
    </row>
    <row r="208" spans="1:5" x14ac:dyDescent="0.25">
      <c r="A208" s="11" t="s">
        <v>242</v>
      </c>
      <c r="B208" s="11">
        <v>2010</v>
      </c>
      <c r="C208" s="13">
        <v>3230</v>
      </c>
      <c r="D208" s="13">
        <v>1588</v>
      </c>
      <c r="E208" s="13">
        <v>1642</v>
      </c>
    </row>
    <row r="209" spans="1:5" x14ac:dyDescent="0.25">
      <c r="A209" s="11" t="s">
        <v>265</v>
      </c>
      <c r="B209" s="11">
        <v>2010</v>
      </c>
      <c r="C209" s="13">
        <v>6445</v>
      </c>
      <c r="D209" s="13">
        <v>3179</v>
      </c>
      <c r="E209" s="13">
        <v>3266</v>
      </c>
    </row>
    <row r="210" spans="1:5" x14ac:dyDescent="0.25">
      <c r="A210" s="11" t="s">
        <v>266</v>
      </c>
      <c r="B210" s="11">
        <v>2010</v>
      </c>
      <c r="C210" s="13">
        <v>9824</v>
      </c>
      <c r="D210" s="13">
        <v>4903</v>
      </c>
      <c r="E210" s="13">
        <v>4921</v>
      </c>
    </row>
    <row r="211" spans="1:5" x14ac:dyDescent="0.25">
      <c r="A211" s="11" t="s">
        <v>267</v>
      </c>
      <c r="B211" s="11">
        <v>2010</v>
      </c>
      <c r="C211" s="13">
        <v>197</v>
      </c>
      <c r="D211" s="13">
        <v>86</v>
      </c>
      <c r="E211" s="13">
        <v>111</v>
      </c>
    </row>
    <row r="212" spans="1:5" x14ac:dyDescent="0.25">
      <c r="A212" s="11" t="s">
        <v>268</v>
      </c>
      <c r="B212" s="11">
        <v>2010</v>
      </c>
      <c r="C212" s="13">
        <v>266</v>
      </c>
      <c r="D212" s="13">
        <v>122</v>
      </c>
      <c r="E212" s="13">
        <v>144</v>
      </c>
    </row>
    <row r="213" spans="1:5" x14ac:dyDescent="0.25">
      <c r="A213" s="11" t="s">
        <v>269</v>
      </c>
      <c r="B213" s="11">
        <v>2010</v>
      </c>
      <c r="C213" s="13">
        <v>4307</v>
      </c>
      <c r="D213" s="13">
        <v>2119</v>
      </c>
      <c r="E213" s="13">
        <v>2188</v>
      </c>
    </row>
    <row r="214" spans="1:5" x14ac:dyDescent="0.25">
      <c r="A214" s="11" t="s">
        <v>270</v>
      </c>
      <c r="B214" s="11">
        <v>2010</v>
      </c>
      <c r="C214" s="13">
        <v>235</v>
      </c>
      <c r="D214" s="13">
        <v>104</v>
      </c>
      <c r="E214" s="13">
        <v>131</v>
      </c>
    </row>
    <row r="215" spans="1:5" x14ac:dyDescent="0.25">
      <c r="A215" s="11" t="s">
        <v>11</v>
      </c>
      <c r="B215" s="11">
        <v>2011</v>
      </c>
      <c r="C215" s="13">
        <v>58590</v>
      </c>
      <c r="D215" s="13">
        <v>28479</v>
      </c>
      <c r="E215" s="13">
        <v>30111</v>
      </c>
    </row>
    <row r="216" spans="1:5" x14ac:dyDescent="0.25">
      <c r="A216" s="11" t="s">
        <v>260</v>
      </c>
      <c r="B216" s="11">
        <v>2011</v>
      </c>
      <c r="C216" s="13">
        <v>3887</v>
      </c>
      <c r="D216" s="13">
        <v>1907</v>
      </c>
      <c r="E216" s="13">
        <v>1980</v>
      </c>
    </row>
    <row r="217" spans="1:5" x14ac:dyDescent="0.25">
      <c r="A217" s="11" t="s">
        <v>261</v>
      </c>
      <c r="B217" s="11">
        <v>2011</v>
      </c>
      <c r="C217" s="13">
        <v>1108</v>
      </c>
      <c r="D217" s="13">
        <v>514</v>
      </c>
      <c r="E217" s="13">
        <v>594</v>
      </c>
    </row>
    <row r="218" spans="1:5" x14ac:dyDescent="0.25">
      <c r="A218" s="11" t="s">
        <v>233</v>
      </c>
      <c r="B218" s="11">
        <v>2011</v>
      </c>
      <c r="C218" s="13">
        <v>1396</v>
      </c>
      <c r="D218" s="13">
        <v>697</v>
      </c>
      <c r="E218" s="13">
        <v>699</v>
      </c>
    </row>
    <row r="219" spans="1:5" x14ac:dyDescent="0.25">
      <c r="A219" s="11" t="s">
        <v>240</v>
      </c>
      <c r="B219" s="11">
        <v>2011</v>
      </c>
      <c r="C219" s="13">
        <v>4268</v>
      </c>
      <c r="D219" s="13">
        <v>2057</v>
      </c>
      <c r="E219" s="13">
        <v>2211</v>
      </c>
    </row>
    <row r="220" spans="1:5" x14ac:dyDescent="0.25">
      <c r="A220" s="11" t="s">
        <v>262</v>
      </c>
      <c r="B220" s="11">
        <v>2011</v>
      </c>
      <c r="C220" s="13">
        <v>3154</v>
      </c>
      <c r="D220" s="13">
        <v>1539</v>
      </c>
      <c r="E220" s="13">
        <v>1615</v>
      </c>
    </row>
    <row r="221" spans="1:5" x14ac:dyDescent="0.25">
      <c r="A221" s="11" t="s">
        <v>263</v>
      </c>
      <c r="B221" s="11">
        <v>2011</v>
      </c>
      <c r="C221" s="13">
        <v>6276</v>
      </c>
      <c r="D221" s="13">
        <v>3016</v>
      </c>
      <c r="E221" s="13">
        <v>3260</v>
      </c>
    </row>
    <row r="222" spans="1:5" x14ac:dyDescent="0.25">
      <c r="A222" s="11" t="s">
        <v>264</v>
      </c>
      <c r="B222" s="11">
        <v>2011</v>
      </c>
      <c r="C222" s="13">
        <v>14067</v>
      </c>
      <c r="D222" s="13">
        <v>6857</v>
      </c>
      <c r="E222" s="13">
        <v>7210</v>
      </c>
    </row>
    <row r="223" spans="1:5" x14ac:dyDescent="0.25">
      <c r="A223" s="11" t="s">
        <v>242</v>
      </c>
      <c r="B223" s="11">
        <v>2011</v>
      </c>
      <c r="C223" s="13">
        <v>3090</v>
      </c>
      <c r="D223" s="13">
        <v>1508</v>
      </c>
      <c r="E223" s="13">
        <v>1582</v>
      </c>
    </row>
    <row r="224" spans="1:5" x14ac:dyDescent="0.25">
      <c r="A224" s="11" t="s">
        <v>265</v>
      </c>
      <c r="B224" s="11">
        <v>2011</v>
      </c>
      <c r="C224" s="13">
        <v>6502</v>
      </c>
      <c r="D224" s="13">
        <v>3122</v>
      </c>
      <c r="E224" s="13">
        <v>3380</v>
      </c>
    </row>
    <row r="225" spans="1:5" x14ac:dyDescent="0.25">
      <c r="A225" s="11" t="s">
        <v>266</v>
      </c>
      <c r="B225" s="11">
        <v>2011</v>
      </c>
      <c r="C225" s="13">
        <v>9794</v>
      </c>
      <c r="D225" s="13">
        <v>4772</v>
      </c>
      <c r="E225" s="13">
        <v>5022</v>
      </c>
    </row>
    <row r="226" spans="1:5" x14ac:dyDescent="0.25">
      <c r="A226" s="11" t="s">
        <v>267</v>
      </c>
      <c r="B226" s="11">
        <v>2011</v>
      </c>
      <c r="C226" s="13">
        <v>205</v>
      </c>
      <c r="D226" s="13">
        <v>107</v>
      </c>
      <c r="E226" s="13">
        <v>98</v>
      </c>
    </row>
    <row r="227" spans="1:5" x14ac:dyDescent="0.25">
      <c r="A227" s="11" t="s">
        <v>268</v>
      </c>
      <c r="B227" s="11">
        <v>2011</v>
      </c>
      <c r="C227" s="13">
        <v>242</v>
      </c>
      <c r="D227" s="13">
        <v>111</v>
      </c>
      <c r="E227" s="13">
        <v>131</v>
      </c>
    </row>
    <row r="228" spans="1:5" x14ac:dyDescent="0.25">
      <c r="A228" s="11" t="s">
        <v>269</v>
      </c>
      <c r="B228" s="11">
        <v>2011</v>
      </c>
      <c r="C228" s="13">
        <v>4366</v>
      </c>
      <c r="D228" s="13">
        <v>2169</v>
      </c>
      <c r="E228" s="13">
        <v>2197</v>
      </c>
    </row>
    <row r="229" spans="1:5" x14ac:dyDescent="0.25">
      <c r="A229" s="11" t="s">
        <v>270</v>
      </c>
      <c r="B229" s="11">
        <v>2011</v>
      </c>
      <c r="C229" s="13">
        <v>235</v>
      </c>
      <c r="D229" s="13">
        <v>103</v>
      </c>
      <c r="E229" s="13">
        <v>132</v>
      </c>
    </row>
    <row r="230" spans="1:5" x14ac:dyDescent="0.25">
      <c r="A230" s="11" t="s">
        <v>11</v>
      </c>
      <c r="B230" s="11">
        <v>2012</v>
      </c>
      <c r="C230" s="13">
        <v>58027</v>
      </c>
      <c r="D230" s="13">
        <v>28314</v>
      </c>
      <c r="E230" s="13">
        <v>29713</v>
      </c>
    </row>
    <row r="231" spans="1:5" x14ac:dyDescent="0.25">
      <c r="A231" s="11" t="s">
        <v>260</v>
      </c>
      <c r="B231" s="11">
        <v>2012</v>
      </c>
      <c r="C231" s="13">
        <v>3701</v>
      </c>
      <c r="D231" s="13">
        <v>1806</v>
      </c>
      <c r="E231" s="13">
        <v>1895</v>
      </c>
    </row>
    <row r="232" spans="1:5" x14ac:dyDescent="0.25">
      <c r="A232" s="11" t="s">
        <v>261</v>
      </c>
      <c r="B232" s="11">
        <v>2012</v>
      </c>
      <c r="C232" s="13">
        <v>1139</v>
      </c>
      <c r="D232" s="13">
        <v>560</v>
      </c>
      <c r="E232" s="13">
        <v>579</v>
      </c>
    </row>
    <row r="233" spans="1:5" x14ac:dyDescent="0.25">
      <c r="A233" s="11" t="s">
        <v>233</v>
      </c>
      <c r="B233" s="11">
        <v>2012</v>
      </c>
      <c r="C233" s="13">
        <v>1390</v>
      </c>
      <c r="D233" s="13">
        <v>656</v>
      </c>
      <c r="E233" s="13">
        <v>734</v>
      </c>
    </row>
    <row r="234" spans="1:5" x14ac:dyDescent="0.25">
      <c r="A234" s="11" t="s">
        <v>240</v>
      </c>
      <c r="B234" s="11">
        <v>2012</v>
      </c>
      <c r="C234" s="13">
        <v>4019</v>
      </c>
      <c r="D234" s="13">
        <v>1893</v>
      </c>
      <c r="E234" s="13">
        <v>2126</v>
      </c>
    </row>
    <row r="235" spans="1:5" x14ac:dyDescent="0.25">
      <c r="A235" s="11" t="s">
        <v>262</v>
      </c>
      <c r="B235" s="11">
        <v>2012</v>
      </c>
      <c r="C235" s="13">
        <v>3255</v>
      </c>
      <c r="D235" s="13">
        <v>1577</v>
      </c>
      <c r="E235" s="13">
        <v>1678</v>
      </c>
    </row>
    <row r="236" spans="1:5" x14ac:dyDescent="0.25">
      <c r="A236" s="11" t="s">
        <v>263</v>
      </c>
      <c r="B236" s="11">
        <v>2012</v>
      </c>
      <c r="C236" s="13">
        <v>6470</v>
      </c>
      <c r="D236" s="13">
        <v>3218</v>
      </c>
      <c r="E236" s="13">
        <v>3252</v>
      </c>
    </row>
    <row r="237" spans="1:5" x14ac:dyDescent="0.25">
      <c r="A237" s="11" t="s">
        <v>264</v>
      </c>
      <c r="B237" s="11">
        <v>2012</v>
      </c>
      <c r="C237" s="13">
        <v>14072</v>
      </c>
      <c r="D237" s="13">
        <v>6907</v>
      </c>
      <c r="E237" s="13">
        <v>7165</v>
      </c>
    </row>
    <row r="238" spans="1:5" x14ac:dyDescent="0.25">
      <c r="A238" s="11" t="s">
        <v>242</v>
      </c>
      <c r="B238" s="11">
        <v>2012</v>
      </c>
      <c r="C238" s="13">
        <v>3145</v>
      </c>
      <c r="D238" s="13">
        <v>1547</v>
      </c>
      <c r="E238" s="13">
        <v>1598</v>
      </c>
    </row>
    <row r="239" spans="1:5" x14ac:dyDescent="0.25">
      <c r="A239" s="11" t="s">
        <v>265</v>
      </c>
      <c r="B239" s="11">
        <v>2012</v>
      </c>
      <c r="C239" s="13">
        <v>6145</v>
      </c>
      <c r="D239" s="13">
        <v>2994</v>
      </c>
      <c r="E239" s="13">
        <v>3151</v>
      </c>
    </row>
    <row r="240" spans="1:5" x14ac:dyDescent="0.25">
      <c r="A240" s="11" t="s">
        <v>266</v>
      </c>
      <c r="B240" s="11">
        <v>2012</v>
      </c>
      <c r="C240" s="13">
        <v>9827</v>
      </c>
      <c r="D240" s="13">
        <v>4799</v>
      </c>
      <c r="E240" s="13">
        <v>5028</v>
      </c>
    </row>
    <row r="241" spans="1:5" x14ac:dyDescent="0.25">
      <c r="A241" s="11" t="s">
        <v>267</v>
      </c>
      <c r="B241" s="11">
        <v>2012</v>
      </c>
      <c r="C241" s="13">
        <v>201</v>
      </c>
      <c r="D241" s="13">
        <v>81</v>
      </c>
      <c r="E241" s="13">
        <v>120</v>
      </c>
    </row>
    <row r="242" spans="1:5" x14ac:dyDescent="0.25">
      <c r="A242" s="11" t="s">
        <v>268</v>
      </c>
      <c r="B242" s="11">
        <v>2012</v>
      </c>
      <c r="C242" s="13">
        <v>276</v>
      </c>
      <c r="D242" s="13">
        <v>124</v>
      </c>
      <c r="E242" s="13">
        <v>152</v>
      </c>
    </row>
    <row r="243" spans="1:5" x14ac:dyDescent="0.25">
      <c r="A243" s="11" t="s">
        <v>269</v>
      </c>
      <c r="B243" s="11">
        <v>2012</v>
      </c>
      <c r="C243" s="13">
        <v>4150</v>
      </c>
      <c r="D243" s="13">
        <v>2039</v>
      </c>
      <c r="E243" s="13">
        <v>2111</v>
      </c>
    </row>
    <row r="244" spans="1:5" x14ac:dyDescent="0.25">
      <c r="A244" s="11" t="s">
        <v>270</v>
      </c>
      <c r="B244" s="11">
        <v>2012</v>
      </c>
      <c r="C244" s="13">
        <v>237</v>
      </c>
      <c r="D244" s="13">
        <v>113</v>
      </c>
      <c r="E244" s="13">
        <v>124</v>
      </c>
    </row>
    <row r="245" spans="1:5" x14ac:dyDescent="0.25">
      <c r="A245" s="11" t="s">
        <v>11</v>
      </c>
      <c r="B245" s="11">
        <v>2013</v>
      </c>
      <c r="C245" s="13">
        <v>56014</v>
      </c>
      <c r="D245" s="13">
        <v>27186</v>
      </c>
      <c r="E245" s="13">
        <v>28828</v>
      </c>
    </row>
    <row r="246" spans="1:5" x14ac:dyDescent="0.25">
      <c r="A246" s="11" t="s">
        <v>260</v>
      </c>
      <c r="B246" s="11">
        <v>2013</v>
      </c>
      <c r="C246" s="13">
        <v>3647</v>
      </c>
      <c r="D246" s="13">
        <v>1705</v>
      </c>
      <c r="E246" s="13">
        <v>1942</v>
      </c>
    </row>
    <row r="247" spans="1:5" x14ac:dyDescent="0.25">
      <c r="A247" s="11" t="s">
        <v>261</v>
      </c>
      <c r="B247" s="11">
        <v>2013</v>
      </c>
      <c r="C247" s="13">
        <v>1138</v>
      </c>
      <c r="D247" s="13">
        <v>567</v>
      </c>
      <c r="E247" s="13">
        <v>571</v>
      </c>
    </row>
    <row r="248" spans="1:5" x14ac:dyDescent="0.25">
      <c r="A248" s="11" t="s">
        <v>233</v>
      </c>
      <c r="B248" s="11">
        <v>2013</v>
      </c>
      <c r="C248" s="13">
        <v>1327</v>
      </c>
      <c r="D248" s="13">
        <v>633</v>
      </c>
      <c r="E248" s="13">
        <v>694</v>
      </c>
    </row>
    <row r="249" spans="1:5" x14ac:dyDescent="0.25">
      <c r="A249" s="11" t="s">
        <v>240</v>
      </c>
      <c r="B249" s="11">
        <v>2013</v>
      </c>
      <c r="C249" s="13">
        <v>3872</v>
      </c>
      <c r="D249" s="13">
        <v>1911</v>
      </c>
      <c r="E249" s="13">
        <v>1961</v>
      </c>
    </row>
    <row r="250" spans="1:5" x14ac:dyDescent="0.25">
      <c r="A250" s="11" t="s">
        <v>262</v>
      </c>
      <c r="B250" s="11">
        <v>2013</v>
      </c>
      <c r="C250" s="13">
        <v>3021</v>
      </c>
      <c r="D250" s="13">
        <v>1459</v>
      </c>
      <c r="E250" s="13">
        <v>1562</v>
      </c>
    </row>
    <row r="251" spans="1:5" x14ac:dyDescent="0.25">
      <c r="A251" s="11" t="s">
        <v>263</v>
      </c>
      <c r="B251" s="11">
        <v>2013</v>
      </c>
      <c r="C251" s="13">
        <v>6153</v>
      </c>
      <c r="D251" s="13">
        <v>2999</v>
      </c>
      <c r="E251" s="13">
        <v>3154</v>
      </c>
    </row>
    <row r="252" spans="1:5" x14ac:dyDescent="0.25">
      <c r="A252" s="11" t="s">
        <v>264</v>
      </c>
      <c r="B252" s="11">
        <v>2013</v>
      </c>
      <c r="C252" s="13">
        <v>13533</v>
      </c>
      <c r="D252" s="13">
        <v>6551</v>
      </c>
      <c r="E252" s="13">
        <v>6982</v>
      </c>
    </row>
    <row r="253" spans="1:5" x14ac:dyDescent="0.25">
      <c r="A253" s="11" t="s">
        <v>242</v>
      </c>
      <c r="B253" s="11">
        <v>2013</v>
      </c>
      <c r="C253" s="13">
        <v>2942</v>
      </c>
      <c r="D253" s="13">
        <v>1438</v>
      </c>
      <c r="E253" s="13">
        <v>1504</v>
      </c>
    </row>
    <row r="254" spans="1:5" x14ac:dyDescent="0.25">
      <c r="A254" s="11" t="s">
        <v>265</v>
      </c>
      <c r="B254" s="11">
        <v>2013</v>
      </c>
      <c r="C254" s="13">
        <v>6068</v>
      </c>
      <c r="D254" s="13">
        <v>2942</v>
      </c>
      <c r="E254" s="13">
        <v>3126</v>
      </c>
    </row>
    <row r="255" spans="1:5" x14ac:dyDescent="0.25">
      <c r="A255" s="11" t="s">
        <v>266</v>
      </c>
      <c r="B255" s="11">
        <v>2013</v>
      </c>
      <c r="C255" s="13">
        <v>9584</v>
      </c>
      <c r="D255" s="13">
        <v>4681</v>
      </c>
      <c r="E255" s="13">
        <v>4903</v>
      </c>
    </row>
    <row r="256" spans="1:5" x14ac:dyDescent="0.25">
      <c r="A256" s="11" t="s">
        <v>267</v>
      </c>
      <c r="B256" s="11">
        <v>2013</v>
      </c>
      <c r="C256" s="13">
        <v>201</v>
      </c>
      <c r="D256" s="13">
        <v>91</v>
      </c>
      <c r="E256" s="13">
        <v>110</v>
      </c>
    </row>
    <row r="257" spans="1:5" x14ac:dyDescent="0.25">
      <c r="A257" s="11" t="s">
        <v>268</v>
      </c>
      <c r="B257" s="11">
        <v>2013</v>
      </c>
      <c r="C257" s="13">
        <v>261</v>
      </c>
      <c r="D257" s="13">
        <v>134</v>
      </c>
      <c r="E257" s="13">
        <v>127</v>
      </c>
    </row>
    <row r="258" spans="1:5" x14ac:dyDescent="0.25">
      <c r="A258" s="11" t="s">
        <v>269</v>
      </c>
      <c r="B258" s="11">
        <v>2013</v>
      </c>
      <c r="C258" s="13">
        <v>4021</v>
      </c>
      <c r="D258" s="13">
        <v>1959</v>
      </c>
      <c r="E258" s="13">
        <v>2062</v>
      </c>
    </row>
    <row r="259" spans="1:5" x14ac:dyDescent="0.25">
      <c r="A259" s="11" t="s">
        <v>270</v>
      </c>
      <c r="B259" s="11">
        <v>2013</v>
      </c>
      <c r="C259" s="13">
        <v>246</v>
      </c>
      <c r="D259" s="13">
        <v>116</v>
      </c>
      <c r="E259" s="13">
        <v>130</v>
      </c>
    </row>
    <row r="260" spans="1:5" x14ac:dyDescent="0.25">
      <c r="A260" s="11" t="s">
        <v>11</v>
      </c>
      <c r="B260" s="11">
        <v>2014</v>
      </c>
      <c r="C260" s="13">
        <v>56725</v>
      </c>
      <c r="D260" s="13">
        <v>27669</v>
      </c>
      <c r="E260" s="13">
        <v>29056</v>
      </c>
    </row>
    <row r="261" spans="1:5" x14ac:dyDescent="0.25">
      <c r="A261" s="11" t="s">
        <v>260</v>
      </c>
      <c r="B261" s="11">
        <v>2014</v>
      </c>
      <c r="C261" s="13">
        <v>3571</v>
      </c>
      <c r="D261" s="13">
        <v>1777</v>
      </c>
      <c r="E261" s="13">
        <v>1794</v>
      </c>
    </row>
    <row r="262" spans="1:5" x14ac:dyDescent="0.25">
      <c r="A262" s="11" t="s">
        <v>261</v>
      </c>
      <c r="B262" s="11">
        <v>2014</v>
      </c>
      <c r="C262" s="13">
        <v>1081</v>
      </c>
      <c r="D262" s="13">
        <v>550</v>
      </c>
      <c r="E262" s="13">
        <v>531</v>
      </c>
    </row>
    <row r="263" spans="1:5" x14ac:dyDescent="0.25">
      <c r="A263" s="11" t="s">
        <v>233</v>
      </c>
      <c r="B263" s="11">
        <v>2014</v>
      </c>
      <c r="C263" s="13">
        <v>1286</v>
      </c>
      <c r="D263" s="13">
        <v>608</v>
      </c>
      <c r="E263" s="13">
        <v>678</v>
      </c>
    </row>
    <row r="264" spans="1:5" x14ac:dyDescent="0.25">
      <c r="A264" s="11" t="s">
        <v>240</v>
      </c>
      <c r="B264" s="11">
        <v>2014</v>
      </c>
      <c r="C264" s="13">
        <v>3889</v>
      </c>
      <c r="D264" s="13">
        <v>1882</v>
      </c>
      <c r="E264" s="13">
        <v>2007</v>
      </c>
    </row>
    <row r="265" spans="1:5" x14ac:dyDescent="0.25">
      <c r="A265" s="11" t="s">
        <v>262</v>
      </c>
      <c r="B265" s="11">
        <v>2014</v>
      </c>
      <c r="C265" s="13">
        <v>3114</v>
      </c>
      <c r="D265" s="13">
        <v>1505</v>
      </c>
      <c r="E265" s="13">
        <v>1609</v>
      </c>
    </row>
    <row r="266" spans="1:5" x14ac:dyDescent="0.25">
      <c r="A266" s="11" t="s">
        <v>263</v>
      </c>
      <c r="B266" s="11">
        <v>2014</v>
      </c>
      <c r="C266" s="13">
        <v>6332</v>
      </c>
      <c r="D266" s="13">
        <v>3042</v>
      </c>
      <c r="E266" s="13">
        <v>3290</v>
      </c>
    </row>
    <row r="267" spans="1:5" x14ac:dyDescent="0.25">
      <c r="A267" s="11" t="s">
        <v>264</v>
      </c>
      <c r="B267" s="11">
        <v>2014</v>
      </c>
      <c r="C267" s="13">
        <v>13816</v>
      </c>
      <c r="D267" s="13">
        <v>6723</v>
      </c>
      <c r="E267" s="13">
        <v>7093</v>
      </c>
    </row>
    <row r="268" spans="1:5" x14ac:dyDescent="0.25">
      <c r="A268" s="11" t="s">
        <v>242</v>
      </c>
      <c r="B268" s="11">
        <v>2014</v>
      </c>
      <c r="C268" s="13">
        <v>3037</v>
      </c>
      <c r="D268" s="13">
        <v>1494</v>
      </c>
      <c r="E268" s="13">
        <v>1543</v>
      </c>
    </row>
    <row r="269" spans="1:5" x14ac:dyDescent="0.25">
      <c r="A269" s="11" t="s">
        <v>265</v>
      </c>
      <c r="B269" s="11">
        <v>2014</v>
      </c>
      <c r="C269" s="13">
        <v>6097</v>
      </c>
      <c r="D269" s="13">
        <v>3003</v>
      </c>
      <c r="E269" s="13">
        <v>3094</v>
      </c>
    </row>
    <row r="270" spans="1:5" x14ac:dyDescent="0.25">
      <c r="A270" s="11" t="s">
        <v>266</v>
      </c>
      <c r="B270" s="11">
        <v>2014</v>
      </c>
      <c r="C270" s="13">
        <v>9625</v>
      </c>
      <c r="D270" s="13">
        <v>4756</v>
      </c>
      <c r="E270" s="13">
        <v>4869</v>
      </c>
    </row>
    <row r="271" spans="1:5" x14ac:dyDescent="0.25">
      <c r="A271" s="11" t="s">
        <v>267</v>
      </c>
      <c r="B271" s="11">
        <v>2014</v>
      </c>
      <c r="C271" s="13">
        <v>181</v>
      </c>
      <c r="D271" s="13">
        <v>72</v>
      </c>
      <c r="E271" s="13">
        <v>109</v>
      </c>
    </row>
    <row r="272" spans="1:5" x14ac:dyDescent="0.25">
      <c r="A272" s="11" t="s">
        <v>268</v>
      </c>
      <c r="B272" s="11">
        <v>2014</v>
      </c>
      <c r="C272" s="13">
        <v>253</v>
      </c>
      <c r="D272" s="13">
        <v>139</v>
      </c>
      <c r="E272" s="13">
        <v>114</v>
      </c>
    </row>
    <row r="273" spans="1:5" x14ac:dyDescent="0.25">
      <c r="A273" s="11" t="s">
        <v>269</v>
      </c>
      <c r="B273" s="11">
        <v>2014</v>
      </c>
      <c r="C273" s="13">
        <v>4217</v>
      </c>
      <c r="D273" s="13">
        <v>2007</v>
      </c>
      <c r="E273" s="13">
        <v>2210</v>
      </c>
    </row>
    <row r="274" spans="1:5" x14ac:dyDescent="0.25">
      <c r="A274" s="11" t="s">
        <v>270</v>
      </c>
      <c r="B274" s="11">
        <v>2014</v>
      </c>
      <c r="C274" s="13">
        <v>226</v>
      </c>
      <c r="D274" s="13">
        <v>111</v>
      </c>
      <c r="E274" s="13">
        <v>115</v>
      </c>
    </row>
    <row r="275" spans="1:5" x14ac:dyDescent="0.25">
      <c r="A275" s="11" t="s">
        <v>11</v>
      </c>
      <c r="B275" s="11">
        <v>2015</v>
      </c>
      <c r="C275" s="13">
        <v>55098</v>
      </c>
      <c r="D275" s="13">
        <v>26744</v>
      </c>
      <c r="E275" s="13">
        <v>28354</v>
      </c>
    </row>
    <row r="276" spans="1:5" x14ac:dyDescent="0.25">
      <c r="A276" s="11" t="s">
        <v>260</v>
      </c>
      <c r="B276" s="11">
        <v>2015</v>
      </c>
      <c r="C276" s="13">
        <v>3612</v>
      </c>
      <c r="D276" s="13">
        <v>1749</v>
      </c>
      <c r="E276" s="13">
        <v>1863</v>
      </c>
    </row>
    <row r="277" spans="1:5" x14ac:dyDescent="0.25">
      <c r="A277" s="11" t="s">
        <v>261</v>
      </c>
      <c r="B277" s="11">
        <v>2015</v>
      </c>
      <c r="C277" s="13">
        <v>1037</v>
      </c>
      <c r="D277" s="13">
        <v>526</v>
      </c>
      <c r="E277" s="13">
        <v>511</v>
      </c>
    </row>
    <row r="278" spans="1:5" x14ac:dyDescent="0.25">
      <c r="A278" s="11" t="s">
        <v>233</v>
      </c>
      <c r="B278" s="11">
        <v>2015</v>
      </c>
      <c r="C278" s="13">
        <v>1256</v>
      </c>
      <c r="D278" s="13">
        <v>623</v>
      </c>
      <c r="E278" s="13">
        <v>633</v>
      </c>
    </row>
    <row r="279" spans="1:5" x14ac:dyDescent="0.25">
      <c r="A279" s="11" t="s">
        <v>240</v>
      </c>
      <c r="B279" s="11">
        <v>2015</v>
      </c>
      <c r="C279" s="13">
        <v>3755</v>
      </c>
      <c r="D279" s="13">
        <v>1863</v>
      </c>
      <c r="E279" s="13">
        <v>1892</v>
      </c>
    </row>
    <row r="280" spans="1:5" x14ac:dyDescent="0.25">
      <c r="A280" s="11" t="s">
        <v>262</v>
      </c>
      <c r="B280" s="11">
        <v>2015</v>
      </c>
      <c r="C280" s="13">
        <v>2938</v>
      </c>
      <c r="D280" s="13">
        <v>1384</v>
      </c>
      <c r="E280" s="13">
        <v>1554</v>
      </c>
    </row>
    <row r="281" spans="1:5" x14ac:dyDescent="0.25">
      <c r="A281" s="11" t="s">
        <v>263</v>
      </c>
      <c r="B281" s="11">
        <v>2015</v>
      </c>
      <c r="C281" s="13">
        <v>6405</v>
      </c>
      <c r="D281" s="13">
        <v>3135</v>
      </c>
      <c r="E281" s="13">
        <v>3270</v>
      </c>
    </row>
    <row r="282" spans="1:5" x14ac:dyDescent="0.25">
      <c r="A282" s="11" t="s">
        <v>264</v>
      </c>
      <c r="B282" s="11">
        <v>2015</v>
      </c>
      <c r="C282" s="13">
        <v>13233</v>
      </c>
      <c r="D282" s="13">
        <v>6475</v>
      </c>
      <c r="E282" s="13">
        <v>6758</v>
      </c>
    </row>
    <row r="283" spans="1:5" x14ac:dyDescent="0.25">
      <c r="A283" s="11" t="s">
        <v>242</v>
      </c>
      <c r="B283" s="11">
        <v>2015</v>
      </c>
      <c r="C283" s="13">
        <v>2908</v>
      </c>
      <c r="D283" s="13">
        <v>1395</v>
      </c>
      <c r="E283" s="13">
        <v>1513</v>
      </c>
    </row>
    <row r="284" spans="1:5" x14ac:dyDescent="0.25">
      <c r="A284" s="11" t="s">
        <v>265</v>
      </c>
      <c r="B284" s="11">
        <v>2015</v>
      </c>
      <c r="C284" s="13">
        <v>5951</v>
      </c>
      <c r="D284" s="13">
        <v>2880</v>
      </c>
      <c r="E284" s="13">
        <v>3071</v>
      </c>
    </row>
    <row r="285" spans="1:5" x14ac:dyDescent="0.25">
      <c r="A285" s="11" t="s">
        <v>266</v>
      </c>
      <c r="B285" s="11">
        <v>2015</v>
      </c>
      <c r="C285" s="13">
        <v>9379</v>
      </c>
      <c r="D285" s="13">
        <v>4501</v>
      </c>
      <c r="E285" s="13">
        <v>4878</v>
      </c>
    </row>
    <row r="286" spans="1:5" x14ac:dyDescent="0.25">
      <c r="A286" s="11" t="s">
        <v>267</v>
      </c>
      <c r="B286" s="11">
        <v>2015</v>
      </c>
      <c r="C286" s="13">
        <v>191</v>
      </c>
      <c r="D286" s="13">
        <v>96</v>
      </c>
      <c r="E286" s="13">
        <v>95</v>
      </c>
    </row>
    <row r="287" spans="1:5" x14ac:dyDescent="0.25">
      <c r="A287" s="11" t="s">
        <v>268</v>
      </c>
      <c r="B287" s="11">
        <v>2015</v>
      </c>
      <c r="C287" s="13">
        <v>234</v>
      </c>
      <c r="D287" s="13">
        <v>112</v>
      </c>
      <c r="E287" s="13">
        <v>122</v>
      </c>
    </row>
    <row r="288" spans="1:5" x14ac:dyDescent="0.25">
      <c r="A288" s="11" t="s">
        <v>269</v>
      </c>
      <c r="B288" s="11">
        <v>2015</v>
      </c>
      <c r="C288" s="13">
        <v>3977</v>
      </c>
      <c r="D288" s="13">
        <v>1900</v>
      </c>
      <c r="E288" s="13">
        <v>2077</v>
      </c>
    </row>
    <row r="289" spans="1:5" x14ac:dyDescent="0.25">
      <c r="A289" s="11" t="s">
        <v>270</v>
      </c>
      <c r="B289" s="11">
        <v>2015</v>
      </c>
      <c r="C289" s="13">
        <v>222</v>
      </c>
      <c r="D289" s="13">
        <v>105</v>
      </c>
      <c r="E289" s="13">
        <v>117</v>
      </c>
    </row>
    <row r="290" spans="1:5" x14ac:dyDescent="0.25">
      <c r="A290" s="11" t="s">
        <v>11</v>
      </c>
      <c r="B290" s="11">
        <v>2016</v>
      </c>
      <c r="C290" s="13">
        <v>54488</v>
      </c>
      <c r="D290" s="13">
        <v>26252</v>
      </c>
      <c r="E290" s="13">
        <v>28236</v>
      </c>
    </row>
    <row r="291" spans="1:5" x14ac:dyDescent="0.25">
      <c r="A291" s="11" t="s">
        <v>260</v>
      </c>
      <c r="B291" s="11">
        <v>2016</v>
      </c>
      <c r="C291" s="13">
        <v>3495</v>
      </c>
      <c r="D291" s="13">
        <v>1673</v>
      </c>
      <c r="E291" s="13">
        <v>1822</v>
      </c>
    </row>
    <row r="292" spans="1:5" x14ac:dyDescent="0.25">
      <c r="A292" s="11" t="s">
        <v>261</v>
      </c>
      <c r="B292" s="11">
        <v>2016</v>
      </c>
      <c r="C292" s="13">
        <v>1005</v>
      </c>
      <c r="D292" s="13">
        <v>483</v>
      </c>
      <c r="E292" s="13">
        <v>522</v>
      </c>
    </row>
    <row r="293" spans="1:5" x14ac:dyDescent="0.25">
      <c r="A293" s="11" t="s">
        <v>233</v>
      </c>
      <c r="B293" s="11">
        <v>2016</v>
      </c>
      <c r="C293" s="13">
        <v>1318</v>
      </c>
      <c r="D293" s="13">
        <v>663</v>
      </c>
      <c r="E293" s="13">
        <v>655</v>
      </c>
    </row>
    <row r="294" spans="1:5" x14ac:dyDescent="0.25">
      <c r="A294" s="11" t="s">
        <v>240</v>
      </c>
      <c r="B294" s="11">
        <v>2016</v>
      </c>
      <c r="C294" s="13">
        <v>3739</v>
      </c>
      <c r="D294" s="13">
        <v>1809</v>
      </c>
      <c r="E294" s="13">
        <v>1930</v>
      </c>
    </row>
    <row r="295" spans="1:5" x14ac:dyDescent="0.25">
      <c r="A295" s="11" t="s">
        <v>262</v>
      </c>
      <c r="B295" s="11">
        <v>2016</v>
      </c>
      <c r="C295" s="13">
        <v>2876</v>
      </c>
      <c r="D295" s="13">
        <v>1373</v>
      </c>
      <c r="E295" s="13">
        <v>1503</v>
      </c>
    </row>
    <row r="296" spans="1:5" x14ac:dyDescent="0.25">
      <c r="A296" s="11" t="s">
        <v>263</v>
      </c>
      <c r="B296" s="11">
        <v>2016</v>
      </c>
      <c r="C296" s="13">
        <v>6271</v>
      </c>
      <c r="D296" s="13">
        <v>3013</v>
      </c>
      <c r="E296" s="13">
        <v>3258</v>
      </c>
    </row>
    <row r="297" spans="1:5" x14ac:dyDescent="0.25">
      <c r="A297" s="11" t="s">
        <v>264</v>
      </c>
      <c r="B297" s="11">
        <v>2016</v>
      </c>
      <c r="C297" s="13">
        <v>13018</v>
      </c>
      <c r="D297" s="13">
        <v>6338</v>
      </c>
      <c r="E297" s="13">
        <v>6680</v>
      </c>
    </row>
    <row r="298" spans="1:5" x14ac:dyDescent="0.25">
      <c r="A298" s="11" t="s">
        <v>242</v>
      </c>
      <c r="B298" s="11">
        <v>2016</v>
      </c>
      <c r="C298" s="13">
        <v>2849</v>
      </c>
      <c r="D298" s="13">
        <v>1364</v>
      </c>
      <c r="E298" s="13">
        <v>1485</v>
      </c>
    </row>
    <row r="299" spans="1:5" x14ac:dyDescent="0.25">
      <c r="A299" s="11" t="s">
        <v>265</v>
      </c>
      <c r="B299" s="11">
        <v>2016</v>
      </c>
      <c r="C299" s="13">
        <v>5894</v>
      </c>
      <c r="D299" s="13">
        <v>2779</v>
      </c>
      <c r="E299" s="13">
        <v>3115</v>
      </c>
    </row>
    <row r="300" spans="1:5" x14ac:dyDescent="0.25">
      <c r="A300" s="11" t="s">
        <v>266</v>
      </c>
      <c r="B300" s="11">
        <v>2016</v>
      </c>
      <c r="C300" s="13">
        <v>9416</v>
      </c>
      <c r="D300" s="13">
        <v>4561</v>
      </c>
      <c r="E300" s="13">
        <v>4855</v>
      </c>
    </row>
    <row r="301" spans="1:5" x14ac:dyDescent="0.25">
      <c r="A301" s="11" t="s">
        <v>267</v>
      </c>
      <c r="B301" s="11">
        <v>2016</v>
      </c>
      <c r="C301" s="13">
        <v>178</v>
      </c>
      <c r="D301" s="13">
        <v>89</v>
      </c>
      <c r="E301" s="13">
        <v>89</v>
      </c>
    </row>
    <row r="302" spans="1:5" x14ac:dyDescent="0.25">
      <c r="A302" s="11" t="s">
        <v>268</v>
      </c>
      <c r="B302" s="11">
        <v>2016</v>
      </c>
      <c r="C302" s="13">
        <v>266</v>
      </c>
      <c r="D302" s="13">
        <v>125</v>
      </c>
      <c r="E302" s="13">
        <v>141</v>
      </c>
    </row>
    <row r="303" spans="1:5" x14ac:dyDescent="0.25">
      <c r="A303" s="11" t="s">
        <v>269</v>
      </c>
      <c r="B303" s="11">
        <v>2016</v>
      </c>
      <c r="C303" s="13">
        <v>3925</v>
      </c>
      <c r="D303" s="13">
        <v>1870</v>
      </c>
      <c r="E303" s="13">
        <v>2055</v>
      </c>
    </row>
    <row r="304" spans="1:5" x14ac:dyDescent="0.25">
      <c r="A304" s="11" t="s">
        <v>270</v>
      </c>
      <c r="B304" s="11">
        <v>2016</v>
      </c>
      <c r="C304" s="13">
        <v>238</v>
      </c>
      <c r="D304" s="13">
        <v>112</v>
      </c>
      <c r="E304" s="13">
        <v>126</v>
      </c>
    </row>
    <row r="305" spans="1:5" x14ac:dyDescent="0.25">
      <c r="A305" s="11" t="s">
        <v>11</v>
      </c>
      <c r="B305" s="11">
        <v>2017</v>
      </c>
      <c r="C305" s="13">
        <v>52861</v>
      </c>
      <c r="D305" s="13">
        <v>25646</v>
      </c>
      <c r="E305" s="13">
        <v>27215</v>
      </c>
    </row>
    <row r="306" spans="1:5" x14ac:dyDescent="0.25">
      <c r="A306" s="11" t="s">
        <v>260</v>
      </c>
      <c r="B306" s="11">
        <v>2017</v>
      </c>
      <c r="C306" s="13">
        <v>3281</v>
      </c>
      <c r="D306" s="13">
        <v>1575</v>
      </c>
      <c r="E306" s="13">
        <v>1706</v>
      </c>
    </row>
    <row r="307" spans="1:5" x14ac:dyDescent="0.25">
      <c r="A307" s="11" t="s">
        <v>261</v>
      </c>
      <c r="B307" s="11">
        <v>2017</v>
      </c>
      <c r="C307" s="13">
        <v>989</v>
      </c>
      <c r="D307" s="13">
        <v>498</v>
      </c>
      <c r="E307" s="13">
        <v>491</v>
      </c>
    </row>
    <row r="308" spans="1:5" x14ac:dyDescent="0.25">
      <c r="A308" s="11" t="s">
        <v>233</v>
      </c>
      <c r="B308" s="11">
        <v>2017</v>
      </c>
      <c r="C308" s="13">
        <v>1248</v>
      </c>
      <c r="D308" s="13">
        <v>609</v>
      </c>
      <c r="E308" s="13">
        <v>639</v>
      </c>
    </row>
    <row r="309" spans="1:5" x14ac:dyDescent="0.25">
      <c r="A309" s="11" t="s">
        <v>240</v>
      </c>
      <c r="B309" s="11">
        <v>2017</v>
      </c>
      <c r="C309" s="13">
        <v>3465</v>
      </c>
      <c r="D309" s="13">
        <v>1677</v>
      </c>
      <c r="E309" s="13">
        <v>1788</v>
      </c>
    </row>
    <row r="310" spans="1:5" x14ac:dyDescent="0.25">
      <c r="A310" s="11" t="s">
        <v>262</v>
      </c>
      <c r="B310" s="11">
        <v>2017</v>
      </c>
      <c r="C310" s="13">
        <v>2906</v>
      </c>
      <c r="D310" s="13">
        <v>1408</v>
      </c>
      <c r="E310" s="13">
        <v>1498</v>
      </c>
    </row>
    <row r="311" spans="1:5" x14ac:dyDescent="0.25">
      <c r="A311" s="11" t="s">
        <v>263</v>
      </c>
      <c r="B311" s="11">
        <v>2017</v>
      </c>
      <c r="C311" s="13">
        <v>5917</v>
      </c>
      <c r="D311" s="13">
        <v>2866</v>
      </c>
      <c r="E311" s="13">
        <v>3051</v>
      </c>
    </row>
    <row r="312" spans="1:5" x14ac:dyDescent="0.25">
      <c r="A312" s="11" t="s">
        <v>264</v>
      </c>
      <c r="B312" s="11">
        <v>2017</v>
      </c>
      <c r="C312" s="13">
        <v>13054</v>
      </c>
      <c r="D312" s="13">
        <v>6302</v>
      </c>
      <c r="E312" s="13">
        <v>6752</v>
      </c>
    </row>
    <row r="313" spans="1:5" x14ac:dyDescent="0.25">
      <c r="A313" s="11" t="s">
        <v>242</v>
      </c>
      <c r="B313" s="11">
        <v>2017</v>
      </c>
      <c r="C313" s="13">
        <v>2754</v>
      </c>
      <c r="D313" s="13">
        <v>1342</v>
      </c>
      <c r="E313" s="13">
        <v>1412</v>
      </c>
    </row>
    <row r="314" spans="1:5" x14ac:dyDescent="0.25">
      <c r="A314" s="11" t="s">
        <v>265</v>
      </c>
      <c r="B314" s="11">
        <v>2017</v>
      </c>
      <c r="C314" s="13">
        <v>5836</v>
      </c>
      <c r="D314" s="13">
        <v>2852</v>
      </c>
      <c r="E314" s="13">
        <v>2984</v>
      </c>
    </row>
    <row r="315" spans="1:5" x14ac:dyDescent="0.25">
      <c r="A315" s="11" t="s">
        <v>266</v>
      </c>
      <c r="B315" s="11">
        <v>2017</v>
      </c>
      <c r="C315" s="13">
        <v>9037</v>
      </c>
      <c r="D315" s="13">
        <v>4363</v>
      </c>
      <c r="E315" s="13">
        <v>4674</v>
      </c>
    </row>
    <row r="316" spans="1:5" x14ac:dyDescent="0.25">
      <c r="A316" s="11" t="s">
        <v>267</v>
      </c>
      <c r="B316" s="11">
        <v>2017</v>
      </c>
      <c r="C316" s="13">
        <v>184</v>
      </c>
      <c r="D316" s="13">
        <v>99</v>
      </c>
      <c r="E316" s="13">
        <v>85</v>
      </c>
    </row>
    <row r="317" spans="1:5" x14ac:dyDescent="0.25">
      <c r="A317" s="11" t="s">
        <v>268</v>
      </c>
      <c r="B317" s="11">
        <v>2017</v>
      </c>
      <c r="C317" s="13">
        <v>218</v>
      </c>
      <c r="D317" s="13">
        <v>113</v>
      </c>
      <c r="E317" s="13">
        <v>105</v>
      </c>
    </row>
    <row r="318" spans="1:5" x14ac:dyDescent="0.25">
      <c r="A318" s="11" t="s">
        <v>269</v>
      </c>
      <c r="B318" s="11">
        <v>2017</v>
      </c>
      <c r="C318" s="13">
        <v>3757</v>
      </c>
      <c r="D318" s="13">
        <v>1843</v>
      </c>
      <c r="E318" s="13">
        <v>1914</v>
      </c>
    </row>
    <row r="319" spans="1:5" x14ac:dyDescent="0.25">
      <c r="A319" s="11" t="s">
        <v>270</v>
      </c>
      <c r="B319" s="11">
        <v>2017</v>
      </c>
      <c r="C319" s="13">
        <v>215</v>
      </c>
      <c r="D319" s="13">
        <v>99</v>
      </c>
      <c r="E319" s="13">
        <v>116</v>
      </c>
    </row>
    <row r="320" spans="1:5" x14ac:dyDescent="0.25">
      <c r="A320" s="11" t="s">
        <v>11</v>
      </c>
      <c r="B320" s="11">
        <v>2018</v>
      </c>
      <c r="C320" s="13">
        <v>51308</v>
      </c>
      <c r="D320" s="13">
        <v>24976</v>
      </c>
      <c r="E320" s="13">
        <v>26332</v>
      </c>
    </row>
    <row r="321" spans="1:5" x14ac:dyDescent="0.25">
      <c r="A321" s="11" t="s">
        <v>260</v>
      </c>
      <c r="B321" s="11">
        <v>2018</v>
      </c>
      <c r="C321" s="13">
        <v>3233</v>
      </c>
      <c r="D321" s="13">
        <v>1591</v>
      </c>
      <c r="E321" s="13">
        <v>1642</v>
      </c>
    </row>
    <row r="322" spans="1:5" x14ac:dyDescent="0.25">
      <c r="A322" s="11" t="s">
        <v>261</v>
      </c>
      <c r="B322" s="11">
        <v>2018</v>
      </c>
      <c r="C322" s="13">
        <v>984</v>
      </c>
      <c r="D322" s="13">
        <v>451</v>
      </c>
      <c r="E322" s="13">
        <v>533</v>
      </c>
    </row>
    <row r="323" spans="1:5" x14ac:dyDescent="0.25">
      <c r="A323" s="11" t="s">
        <v>233</v>
      </c>
      <c r="B323" s="11">
        <v>2018</v>
      </c>
      <c r="C323" s="13">
        <v>1198</v>
      </c>
      <c r="D323" s="13">
        <v>606</v>
      </c>
      <c r="E323" s="13">
        <v>592</v>
      </c>
    </row>
    <row r="324" spans="1:5" x14ac:dyDescent="0.25">
      <c r="A324" s="11" t="s">
        <v>240</v>
      </c>
      <c r="B324" s="11">
        <v>2018</v>
      </c>
      <c r="C324" s="13">
        <v>3479</v>
      </c>
      <c r="D324" s="13">
        <v>1699</v>
      </c>
      <c r="E324" s="13">
        <v>1780</v>
      </c>
    </row>
    <row r="325" spans="1:5" x14ac:dyDescent="0.25">
      <c r="A325" s="11" t="s">
        <v>262</v>
      </c>
      <c r="B325" s="11">
        <v>2018</v>
      </c>
      <c r="C325" s="13">
        <v>2715</v>
      </c>
      <c r="D325" s="13">
        <v>1298</v>
      </c>
      <c r="E325" s="13">
        <v>1417</v>
      </c>
    </row>
    <row r="326" spans="1:5" x14ac:dyDescent="0.25">
      <c r="A326" s="11" t="s">
        <v>263</v>
      </c>
      <c r="B326" s="11">
        <v>2018</v>
      </c>
      <c r="C326" s="13">
        <v>5859</v>
      </c>
      <c r="D326" s="13">
        <v>2808</v>
      </c>
      <c r="E326" s="13">
        <v>3051</v>
      </c>
    </row>
    <row r="327" spans="1:5" x14ac:dyDescent="0.25">
      <c r="A327" s="11" t="s">
        <v>264</v>
      </c>
      <c r="B327" s="11">
        <v>2018</v>
      </c>
      <c r="C327" s="13">
        <v>12527</v>
      </c>
      <c r="D327" s="13">
        <v>6167</v>
      </c>
      <c r="E327" s="13">
        <v>6360</v>
      </c>
    </row>
    <row r="328" spans="1:5" x14ac:dyDescent="0.25">
      <c r="A328" s="11" t="s">
        <v>242</v>
      </c>
      <c r="B328" s="11">
        <v>2018</v>
      </c>
      <c r="C328" s="13">
        <v>2653</v>
      </c>
      <c r="D328" s="13">
        <v>1258</v>
      </c>
      <c r="E328" s="13">
        <v>1395</v>
      </c>
    </row>
    <row r="329" spans="1:5" x14ac:dyDescent="0.25">
      <c r="A329" s="11" t="s">
        <v>265</v>
      </c>
      <c r="B329" s="11">
        <v>2018</v>
      </c>
      <c r="C329" s="13">
        <v>5636</v>
      </c>
      <c r="D329" s="13">
        <v>2757</v>
      </c>
      <c r="E329" s="13">
        <v>2879</v>
      </c>
    </row>
    <row r="330" spans="1:5" x14ac:dyDescent="0.25">
      <c r="A330" s="11" t="s">
        <v>266</v>
      </c>
      <c r="B330" s="11">
        <v>2018</v>
      </c>
      <c r="C330" s="13">
        <v>8748</v>
      </c>
      <c r="D330" s="13">
        <v>4277</v>
      </c>
      <c r="E330" s="13">
        <v>4471</v>
      </c>
    </row>
    <row r="331" spans="1:5" x14ac:dyDescent="0.25">
      <c r="A331" s="11" t="s">
        <v>267</v>
      </c>
      <c r="B331" s="11">
        <v>2018</v>
      </c>
      <c r="C331" s="13">
        <v>186</v>
      </c>
      <c r="D331" s="13">
        <v>92</v>
      </c>
      <c r="E331" s="13">
        <v>94</v>
      </c>
    </row>
    <row r="332" spans="1:5" x14ac:dyDescent="0.25">
      <c r="A332" s="11" t="s">
        <v>268</v>
      </c>
      <c r="B332" s="11">
        <v>2018</v>
      </c>
      <c r="C332" s="13">
        <v>215</v>
      </c>
      <c r="D332" s="13">
        <v>103</v>
      </c>
      <c r="E332" s="13">
        <v>112</v>
      </c>
    </row>
    <row r="333" spans="1:5" x14ac:dyDescent="0.25">
      <c r="A333" s="11" t="s">
        <v>269</v>
      </c>
      <c r="B333" s="11">
        <v>2018</v>
      </c>
      <c r="C333" s="13">
        <v>3669</v>
      </c>
      <c r="D333" s="13">
        <v>1772</v>
      </c>
      <c r="E333" s="13">
        <v>1897</v>
      </c>
    </row>
    <row r="334" spans="1:5" x14ac:dyDescent="0.25">
      <c r="A334" s="11" t="s">
        <v>270</v>
      </c>
      <c r="B334" s="11">
        <v>2018</v>
      </c>
      <c r="C334" s="13">
        <v>206</v>
      </c>
      <c r="D334" s="13">
        <v>97</v>
      </c>
      <c r="E334" s="13">
        <v>109</v>
      </c>
    </row>
    <row r="335" spans="1:5" x14ac:dyDescent="0.25">
      <c r="A335" s="11" t="s">
        <v>11</v>
      </c>
      <c r="B335" s="11">
        <v>2019</v>
      </c>
      <c r="C335" s="13">
        <v>49863</v>
      </c>
      <c r="D335" s="13">
        <v>24176</v>
      </c>
      <c r="E335" s="13">
        <v>25687</v>
      </c>
    </row>
    <row r="336" spans="1:5" x14ac:dyDescent="0.25">
      <c r="A336" s="11" t="s">
        <v>260</v>
      </c>
      <c r="B336" s="11">
        <v>2019</v>
      </c>
      <c r="C336" s="13">
        <v>3137</v>
      </c>
      <c r="D336" s="13">
        <v>1539</v>
      </c>
      <c r="E336" s="13">
        <v>1598</v>
      </c>
    </row>
    <row r="337" spans="1:5" x14ac:dyDescent="0.25">
      <c r="A337" s="11" t="s">
        <v>261</v>
      </c>
      <c r="B337" s="11">
        <v>2019</v>
      </c>
      <c r="C337" s="13">
        <v>916</v>
      </c>
      <c r="D337" s="13">
        <v>434</v>
      </c>
      <c r="E337" s="13">
        <v>482</v>
      </c>
    </row>
    <row r="338" spans="1:5" x14ac:dyDescent="0.25">
      <c r="A338" s="11" t="s">
        <v>233</v>
      </c>
      <c r="B338" s="11">
        <v>2019</v>
      </c>
      <c r="C338" s="13">
        <v>1153</v>
      </c>
      <c r="D338" s="13">
        <v>548</v>
      </c>
      <c r="E338" s="13">
        <v>605</v>
      </c>
    </row>
    <row r="339" spans="1:5" x14ac:dyDescent="0.25">
      <c r="A339" s="11" t="s">
        <v>240</v>
      </c>
      <c r="B339" s="11">
        <v>2019</v>
      </c>
      <c r="C339" s="13">
        <v>3325</v>
      </c>
      <c r="D339" s="13">
        <v>1599</v>
      </c>
      <c r="E339" s="13">
        <v>1726</v>
      </c>
    </row>
    <row r="340" spans="1:5" x14ac:dyDescent="0.25">
      <c r="A340" s="11" t="s">
        <v>262</v>
      </c>
      <c r="B340" s="11">
        <v>2019</v>
      </c>
      <c r="C340" s="13">
        <v>2611</v>
      </c>
      <c r="D340" s="13">
        <v>1247</v>
      </c>
      <c r="E340" s="13">
        <v>1364</v>
      </c>
    </row>
    <row r="341" spans="1:5" x14ac:dyDescent="0.25">
      <c r="A341" s="11" t="s">
        <v>263</v>
      </c>
      <c r="B341" s="11">
        <v>2019</v>
      </c>
      <c r="C341" s="13">
        <v>5476</v>
      </c>
      <c r="D341" s="13">
        <v>2707</v>
      </c>
      <c r="E341" s="13">
        <v>2769</v>
      </c>
    </row>
    <row r="342" spans="1:5" x14ac:dyDescent="0.25">
      <c r="A342" s="11" t="s">
        <v>264</v>
      </c>
      <c r="B342" s="11">
        <v>2019</v>
      </c>
      <c r="C342" s="13">
        <v>12392</v>
      </c>
      <c r="D342" s="13">
        <v>6029</v>
      </c>
      <c r="E342" s="13">
        <v>6363</v>
      </c>
    </row>
    <row r="343" spans="1:5" x14ac:dyDescent="0.25">
      <c r="A343" s="11" t="s">
        <v>242</v>
      </c>
      <c r="B343" s="11">
        <v>2019</v>
      </c>
      <c r="C343" s="13">
        <v>2597</v>
      </c>
      <c r="D343" s="13">
        <v>1234</v>
      </c>
      <c r="E343" s="13">
        <v>1363</v>
      </c>
    </row>
    <row r="344" spans="1:5" x14ac:dyDescent="0.25">
      <c r="A344" s="11" t="s">
        <v>265</v>
      </c>
      <c r="B344" s="11">
        <v>2019</v>
      </c>
      <c r="C344" s="13">
        <v>5579</v>
      </c>
      <c r="D344" s="13">
        <v>2732</v>
      </c>
      <c r="E344" s="13">
        <v>2847</v>
      </c>
    </row>
    <row r="345" spans="1:5" x14ac:dyDescent="0.25">
      <c r="A345" s="11" t="s">
        <v>266</v>
      </c>
      <c r="B345" s="11">
        <v>2019</v>
      </c>
      <c r="C345" s="13">
        <v>8511</v>
      </c>
      <c r="D345" s="13">
        <v>4100</v>
      </c>
      <c r="E345" s="13">
        <v>4411</v>
      </c>
    </row>
    <row r="346" spans="1:5" x14ac:dyDescent="0.25">
      <c r="A346" s="11" t="s">
        <v>267</v>
      </c>
      <c r="B346" s="11">
        <v>2019</v>
      </c>
      <c r="C346" s="13">
        <v>182</v>
      </c>
      <c r="D346" s="13">
        <v>81</v>
      </c>
      <c r="E346" s="13">
        <v>101</v>
      </c>
    </row>
    <row r="347" spans="1:5" x14ac:dyDescent="0.25">
      <c r="A347" s="11" t="s">
        <v>268</v>
      </c>
      <c r="B347" s="11">
        <v>2019</v>
      </c>
      <c r="C347" s="13">
        <v>205</v>
      </c>
      <c r="D347" s="13">
        <v>106</v>
      </c>
      <c r="E347" s="13">
        <v>99</v>
      </c>
    </row>
    <row r="348" spans="1:5" x14ac:dyDescent="0.25">
      <c r="A348" s="11" t="s">
        <v>269</v>
      </c>
      <c r="B348" s="11">
        <v>2019</v>
      </c>
      <c r="C348" s="13">
        <v>3579</v>
      </c>
      <c r="D348" s="13">
        <v>1711</v>
      </c>
      <c r="E348" s="13">
        <v>1868</v>
      </c>
    </row>
    <row r="349" spans="1:5" x14ac:dyDescent="0.25">
      <c r="A349" s="11" t="s">
        <v>270</v>
      </c>
      <c r="B349" s="11">
        <v>2019</v>
      </c>
      <c r="C349" s="13">
        <v>200</v>
      </c>
      <c r="D349" s="13">
        <v>109</v>
      </c>
      <c r="E349" s="13">
        <v>91</v>
      </c>
    </row>
    <row r="350" spans="1:5" x14ac:dyDescent="0.25">
      <c r="A350" s="11" t="s">
        <v>11</v>
      </c>
      <c r="B350" s="11">
        <v>2020</v>
      </c>
      <c r="C350" s="13">
        <v>46809</v>
      </c>
      <c r="D350" s="13">
        <v>22837</v>
      </c>
      <c r="E350" s="13">
        <v>23972</v>
      </c>
    </row>
    <row r="351" spans="1:5" x14ac:dyDescent="0.25">
      <c r="A351" s="11" t="s">
        <v>260</v>
      </c>
      <c r="B351" s="11">
        <v>2020</v>
      </c>
      <c r="C351" s="13">
        <v>3037</v>
      </c>
      <c r="D351" s="13">
        <v>1489</v>
      </c>
      <c r="E351" s="13">
        <v>1548</v>
      </c>
    </row>
    <row r="352" spans="1:5" x14ac:dyDescent="0.25">
      <c r="A352" s="11" t="s">
        <v>261</v>
      </c>
      <c r="B352" s="11">
        <v>2020</v>
      </c>
      <c r="C352" s="13">
        <v>845</v>
      </c>
      <c r="D352" s="13">
        <v>380</v>
      </c>
      <c r="E352" s="13">
        <v>465</v>
      </c>
    </row>
    <row r="353" spans="1:5" x14ac:dyDescent="0.25">
      <c r="A353" s="11" t="s">
        <v>233</v>
      </c>
      <c r="B353" s="11">
        <v>2020</v>
      </c>
      <c r="C353" s="13">
        <v>1137</v>
      </c>
      <c r="D353" s="13">
        <v>547</v>
      </c>
      <c r="E353" s="13">
        <v>590</v>
      </c>
    </row>
    <row r="354" spans="1:5" x14ac:dyDescent="0.25">
      <c r="A354" s="11" t="s">
        <v>240</v>
      </c>
      <c r="B354" s="11">
        <v>2020</v>
      </c>
      <c r="C354" s="13">
        <v>3144</v>
      </c>
      <c r="D354" s="13">
        <v>1509</v>
      </c>
      <c r="E354" s="13">
        <v>1635</v>
      </c>
    </row>
    <row r="355" spans="1:5" x14ac:dyDescent="0.25">
      <c r="A355" s="11" t="s">
        <v>262</v>
      </c>
      <c r="B355" s="11">
        <v>2020</v>
      </c>
      <c r="C355" s="13">
        <v>2572</v>
      </c>
      <c r="D355" s="13">
        <v>1236</v>
      </c>
      <c r="E355" s="13">
        <v>1336</v>
      </c>
    </row>
    <row r="356" spans="1:5" x14ac:dyDescent="0.25">
      <c r="A356" s="11" t="s">
        <v>263</v>
      </c>
      <c r="B356" s="11">
        <v>2020</v>
      </c>
      <c r="C356" s="13">
        <v>5149</v>
      </c>
      <c r="D356" s="13">
        <v>2484</v>
      </c>
      <c r="E356" s="13">
        <v>2665</v>
      </c>
    </row>
    <row r="357" spans="1:5" x14ac:dyDescent="0.25">
      <c r="A357" s="11" t="s">
        <v>264</v>
      </c>
      <c r="B357" s="11">
        <v>2020</v>
      </c>
      <c r="C357" s="13">
        <v>11370</v>
      </c>
      <c r="D357" s="13">
        <v>5617</v>
      </c>
      <c r="E357" s="13">
        <v>5753</v>
      </c>
    </row>
    <row r="358" spans="1:5" x14ac:dyDescent="0.25">
      <c r="A358" s="11" t="s">
        <v>242</v>
      </c>
      <c r="B358" s="11">
        <v>2020</v>
      </c>
      <c r="C358" s="13">
        <v>2458</v>
      </c>
      <c r="D358" s="13">
        <v>1204</v>
      </c>
      <c r="E358" s="13">
        <v>1254</v>
      </c>
    </row>
    <row r="359" spans="1:5" x14ac:dyDescent="0.25">
      <c r="A359" s="11" t="s">
        <v>265</v>
      </c>
      <c r="B359" s="11">
        <v>2020</v>
      </c>
      <c r="C359" s="13">
        <v>5072</v>
      </c>
      <c r="D359" s="13">
        <v>2515</v>
      </c>
      <c r="E359" s="13">
        <v>2557</v>
      </c>
    </row>
    <row r="360" spans="1:5" x14ac:dyDescent="0.25">
      <c r="A360" s="11" t="s">
        <v>266</v>
      </c>
      <c r="B360" s="11">
        <v>2020</v>
      </c>
      <c r="C360" s="13">
        <v>8150</v>
      </c>
      <c r="D360" s="13">
        <v>3999</v>
      </c>
      <c r="E360" s="13">
        <v>4151</v>
      </c>
    </row>
    <row r="361" spans="1:5" x14ac:dyDescent="0.25">
      <c r="A361" s="11" t="s">
        <v>267</v>
      </c>
      <c r="B361" s="11">
        <v>2020</v>
      </c>
      <c r="C361" s="13">
        <v>183</v>
      </c>
      <c r="D361" s="13">
        <v>88</v>
      </c>
      <c r="E361" s="13">
        <v>95</v>
      </c>
    </row>
    <row r="362" spans="1:5" x14ac:dyDescent="0.25">
      <c r="A362" s="11" t="s">
        <v>268</v>
      </c>
      <c r="B362" s="11">
        <v>2020</v>
      </c>
      <c r="C362" s="13">
        <v>176</v>
      </c>
      <c r="D362" s="13">
        <v>86</v>
      </c>
      <c r="E362" s="13">
        <v>90</v>
      </c>
    </row>
    <row r="363" spans="1:5" x14ac:dyDescent="0.25">
      <c r="A363" s="11" t="s">
        <v>269</v>
      </c>
      <c r="B363" s="11">
        <v>2020</v>
      </c>
      <c r="C363" s="13">
        <v>3333</v>
      </c>
      <c r="D363" s="13">
        <v>1590</v>
      </c>
      <c r="E363" s="13">
        <v>1743</v>
      </c>
    </row>
    <row r="364" spans="1:5" x14ac:dyDescent="0.25">
      <c r="A364" s="11" t="s">
        <v>270</v>
      </c>
      <c r="B364" s="11">
        <v>2020</v>
      </c>
      <c r="C364" s="13">
        <v>183</v>
      </c>
      <c r="D364" s="13">
        <v>93</v>
      </c>
      <c r="E364" s="13">
        <v>90</v>
      </c>
    </row>
    <row r="365" spans="1:5" x14ac:dyDescent="0.25">
      <c r="A365" s="11" t="s">
        <v>11</v>
      </c>
      <c r="B365" s="11">
        <v>2021</v>
      </c>
      <c r="C365" s="13">
        <v>47786</v>
      </c>
      <c r="D365" s="13">
        <v>23244</v>
      </c>
      <c r="E365" s="13">
        <v>24542</v>
      </c>
    </row>
    <row r="366" spans="1:5" x14ac:dyDescent="0.25">
      <c r="A366" s="11" t="s">
        <v>260</v>
      </c>
      <c r="B366" s="11">
        <v>2021</v>
      </c>
      <c r="C366" s="13">
        <v>2965</v>
      </c>
      <c r="D366" s="13">
        <v>1446</v>
      </c>
      <c r="E366" s="13">
        <v>1519</v>
      </c>
    </row>
    <row r="367" spans="1:5" x14ac:dyDescent="0.25">
      <c r="A367" s="11" t="s">
        <v>261</v>
      </c>
      <c r="B367" s="11">
        <v>2021</v>
      </c>
      <c r="C367" s="13">
        <v>852</v>
      </c>
      <c r="D367" s="13">
        <v>406</v>
      </c>
      <c r="E367" s="13">
        <v>446</v>
      </c>
    </row>
    <row r="368" spans="1:5" x14ac:dyDescent="0.25">
      <c r="A368" s="11" t="s">
        <v>233</v>
      </c>
      <c r="B368" s="11">
        <v>2021</v>
      </c>
      <c r="C368" s="13">
        <v>1083</v>
      </c>
      <c r="D368" s="13">
        <v>525</v>
      </c>
      <c r="E368" s="13">
        <v>558</v>
      </c>
    </row>
    <row r="369" spans="1:5" x14ac:dyDescent="0.25">
      <c r="A369" s="11" t="s">
        <v>240</v>
      </c>
      <c r="B369" s="11">
        <v>2021</v>
      </c>
      <c r="C369" s="13">
        <v>3157</v>
      </c>
      <c r="D369" s="13">
        <v>1534</v>
      </c>
      <c r="E369" s="13">
        <v>1623</v>
      </c>
    </row>
    <row r="370" spans="1:5" x14ac:dyDescent="0.25">
      <c r="A370" s="11" t="s">
        <v>262</v>
      </c>
      <c r="B370" s="11">
        <v>2021</v>
      </c>
      <c r="C370" s="13">
        <v>2634</v>
      </c>
      <c r="D370" s="13">
        <v>1259</v>
      </c>
      <c r="E370" s="13">
        <v>1375</v>
      </c>
    </row>
    <row r="371" spans="1:5" x14ac:dyDescent="0.25">
      <c r="A371" s="11" t="s">
        <v>263</v>
      </c>
      <c r="B371" s="11">
        <v>2021</v>
      </c>
      <c r="C371" s="13">
        <v>5226</v>
      </c>
      <c r="D371" s="13">
        <v>2579</v>
      </c>
      <c r="E371" s="13">
        <v>2647</v>
      </c>
    </row>
    <row r="372" spans="1:5" x14ac:dyDescent="0.25">
      <c r="A372" s="11" t="s">
        <v>264</v>
      </c>
      <c r="B372" s="11">
        <v>2021</v>
      </c>
      <c r="C372" s="13">
        <v>11613</v>
      </c>
      <c r="D372" s="13">
        <v>5593</v>
      </c>
      <c r="E372" s="13">
        <v>6020</v>
      </c>
    </row>
    <row r="373" spans="1:5" x14ac:dyDescent="0.25">
      <c r="A373" s="11" t="s">
        <v>242</v>
      </c>
      <c r="B373" s="11">
        <v>2021</v>
      </c>
      <c r="C373" s="13">
        <v>2484</v>
      </c>
      <c r="D373" s="13">
        <v>1227</v>
      </c>
      <c r="E373" s="13">
        <v>1257</v>
      </c>
    </row>
    <row r="374" spans="1:5" x14ac:dyDescent="0.25">
      <c r="A374" s="11" t="s">
        <v>265</v>
      </c>
      <c r="B374" s="11">
        <v>2021</v>
      </c>
      <c r="C374" s="13">
        <v>5430</v>
      </c>
      <c r="D374" s="13">
        <v>2625</v>
      </c>
      <c r="E374" s="13">
        <v>2805</v>
      </c>
    </row>
    <row r="375" spans="1:5" x14ac:dyDescent="0.25">
      <c r="A375" s="11" t="s">
        <v>266</v>
      </c>
      <c r="B375" s="11">
        <v>2021</v>
      </c>
      <c r="C375" s="13">
        <v>8426</v>
      </c>
      <c r="D375" s="13">
        <v>4120</v>
      </c>
      <c r="E375" s="13">
        <v>4306</v>
      </c>
    </row>
    <row r="376" spans="1:5" x14ac:dyDescent="0.25">
      <c r="A376" s="11" t="s">
        <v>267</v>
      </c>
      <c r="B376" s="11">
        <v>2021</v>
      </c>
      <c r="C376" s="13">
        <v>171</v>
      </c>
      <c r="D376" s="13">
        <v>73</v>
      </c>
      <c r="E376" s="13">
        <v>98</v>
      </c>
    </row>
    <row r="377" spans="1:5" x14ac:dyDescent="0.25">
      <c r="A377" s="11" t="s">
        <v>268</v>
      </c>
      <c r="B377" s="11">
        <v>2021</v>
      </c>
      <c r="C377" s="13">
        <v>200</v>
      </c>
      <c r="D377" s="13">
        <v>94</v>
      </c>
      <c r="E377" s="13">
        <v>106</v>
      </c>
    </row>
    <row r="378" spans="1:5" x14ac:dyDescent="0.25">
      <c r="A378" s="11" t="s">
        <v>269</v>
      </c>
      <c r="B378" s="11">
        <v>2021</v>
      </c>
      <c r="C378" s="13">
        <v>3364</v>
      </c>
      <c r="D378" s="13">
        <v>1674</v>
      </c>
      <c r="E378" s="13">
        <v>1690</v>
      </c>
    </row>
    <row r="379" spans="1:5" x14ac:dyDescent="0.25">
      <c r="A379" s="11" t="s">
        <v>270</v>
      </c>
      <c r="B379" s="11">
        <v>2021</v>
      </c>
      <c r="C379" s="13">
        <v>181</v>
      </c>
      <c r="D379" s="13">
        <v>89</v>
      </c>
      <c r="E379" s="13">
        <v>92</v>
      </c>
    </row>
    <row r="380" spans="1:5" x14ac:dyDescent="0.25">
      <c r="A380" s="11" t="s">
        <v>11</v>
      </c>
      <c r="B380" s="11">
        <v>2022</v>
      </c>
      <c r="C380" s="13">
        <v>46959</v>
      </c>
      <c r="D380" s="13">
        <v>22700</v>
      </c>
      <c r="E380" s="13">
        <v>24259</v>
      </c>
    </row>
    <row r="381" spans="1:5" x14ac:dyDescent="0.25">
      <c r="A381" s="11" t="s">
        <v>260</v>
      </c>
      <c r="B381" s="11">
        <v>2022</v>
      </c>
      <c r="C381" s="13">
        <v>2812</v>
      </c>
      <c r="D381" s="13">
        <v>1374</v>
      </c>
      <c r="E381" s="13">
        <v>1438</v>
      </c>
    </row>
    <row r="382" spans="1:5" x14ac:dyDescent="0.25">
      <c r="A382" s="11" t="s">
        <v>261</v>
      </c>
      <c r="B382" s="11">
        <v>2022</v>
      </c>
      <c r="C382" s="13">
        <v>847</v>
      </c>
      <c r="D382" s="13">
        <v>410</v>
      </c>
      <c r="E382" s="13">
        <v>437</v>
      </c>
    </row>
    <row r="383" spans="1:5" x14ac:dyDescent="0.25">
      <c r="A383" s="11" t="s">
        <v>233</v>
      </c>
      <c r="B383" s="11">
        <v>2022</v>
      </c>
      <c r="C383" s="13">
        <v>1093</v>
      </c>
      <c r="D383" s="13">
        <v>543</v>
      </c>
      <c r="E383" s="13">
        <v>550</v>
      </c>
    </row>
    <row r="384" spans="1:5" x14ac:dyDescent="0.25">
      <c r="A384" s="11" t="s">
        <v>240</v>
      </c>
      <c r="B384" s="11">
        <v>2022</v>
      </c>
      <c r="C384" s="13">
        <v>2990</v>
      </c>
      <c r="D384" s="13">
        <v>1470</v>
      </c>
      <c r="E384" s="13">
        <v>1520</v>
      </c>
    </row>
    <row r="385" spans="1:5" x14ac:dyDescent="0.25">
      <c r="A385" s="11" t="s">
        <v>262</v>
      </c>
      <c r="B385" s="11">
        <v>2022</v>
      </c>
      <c r="C385" s="13">
        <v>2530</v>
      </c>
      <c r="D385" s="13">
        <v>1229</v>
      </c>
      <c r="E385" s="13">
        <v>1301</v>
      </c>
    </row>
    <row r="386" spans="1:5" x14ac:dyDescent="0.25">
      <c r="A386" s="11" t="s">
        <v>263</v>
      </c>
      <c r="B386" s="11">
        <v>2022</v>
      </c>
      <c r="C386" s="13">
        <v>4834</v>
      </c>
      <c r="D386" s="13">
        <v>2348</v>
      </c>
      <c r="E386" s="13">
        <v>2486</v>
      </c>
    </row>
    <row r="387" spans="1:5" x14ac:dyDescent="0.25">
      <c r="A387" s="11" t="s">
        <v>264</v>
      </c>
      <c r="B387" s="11">
        <v>2022</v>
      </c>
      <c r="C387" s="13">
        <v>11905</v>
      </c>
      <c r="D387" s="13">
        <v>5655</v>
      </c>
      <c r="E387" s="13">
        <v>6250</v>
      </c>
    </row>
    <row r="388" spans="1:5" x14ac:dyDescent="0.25">
      <c r="A388" s="11" t="s">
        <v>242</v>
      </c>
      <c r="B388" s="11">
        <v>2022</v>
      </c>
      <c r="C388" s="13">
        <v>2488</v>
      </c>
      <c r="D388" s="13">
        <v>1202</v>
      </c>
      <c r="E388" s="13">
        <v>1286</v>
      </c>
    </row>
    <row r="389" spans="1:5" x14ac:dyDescent="0.25">
      <c r="A389" s="11" t="s">
        <v>265</v>
      </c>
      <c r="B389" s="11">
        <v>2022</v>
      </c>
      <c r="C389" s="13">
        <v>5370</v>
      </c>
      <c r="D389" s="13">
        <v>2600</v>
      </c>
      <c r="E389" s="13">
        <v>2770</v>
      </c>
    </row>
    <row r="390" spans="1:5" x14ac:dyDescent="0.25">
      <c r="A390" s="11" t="s">
        <v>266</v>
      </c>
      <c r="B390" s="11">
        <v>2022</v>
      </c>
      <c r="C390" s="13">
        <v>8127</v>
      </c>
      <c r="D390" s="13">
        <v>3966</v>
      </c>
      <c r="E390" s="13">
        <v>4161</v>
      </c>
    </row>
    <row r="391" spans="1:5" x14ac:dyDescent="0.25">
      <c r="A391" s="11" t="s">
        <v>267</v>
      </c>
      <c r="B391" s="11">
        <v>2022</v>
      </c>
      <c r="C391" s="13">
        <v>163</v>
      </c>
      <c r="D391" s="13">
        <v>69</v>
      </c>
      <c r="E391" s="13">
        <v>94</v>
      </c>
    </row>
    <row r="392" spans="1:5" x14ac:dyDescent="0.25">
      <c r="A392" s="11" t="s">
        <v>268</v>
      </c>
      <c r="B392" s="11">
        <v>2022</v>
      </c>
      <c r="C392" s="13">
        <v>207</v>
      </c>
      <c r="D392" s="13">
        <v>90</v>
      </c>
      <c r="E392" s="13">
        <v>117</v>
      </c>
    </row>
    <row r="393" spans="1:5" x14ac:dyDescent="0.25">
      <c r="A393" s="11" t="s">
        <v>269</v>
      </c>
      <c r="B393" s="11">
        <v>2022</v>
      </c>
      <c r="C393" s="13">
        <v>3411</v>
      </c>
      <c r="D393" s="13">
        <v>1657</v>
      </c>
      <c r="E393" s="13">
        <v>1754</v>
      </c>
    </row>
    <row r="394" spans="1:5" x14ac:dyDescent="0.25">
      <c r="A394" s="11" t="s">
        <v>270</v>
      </c>
      <c r="B394" s="11">
        <v>2022</v>
      </c>
      <c r="C394" s="13">
        <v>182</v>
      </c>
      <c r="D394" s="13">
        <v>87</v>
      </c>
      <c r="E394" s="13">
        <v>95</v>
      </c>
    </row>
    <row r="395" spans="1:5" x14ac:dyDescent="0.25">
      <c r="A395" s="11" t="s">
        <v>11</v>
      </c>
      <c r="B395" s="11">
        <v>2023</v>
      </c>
      <c r="C395" s="13">
        <v>45935</v>
      </c>
      <c r="D395" s="13">
        <v>22341</v>
      </c>
      <c r="E395" s="13">
        <v>23594</v>
      </c>
    </row>
    <row r="396" spans="1:5" x14ac:dyDescent="0.25">
      <c r="A396" s="11" t="s">
        <v>260</v>
      </c>
      <c r="B396" s="11">
        <v>2023</v>
      </c>
      <c r="C396" s="13">
        <v>2843</v>
      </c>
      <c r="D396" s="13">
        <v>1401</v>
      </c>
      <c r="E396" s="13">
        <v>1442</v>
      </c>
    </row>
    <row r="397" spans="1:5" x14ac:dyDescent="0.25">
      <c r="A397" s="11" t="s">
        <v>261</v>
      </c>
      <c r="B397" s="11">
        <v>2023</v>
      </c>
      <c r="C397" s="13">
        <v>825</v>
      </c>
      <c r="D397" s="13">
        <v>380</v>
      </c>
      <c r="E397" s="13">
        <v>445</v>
      </c>
    </row>
    <row r="398" spans="1:5" x14ac:dyDescent="0.25">
      <c r="A398" s="11" t="s">
        <v>233</v>
      </c>
      <c r="B398" s="11">
        <v>2023</v>
      </c>
      <c r="C398" s="13">
        <v>1123</v>
      </c>
      <c r="D398" s="13">
        <v>552</v>
      </c>
      <c r="E398" s="13">
        <v>571</v>
      </c>
    </row>
    <row r="399" spans="1:5" x14ac:dyDescent="0.25">
      <c r="A399" s="11" t="s">
        <v>240</v>
      </c>
      <c r="B399" s="11">
        <v>2023</v>
      </c>
      <c r="C399" s="13">
        <v>2939</v>
      </c>
      <c r="D399" s="13">
        <v>1445</v>
      </c>
      <c r="E399" s="13">
        <v>1494</v>
      </c>
    </row>
    <row r="400" spans="1:5" x14ac:dyDescent="0.25">
      <c r="A400" s="11" t="s">
        <v>262</v>
      </c>
      <c r="B400" s="11">
        <v>2023</v>
      </c>
      <c r="C400" s="13">
        <v>2414</v>
      </c>
      <c r="D400" s="13">
        <v>1187</v>
      </c>
      <c r="E400" s="13">
        <v>1227</v>
      </c>
    </row>
    <row r="401" spans="1:5" x14ac:dyDescent="0.25">
      <c r="A401" s="11" t="s">
        <v>263</v>
      </c>
      <c r="B401" s="11">
        <v>2023</v>
      </c>
      <c r="C401" s="13">
        <v>4924</v>
      </c>
      <c r="D401" s="13">
        <v>2424</v>
      </c>
      <c r="E401" s="13">
        <v>2500</v>
      </c>
    </row>
    <row r="402" spans="1:5" x14ac:dyDescent="0.25">
      <c r="A402" s="11" t="s">
        <v>264</v>
      </c>
      <c r="B402" s="11">
        <v>2023</v>
      </c>
      <c r="C402" s="13">
        <v>11612</v>
      </c>
      <c r="D402" s="13">
        <v>5662</v>
      </c>
      <c r="E402" s="13">
        <v>5950</v>
      </c>
    </row>
    <row r="403" spans="1:5" x14ac:dyDescent="0.25">
      <c r="A403" s="11" t="s">
        <v>242</v>
      </c>
      <c r="B403" s="11">
        <v>2023</v>
      </c>
      <c r="C403" s="13">
        <v>2367</v>
      </c>
      <c r="D403" s="13">
        <v>1112</v>
      </c>
      <c r="E403" s="13">
        <v>1255</v>
      </c>
    </row>
    <row r="404" spans="1:5" x14ac:dyDescent="0.25">
      <c r="A404" s="11" t="s">
        <v>265</v>
      </c>
      <c r="B404" s="11">
        <v>2023</v>
      </c>
      <c r="C404" s="13">
        <v>5175</v>
      </c>
      <c r="D404" s="13">
        <v>2567</v>
      </c>
      <c r="E404" s="13">
        <v>2608</v>
      </c>
    </row>
    <row r="405" spans="1:5" x14ac:dyDescent="0.25">
      <c r="A405" s="11" t="s">
        <v>266</v>
      </c>
      <c r="B405" s="11">
        <v>2023</v>
      </c>
      <c r="C405" s="13">
        <v>7931</v>
      </c>
      <c r="D405" s="13">
        <v>3814</v>
      </c>
      <c r="E405" s="13">
        <v>4117</v>
      </c>
    </row>
    <row r="406" spans="1:5" x14ac:dyDescent="0.25">
      <c r="A406" s="11" t="s">
        <v>267</v>
      </c>
      <c r="B406" s="11">
        <v>2023</v>
      </c>
      <c r="C406" s="13">
        <v>162</v>
      </c>
      <c r="D406" s="13">
        <v>74</v>
      </c>
      <c r="E406" s="13">
        <v>88</v>
      </c>
    </row>
    <row r="407" spans="1:5" x14ac:dyDescent="0.25">
      <c r="A407" s="11" t="s">
        <v>268</v>
      </c>
      <c r="B407" s="11">
        <v>2023</v>
      </c>
      <c r="C407" s="13">
        <v>177</v>
      </c>
      <c r="D407" s="13">
        <v>81</v>
      </c>
      <c r="E407" s="13">
        <v>96</v>
      </c>
    </row>
    <row r="408" spans="1:5" x14ac:dyDescent="0.25">
      <c r="A408" s="11" t="s">
        <v>269</v>
      </c>
      <c r="B408" s="11">
        <v>2023</v>
      </c>
      <c r="C408" s="13">
        <v>3269</v>
      </c>
      <c r="D408" s="13">
        <v>1559</v>
      </c>
      <c r="E408" s="13">
        <v>1710</v>
      </c>
    </row>
    <row r="409" spans="1:5" x14ac:dyDescent="0.25">
      <c r="A409" s="11" t="s">
        <v>270</v>
      </c>
      <c r="B409" s="11">
        <v>2023</v>
      </c>
      <c r="C409" s="13">
        <v>174</v>
      </c>
      <c r="D409" s="13">
        <v>83</v>
      </c>
      <c r="E409" s="13">
        <v>91</v>
      </c>
    </row>
    <row r="410" spans="1:5" x14ac:dyDescent="0.25">
      <c r="A410" s="11" t="s">
        <v>11</v>
      </c>
      <c r="B410" s="11">
        <v>2024</v>
      </c>
      <c r="C410" s="13">
        <v>45763</v>
      </c>
      <c r="D410" s="13">
        <v>22334</v>
      </c>
      <c r="E410" s="13">
        <v>23429</v>
      </c>
    </row>
    <row r="411" spans="1:5" x14ac:dyDescent="0.25">
      <c r="A411" s="11" t="s">
        <v>260</v>
      </c>
      <c r="B411" s="11">
        <v>2024</v>
      </c>
      <c r="C411" s="13">
        <v>2812</v>
      </c>
      <c r="D411" s="13">
        <v>1339</v>
      </c>
      <c r="E411" s="13">
        <v>1473</v>
      </c>
    </row>
    <row r="412" spans="1:5" x14ac:dyDescent="0.25">
      <c r="A412" s="11" t="s">
        <v>261</v>
      </c>
      <c r="B412" s="11">
        <v>2024</v>
      </c>
      <c r="C412" s="13">
        <v>835</v>
      </c>
      <c r="D412" s="13">
        <v>402</v>
      </c>
      <c r="E412" s="13">
        <v>433</v>
      </c>
    </row>
    <row r="413" spans="1:5" x14ac:dyDescent="0.25">
      <c r="A413" s="11" t="s">
        <v>233</v>
      </c>
      <c r="B413" s="11">
        <v>2024</v>
      </c>
      <c r="C413" s="13">
        <v>1054</v>
      </c>
      <c r="D413" s="13">
        <v>494</v>
      </c>
      <c r="E413" s="13">
        <v>560</v>
      </c>
    </row>
    <row r="414" spans="1:5" x14ac:dyDescent="0.25">
      <c r="A414" s="11" t="s">
        <v>240</v>
      </c>
      <c r="B414" s="11">
        <v>2024</v>
      </c>
      <c r="C414" s="13">
        <v>2815</v>
      </c>
      <c r="D414" s="13">
        <v>1352</v>
      </c>
      <c r="E414" s="13">
        <v>1463</v>
      </c>
    </row>
    <row r="415" spans="1:5" x14ac:dyDescent="0.25">
      <c r="A415" s="11" t="s">
        <v>262</v>
      </c>
      <c r="B415" s="11">
        <v>2024</v>
      </c>
      <c r="C415" s="13">
        <v>2382</v>
      </c>
      <c r="D415" s="13">
        <v>1189</v>
      </c>
      <c r="E415" s="13">
        <v>1193</v>
      </c>
    </row>
    <row r="416" spans="1:5" x14ac:dyDescent="0.25">
      <c r="A416" s="11" t="s">
        <v>263</v>
      </c>
      <c r="B416" s="11">
        <v>2024</v>
      </c>
      <c r="C416" s="13">
        <v>4478</v>
      </c>
      <c r="D416" s="13">
        <v>2179</v>
      </c>
      <c r="E416" s="13">
        <v>2299</v>
      </c>
    </row>
    <row r="417" spans="1:5" x14ac:dyDescent="0.25">
      <c r="A417" s="11" t="s">
        <v>264</v>
      </c>
      <c r="B417" s="11">
        <v>2024</v>
      </c>
      <c r="C417" s="13">
        <v>11801</v>
      </c>
      <c r="D417" s="13">
        <v>5762</v>
      </c>
      <c r="E417" s="13">
        <v>6039</v>
      </c>
    </row>
    <row r="418" spans="1:5" x14ac:dyDescent="0.25">
      <c r="A418" s="11" t="s">
        <v>242</v>
      </c>
      <c r="B418" s="11">
        <v>2024</v>
      </c>
      <c r="C418" s="13">
        <v>2297</v>
      </c>
      <c r="D418" s="13">
        <v>1138</v>
      </c>
      <c r="E418" s="13">
        <v>1159</v>
      </c>
    </row>
    <row r="419" spans="1:5" x14ac:dyDescent="0.25">
      <c r="A419" s="11" t="s">
        <v>265</v>
      </c>
      <c r="B419" s="11">
        <v>2024</v>
      </c>
      <c r="C419" s="13">
        <v>5257</v>
      </c>
      <c r="D419" s="13">
        <v>2568</v>
      </c>
      <c r="E419" s="13">
        <v>2689</v>
      </c>
    </row>
    <row r="420" spans="1:5" x14ac:dyDescent="0.25">
      <c r="A420" s="11" t="s">
        <v>266</v>
      </c>
      <c r="B420" s="11">
        <v>2024</v>
      </c>
      <c r="C420" s="13">
        <v>8191</v>
      </c>
      <c r="D420" s="13">
        <v>4002</v>
      </c>
      <c r="E420" s="13">
        <v>4189</v>
      </c>
    </row>
    <row r="421" spans="1:5" x14ac:dyDescent="0.25">
      <c r="A421" s="11" t="s">
        <v>267</v>
      </c>
      <c r="B421" s="11">
        <v>2024</v>
      </c>
      <c r="C421" s="13">
        <v>146</v>
      </c>
      <c r="D421" s="13">
        <v>65</v>
      </c>
      <c r="E421" s="13">
        <v>81</v>
      </c>
    </row>
    <row r="422" spans="1:5" x14ac:dyDescent="0.25">
      <c r="A422" s="11" t="s">
        <v>268</v>
      </c>
      <c r="B422" s="11">
        <v>2024</v>
      </c>
      <c r="C422" s="13">
        <v>166</v>
      </c>
      <c r="D422" s="13">
        <v>88</v>
      </c>
      <c r="E422" s="13">
        <v>78</v>
      </c>
    </row>
    <row r="423" spans="1:5" x14ac:dyDescent="0.25">
      <c r="A423" s="11" t="s">
        <v>269</v>
      </c>
      <c r="B423" s="11">
        <v>2024</v>
      </c>
      <c r="C423" s="13">
        <v>3353</v>
      </c>
      <c r="D423" s="13">
        <v>1683</v>
      </c>
      <c r="E423" s="13">
        <v>1670</v>
      </c>
    </row>
    <row r="424" spans="1:5" x14ac:dyDescent="0.25">
      <c r="A424" s="11" t="s">
        <v>270</v>
      </c>
      <c r="B424" s="11">
        <v>2024</v>
      </c>
      <c r="C424" s="13">
        <v>176</v>
      </c>
      <c r="D424" s="13">
        <v>73</v>
      </c>
      <c r="E424" s="13">
        <v>103</v>
      </c>
    </row>
  </sheetData>
  <pageMargins left="0.7" right="0.7" top="0.75" bottom="0.75" header="0.3" footer="0.3"/>
  <pageSetup paperSize="9" orientation="portrait" horizontalDpi="300" verticalDpi="300"/>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164"/>
  <sheetViews>
    <sheetView workbookViewId="0"/>
  </sheetViews>
  <sheetFormatPr defaultColWidth="11.6328125" defaultRowHeight="15" x14ac:dyDescent="0.25"/>
  <cols>
    <col min="1" max="1" width="10.6328125" bestFit="1" customWidth="1"/>
    <col min="2" max="2" width="21.6328125" bestFit="1" customWidth="1"/>
    <col min="3" max="5" width="10.6328125" bestFit="1" customWidth="1"/>
  </cols>
  <sheetData>
    <row r="1" spans="1:5" ht="21" x14ac:dyDescent="0.4">
      <c r="A1" s="5" t="s">
        <v>295</v>
      </c>
    </row>
    <row r="2" spans="1:5" x14ac:dyDescent="0.25">
      <c r="A2" t="s">
        <v>29</v>
      </c>
    </row>
    <row r="3" spans="1:5" x14ac:dyDescent="0.25">
      <c r="A3" s="16" t="str">
        <f>HYPERLINK("#'Contents'!A1", "back to contents")</f>
        <v>back to contents</v>
      </c>
    </row>
    <row r="4" spans="1:5" ht="15.6" x14ac:dyDescent="0.3">
      <c r="A4" s="10" t="s">
        <v>69</v>
      </c>
      <c r="B4" s="10" t="s">
        <v>296</v>
      </c>
      <c r="C4" s="12" t="s">
        <v>70</v>
      </c>
      <c r="D4" s="12" t="s">
        <v>72</v>
      </c>
      <c r="E4" s="12" t="s">
        <v>71</v>
      </c>
    </row>
    <row r="5" spans="1:5" x14ac:dyDescent="0.25">
      <c r="A5" s="11">
        <v>1997</v>
      </c>
      <c r="B5" s="11" t="s">
        <v>11</v>
      </c>
      <c r="C5" s="13">
        <v>59440</v>
      </c>
      <c r="D5" s="13">
        <v>28924</v>
      </c>
      <c r="E5" s="13">
        <v>30516</v>
      </c>
    </row>
    <row r="6" spans="1:5" x14ac:dyDescent="0.25">
      <c r="A6" s="11">
        <v>1997</v>
      </c>
      <c r="B6" s="11" t="s">
        <v>297</v>
      </c>
      <c r="C6" s="13">
        <v>5003</v>
      </c>
      <c r="D6" s="13">
        <v>2410</v>
      </c>
      <c r="E6" s="13">
        <v>2593</v>
      </c>
    </row>
    <row r="7" spans="1:5" x14ac:dyDescent="0.25">
      <c r="A7" s="11">
        <v>1997</v>
      </c>
      <c r="B7" s="11" t="s">
        <v>260</v>
      </c>
      <c r="C7" s="13">
        <v>4167</v>
      </c>
      <c r="D7" s="13">
        <v>2007</v>
      </c>
      <c r="E7" s="13">
        <v>2160</v>
      </c>
    </row>
    <row r="8" spans="1:5" x14ac:dyDescent="0.25">
      <c r="A8" s="11">
        <v>1997</v>
      </c>
      <c r="B8" s="11" t="s">
        <v>261</v>
      </c>
      <c r="C8" s="13">
        <v>1132</v>
      </c>
      <c r="D8" s="13">
        <v>567</v>
      </c>
      <c r="E8" s="13">
        <v>565</v>
      </c>
    </row>
    <row r="9" spans="1:5" x14ac:dyDescent="0.25">
      <c r="A9" s="11">
        <v>1997</v>
      </c>
      <c r="B9" s="11" t="s">
        <v>233</v>
      </c>
      <c r="C9" s="13">
        <v>1568</v>
      </c>
      <c r="D9" s="13">
        <v>766</v>
      </c>
      <c r="E9" s="13">
        <v>802</v>
      </c>
    </row>
    <row r="10" spans="1:5" x14ac:dyDescent="0.25">
      <c r="A10" s="11">
        <v>1997</v>
      </c>
      <c r="B10" s="11" t="s">
        <v>240</v>
      </c>
      <c r="C10" s="13">
        <v>3824</v>
      </c>
      <c r="D10" s="13">
        <v>1905</v>
      </c>
      <c r="E10" s="13">
        <v>1919</v>
      </c>
    </row>
    <row r="11" spans="1:5" x14ac:dyDescent="0.25">
      <c r="A11" s="11">
        <v>1997</v>
      </c>
      <c r="B11" s="11" t="s">
        <v>262</v>
      </c>
      <c r="C11" s="13">
        <v>3178</v>
      </c>
      <c r="D11" s="13">
        <v>1556</v>
      </c>
      <c r="E11" s="13">
        <v>1622</v>
      </c>
    </row>
    <row r="12" spans="1:5" x14ac:dyDescent="0.25">
      <c r="A12" s="11">
        <v>1997</v>
      </c>
      <c r="B12" s="11" t="s">
        <v>263</v>
      </c>
      <c r="C12" s="13">
        <v>6044</v>
      </c>
      <c r="D12" s="13">
        <v>2866</v>
      </c>
      <c r="E12" s="13">
        <v>3178</v>
      </c>
    </row>
    <row r="13" spans="1:5" x14ac:dyDescent="0.25">
      <c r="A13" s="11">
        <v>1997</v>
      </c>
      <c r="B13" s="11" t="s">
        <v>298</v>
      </c>
      <c r="C13" s="13">
        <v>10955</v>
      </c>
      <c r="D13" s="13">
        <v>5364</v>
      </c>
      <c r="E13" s="13">
        <v>5591</v>
      </c>
    </row>
    <row r="14" spans="1:5" x14ac:dyDescent="0.25">
      <c r="A14" s="11">
        <v>1997</v>
      </c>
      <c r="B14" s="11" t="s">
        <v>242</v>
      </c>
      <c r="C14" s="13">
        <v>2443</v>
      </c>
      <c r="D14" s="13">
        <v>1175</v>
      </c>
      <c r="E14" s="13">
        <v>1268</v>
      </c>
    </row>
    <row r="15" spans="1:5" x14ac:dyDescent="0.25">
      <c r="A15" s="11">
        <v>1997</v>
      </c>
      <c r="B15" s="11" t="s">
        <v>265</v>
      </c>
      <c r="C15" s="13">
        <v>6788</v>
      </c>
      <c r="D15" s="13">
        <v>3249</v>
      </c>
      <c r="E15" s="13">
        <v>3539</v>
      </c>
    </row>
    <row r="16" spans="1:5" x14ac:dyDescent="0.25">
      <c r="A16" s="11">
        <v>1997</v>
      </c>
      <c r="B16" s="11" t="s">
        <v>266</v>
      </c>
      <c r="C16" s="13">
        <v>9172</v>
      </c>
      <c r="D16" s="13">
        <v>4522</v>
      </c>
      <c r="E16" s="13">
        <v>4650</v>
      </c>
    </row>
    <row r="17" spans="1:5" x14ac:dyDescent="0.25">
      <c r="A17" s="11">
        <v>1997</v>
      </c>
      <c r="B17" s="11" t="s">
        <v>267</v>
      </c>
      <c r="C17" s="13">
        <v>224</v>
      </c>
      <c r="D17" s="13">
        <v>102</v>
      </c>
      <c r="E17" s="13">
        <v>122</v>
      </c>
    </row>
    <row r="18" spans="1:5" x14ac:dyDescent="0.25">
      <c r="A18" s="11">
        <v>1997</v>
      </c>
      <c r="B18" s="11" t="s">
        <v>268</v>
      </c>
      <c r="C18" s="13">
        <v>286</v>
      </c>
      <c r="D18" s="13">
        <v>157</v>
      </c>
      <c r="E18" s="13">
        <v>129</v>
      </c>
    </row>
    <row r="19" spans="1:5" x14ac:dyDescent="0.25">
      <c r="A19" s="11">
        <v>1997</v>
      </c>
      <c r="B19" s="11" t="s">
        <v>269</v>
      </c>
      <c r="C19" s="13">
        <v>4404</v>
      </c>
      <c r="D19" s="13">
        <v>2150</v>
      </c>
      <c r="E19" s="13">
        <v>2254</v>
      </c>
    </row>
    <row r="20" spans="1:5" x14ac:dyDescent="0.25">
      <c r="A20" s="11">
        <v>1997</v>
      </c>
      <c r="B20" s="11" t="s">
        <v>270</v>
      </c>
      <c r="C20" s="13">
        <v>252</v>
      </c>
      <c r="D20" s="13">
        <v>128</v>
      </c>
      <c r="E20" s="13">
        <v>124</v>
      </c>
    </row>
    <row r="21" spans="1:5" x14ac:dyDescent="0.25">
      <c r="A21" s="11">
        <v>1998</v>
      </c>
      <c r="B21" s="11" t="s">
        <v>11</v>
      </c>
      <c r="C21" s="13">
        <v>57319</v>
      </c>
      <c r="D21" s="13">
        <v>27823</v>
      </c>
      <c r="E21" s="13">
        <v>29496</v>
      </c>
    </row>
    <row r="22" spans="1:5" x14ac:dyDescent="0.25">
      <c r="A22" s="11">
        <v>1998</v>
      </c>
      <c r="B22" s="11" t="s">
        <v>297</v>
      </c>
      <c r="C22" s="13">
        <v>4646</v>
      </c>
      <c r="D22" s="13">
        <v>2282</v>
      </c>
      <c r="E22" s="13">
        <v>2364</v>
      </c>
    </row>
    <row r="23" spans="1:5" x14ac:dyDescent="0.25">
      <c r="A23" s="11">
        <v>1998</v>
      </c>
      <c r="B23" s="11" t="s">
        <v>260</v>
      </c>
      <c r="C23" s="13">
        <v>4056</v>
      </c>
      <c r="D23" s="13">
        <v>1973</v>
      </c>
      <c r="E23" s="13">
        <v>2083</v>
      </c>
    </row>
    <row r="24" spans="1:5" x14ac:dyDescent="0.25">
      <c r="A24" s="11">
        <v>1998</v>
      </c>
      <c r="B24" s="11" t="s">
        <v>261</v>
      </c>
      <c r="C24" s="13">
        <v>1038</v>
      </c>
      <c r="D24" s="13">
        <v>501</v>
      </c>
      <c r="E24" s="13">
        <v>537</v>
      </c>
    </row>
    <row r="25" spans="1:5" x14ac:dyDescent="0.25">
      <c r="A25" s="11">
        <v>1998</v>
      </c>
      <c r="B25" s="11" t="s">
        <v>233</v>
      </c>
      <c r="C25" s="13">
        <v>1514</v>
      </c>
      <c r="D25" s="13">
        <v>734</v>
      </c>
      <c r="E25" s="13">
        <v>780</v>
      </c>
    </row>
    <row r="26" spans="1:5" x14ac:dyDescent="0.25">
      <c r="A26" s="11">
        <v>1998</v>
      </c>
      <c r="B26" s="11" t="s">
        <v>240</v>
      </c>
      <c r="C26" s="13">
        <v>3854</v>
      </c>
      <c r="D26" s="13">
        <v>1886</v>
      </c>
      <c r="E26" s="13">
        <v>1968</v>
      </c>
    </row>
    <row r="27" spans="1:5" x14ac:dyDescent="0.25">
      <c r="A27" s="11">
        <v>1998</v>
      </c>
      <c r="B27" s="11" t="s">
        <v>262</v>
      </c>
      <c r="C27" s="13">
        <v>3158</v>
      </c>
      <c r="D27" s="13">
        <v>1504</v>
      </c>
      <c r="E27" s="13">
        <v>1654</v>
      </c>
    </row>
    <row r="28" spans="1:5" x14ac:dyDescent="0.25">
      <c r="A28" s="11">
        <v>1998</v>
      </c>
      <c r="B28" s="11" t="s">
        <v>263</v>
      </c>
      <c r="C28" s="13">
        <v>5967</v>
      </c>
      <c r="D28" s="13">
        <v>2881</v>
      </c>
      <c r="E28" s="13">
        <v>3086</v>
      </c>
    </row>
    <row r="29" spans="1:5" x14ac:dyDescent="0.25">
      <c r="A29" s="11">
        <v>1998</v>
      </c>
      <c r="B29" s="11" t="s">
        <v>298</v>
      </c>
      <c r="C29" s="13">
        <v>10294</v>
      </c>
      <c r="D29" s="13">
        <v>4939</v>
      </c>
      <c r="E29" s="13">
        <v>5355</v>
      </c>
    </row>
    <row r="30" spans="1:5" x14ac:dyDescent="0.25">
      <c r="A30" s="11">
        <v>1998</v>
      </c>
      <c r="B30" s="11" t="s">
        <v>242</v>
      </c>
      <c r="C30" s="13">
        <v>2451</v>
      </c>
      <c r="D30" s="13">
        <v>1175</v>
      </c>
      <c r="E30" s="13">
        <v>1276</v>
      </c>
    </row>
    <row r="31" spans="1:5" x14ac:dyDescent="0.25">
      <c r="A31" s="11">
        <v>1998</v>
      </c>
      <c r="B31" s="11" t="s">
        <v>265</v>
      </c>
      <c r="C31" s="13">
        <v>6607</v>
      </c>
      <c r="D31" s="13">
        <v>3225</v>
      </c>
      <c r="E31" s="13">
        <v>3382</v>
      </c>
    </row>
    <row r="32" spans="1:5" x14ac:dyDescent="0.25">
      <c r="A32" s="11">
        <v>1998</v>
      </c>
      <c r="B32" s="11" t="s">
        <v>266</v>
      </c>
      <c r="C32" s="13">
        <v>8805</v>
      </c>
      <c r="D32" s="13">
        <v>4320</v>
      </c>
      <c r="E32" s="13">
        <v>4485</v>
      </c>
    </row>
    <row r="33" spans="1:5" x14ac:dyDescent="0.25">
      <c r="A33" s="11">
        <v>1998</v>
      </c>
      <c r="B33" s="11" t="s">
        <v>267</v>
      </c>
      <c r="C33" s="13">
        <v>194</v>
      </c>
      <c r="D33" s="13">
        <v>91</v>
      </c>
      <c r="E33" s="13">
        <v>103</v>
      </c>
    </row>
    <row r="34" spans="1:5" x14ac:dyDescent="0.25">
      <c r="A34" s="11">
        <v>1998</v>
      </c>
      <c r="B34" s="11" t="s">
        <v>268</v>
      </c>
      <c r="C34" s="13">
        <v>265</v>
      </c>
      <c r="D34" s="13">
        <v>139</v>
      </c>
      <c r="E34" s="13">
        <v>126</v>
      </c>
    </row>
    <row r="35" spans="1:5" x14ac:dyDescent="0.25">
      <c r="A35" s="11">
        <v>1998</v>
      </c>
      <c r="B35" s="11" t="s">
        <v>269</v>
      </c>
      <c r="C35" s="13">
        <v>4196</v>
      </c>
      <c r="D35" s="13">
        <v>2030</v>
      </c>
      <c r="E35" s="13">
        <v>2166</v>
      </c>
    </row>
    <row r="36" spans="1:5" x14ac:dyDescent="0.25">
      <c r="A36" s="11">
        <v>1998</v>
      </c>
      <c r="B36" s="11" t="s">
        <v>270</v>
      </c>
      <c r="C36" s="13">
        <v>274</v>
      </c>
      <c r="D36" s="13">
        <v>143</v>
      </c>
      <c r="E36" s="13">
        <v>131</v>
      </c>
    </row>
    <row r="37" spans="1:5" x14ac:dyDescent="0.25">
      <c r="A37" s="11">
        <v>1999</v>
      </c>
      <c r="B37" s="11" t="s">
        <v>11</v>
      </c>
      <c r="C37" s="13">
        <v>55147</v>
      </c>
      <c r="D37" s="13">
        <v>26901</v>
      </c>
      <c r="E37" s="13">
        <v>28246</v>
      </c>
    </row>
    <row r="38" spans="1:5" x14ac:dyDescent="0.25">
      <c r="A38" s="11">
        <v>1999</v>
      </c>
      <c r="B38" s="11" t="s">
        <v>297</v>
      </c>
      <c r="C38" s="13">
        <v>4538</v>
      </c>
      <c r="D38" s="13">
        <v>2234</v>
      </c>
      <c r="E38" s="13">
        <v>2304</v>
      </c>
    </row>
    <row r="39" spans="1:5" x14ac:dyDescent="0.25">
      <c r="A39" s="11">
        <v>1999</v>
      </c>
      <c r="B39" s="11" t="s">
        <v>260</v>
      </c>
      <c r="C39" s="13">
        <v>3740</v>
      </c>
      <c r="D39" s="13">
        <v>1815</v>
      </c>
      <c r="E39" s="13">
        <v>1925</v>
      </c>
    </row>
    <row r="40" spans="1:5" x14ac:dyDescent="0.25">
      <c r="A40" s="11">
        <v>1999</v>
      </c>
      <c r="B40" s="11" t="s">
        <v>261</v>
      </c>
      <c r="C40" s="13">
        <v>1054</v>
      </c>
      <c r="D40" s="13">
        <v>523</v>
      </c>
      <c r="E40" s="13">
        <v>531</v>
      </c>
    </row>
    <row r="41" spans="1:5" x14ac:dyDescent="0.25">
      <c r="A41" s="11">
        <v>1999</v>
      </c>
      <c r="B41" s="11" t="s">
        <v>233</v>
      </c>
      <c r="C41" s="13">
        <v>1402</v>
      </c>
      <c r="D41" s="13">
        <v>684</v>
      </c>
      <c r="E41" s="13">
        <v>718</v>
      </c>
    </row>
    <row r="42" spans="1:5" x14ac:dyDescent="0.25">
      <c r="A42" s="11">
        <v>1999</v>
      </c>
      <c r="B42" s="11" t="s">
        <v>240</v>
      </c>
      <c r="C42" s="13">
        <v>3655</v>
      </c>
      <c r="D42" s="13">
        <v>1761</v>
      </c>
      <c r="E42" s="13">
        <v>1894</v>
      </c>
    </row>
    <row r="43" spans="1:5" x14ac:dyDescent="0.25">
      <c r="A43" s="11">
        <v>1999</v>
      </c>
      <c r="B43" s="11" t="s">
        <v>262</v>
      </c>
      <c r="C43" s="13">
        <v>3029</v>
      </c>
      <c r="D43" s="13">
        <v>1482</v>
      </c>
      <c r="E43" s="13">
        <v>1547</v>
      </c>
    </row>
    <row r="44" spans="1:5" x14ac:dyDescent="0.25">
      <c r="A44" s="11">
        <v>1999</v>
      </c>
      <c r="B44" s="11" t="s">
        <v>263</v>
      </c>
      <c r="C44" s="13">
        <v>5785</v>
      </c>
      <c r="D44" s="13">
        <v>2817</v>
      </c>
      <c r="E44" s="13">
        <v>2968</v>
      </c>
    </row>
    <row r="45" spans="1:5" x14ac:dyDescent="0.25">
      <c r="A45" s="11">
        <v>1999</v>
      </c>
      <c r="B45" s="11" t="s">
        <v>298</v>
      </c>
      <c r="C45" s="13">
        <v>9861</v>
      </c>
      <c r="D45" s="13">
        <v>4841</v>
      </c>
      <c r="E45" s="13">
        <v>5020</v>
      </c>
    </row>
    <row r="46" spans="1:5" x14ac:dyDescent="0.25">
      <c r="A46" s="11">
        <v>1999</v>
      </c>
      <c r="B46" s="11" t="s">
        <v>242</v>
      </c>
      <c r="C46" s="13">
        <v>2223</v>
      </c>
      <c r="D46" s="13">
        <v>1016</v>
      </c>
      <c r="E46" s="13">
        <v>1207</v>
      </c>
    </row>
    <row r="47" spans="1:5" x14ac:dyDescent="0.25">
      <c r="A47" s="11">
        <v>1999</v>
      </c>
      <c r="B47" s="11" t="s">
        <v>265</v>
      </c>
      <c r="C47" s="13">
        <v>6454</v>
      </c>
      <c r="D47" s="13">
        <v>3140</v>
      </c>
      <c r="E47" s="13">
        <v>3314</v>
      </c>
    </row>
    <row r="48" spans="1:5" x14ac:dyDescent="0.25">
      <c r="A48" s="11">
        <v>1999</v>
      </c>
      <c r="B48" s="11" t="s">
        <v>266</v>
      </c>
      <c r="C48" s="13">
        <v>8690</v>
      </c>
      <c r="D48" s="13">
        <v>4331</v>
      </c>
      <c r="E48" s="13">
        <v>4359</v>
      </c>
    </row>
    <row r="49" spans="1:5" x14ac:dyDescent="0.25">
      <c r="A49" s="11">
        <v>1999</v>
      </c>
      <c r="B49" s="11" t="s">
        <v>267</v>
      </c>
      <c r="C49" s="13">
        <v>188</v>
      </c>
      <c r="D49" s="13">
        <v>93</v>
      </c>
      <c r="E49" s="13">
        <v>95</v>
      </c>
    </row>
    <row r="50" spans="1:5" x14ac:dyDescent="0.25">
      <c r="A50" s="11">
        <v>1999</v>
      </c>
      <c r="B50" s="11" t="s">
        <v>268</v>
      </c>
      <c r="C50" s="13">
        <v>284</v>
      </c>
      <c r="D50" s="13">
        <v>144</v>
      </c>
      <c r="E50" s="13">
        <v>140</v>
      </c>
    </row>
    <row r="51" spans="1:5" x14ac:dyDescent="0.25">
      <c r="A51" s="11">
        <v>1999</v>
      </c>
      <c r="B51" s="11" t="s">
        <v>269</v>
      </c>
      <c r="C51" s="13">
        <v>3979</v>
      </c>
      <c r="D51" s="13">
        <v>1897</v>
      </c>
      <c r="E51" s="13">
        <v>2082</v>
      </c>
    </row>
    <row r="52" spans="1:5" x14ac:dyDescent="0.25">
      <c r="A52" s="11">
        <v>1999</v>
      </c>
      <c r="B52" s="11" t="s">
        <v>270</v>
      </c>
      <c r="C52" s="13">
        <v>265</v>
      </c>
      <c r="D52" s="13">
        <v>123</v>
      </c>
      <c r="E52" s="13">
        <v>142</v>
      </c>
    </row>
    <row r="53" spans="1:5" x14ac:dyDescent="0.25">
      <c r="A53" s="11">
        <v>2000</v>
      </c>
      <c r="B53" s="11" t="s">
        <v>11</v>
      </c>
      <c r="C53" s="13">
        <v>53076</v>
      </c>
      <c r="D53" s="13">
        <v>25880</v>
      </c>
      <c r="E53" s="13">
        <v>27196</v>
      </c>
    </row>
    <row r="54" spans="1:5" x14ac:dyDescent="0.25">
      <c r="A54" s="11">
        <v>2000</v>
      </c>
      <c r="B54" s="11" t="s">
        <v>297</v>
      </c>
      <c r="C54" s="13">
        <v>4421</v>
      </c>
      <c r="D54" s="13">
        <v>2181</v>
      </c>
      <c r="E54" s="13">
        <v>2240</v>
      </c>
    </row>
    <row r="55" spans="1:5" x14ac:dyDescent="0.25">
      <c r="A55" s="11">
        <v>2000</v>
      </c>
      <c r="B55" s="11" t="s">
        <v>260</v>
      </c>
      <c r="C55" s="13">
        <v>3671</v>
      </c>
      <c r="D55" s="13">
        <v>1821</v>
      </c>
      <c r="E55" s="13">
        <v>1850</v>
      </c>
    </row>
    <row r="56" spans="1:5" x14ac:dyDescent="0.25">
      <c r="A56" s="11">
        <v>2000</v>
      </c>
      <c r="B56" s="11" t="s">
        <v>261</v>
      </c>
      <c r="C56" s="13">
        <v>1068</v>
      </c>
      <c r="D56" s="13">
        <v>529</v>
      </c>
      <c r="E56" s="13">
        <v>539</v>
      </c>
    </row>
    <row r="57" spans="1:5" x14ac:dyDescent="0.25">
      <c r="A57" s="11">
        <v>2000</v>
      </c>
      <c r="B57" s="11" t="s">
        <v>233</v>
      </c>
      <c r="C57" s="13">
        <v>1369</v>
      </c>
      <c r="D57" s="13">
        <v>670</v>
      </c>
      <c r="E57" s="13">
        <v>699</v>
      </c>
    </row>
    <row r="58" spans="1:5" x14ac:dyDescent="0.25">
      <c r="A58" s="11">
        <v>2000</v>
      </c>
      <c r="B58" s="11" t="s">
        <v>240</v>
      </c>
      <c r="C58" s="13">
        <v>3498</v>
      </c>
      <c r="D58" s="13">
        <v>1674</v>
      </c>
      <c r="E58" s="13">
        <v>1824</v>
      </c>
    </row>
    <row r="59" spans="1:5" x14ac:dyDescent="0.25">
      <c r="A59" s="11">
        <v>2000</v>
      </c>
      <c r="B59" s="11" t="s">
        <v>262</v>
      </c>
      <c r="C59" s="13">
        <v>2921</v>
      </c>
      <c r="D59" s="13">
        <v>1451</v>
      </c>
      <c r="E59" s="13">
        <v>1470</v>
      </c>
    </row>
    <row r="60" spans="1:5" x14ac:dyDescent="0.25">
      <c r="A60" s="11">
        <v>2000</v>
      </c>
      <c r="B60" s="11" t="s">
        <v>263</v>
      </c>
      <c r="C60" s="13">
        <v>5320</v>
      </c>
      <c r="D60" s="13">
        <v>2530</v>
      </c>
      <c r="E60" s="13">
        <v>2790</v>
      </c>
    </row>
    <row r="61" spans="1:5" x14ac:dyDescent="0.25">
      <c r="A61" s="11">
        <v>2000</v>
      </c>
      <c r="B61" s="11" t="s">
        <v>298</v>
      </c>
      <c r="C61" s="13">
        <v>9504</v>
      </c>
      <c r="D61" s="13">
        <v>4564</v>
      </c>
      <c r="E61" s="13">
        <v>4940</v>
      </c>
    </row>
    <row r="62" spans="1:5" x14ac:dyDescent="0.25">
      <c r="A62" s="11">
        <v>2000</v>
      </c>
      <c r="B62" s="11" t="s">
        <v>242</v>
      </c>
      <c r="C62" s="13">
        <v>2153</v>
      </c>
      <c r="D62" s="13">
        <v>1025</v>
      </c>
      <c r="E62" s="13">
        <v>1128</v>
      </c>
    </row>
    <row r="63" spans="1:5" x14ac:dyDescent="0.25">
      <c r="A63" s="11">
        <v>2000</v>
      </c>
      <c r="B63" s="11" t="s">
        <v>265</v>
      </c>
      <c r="C63" s="13">
        <v>6220</v>
      </c>
      <c r="D63" s="13">
        <v>3081</v>
      </c>
      <c r="E63" s="13">
        <v>3139</v>
      </c>
    </row>
    <row r="64" spans="1:5" x14ac:dyDescent="0.25">
      <c r="A64" s="11">
        <v>2000</v>
      </c>
      <c r="B64" s="11" t="s">
        <v>266</v>
      </c>
      <c r="C64" s="13">
        <v>8479</v>
      </c>
      <c r="D64" s="13">
        <v>4181</v>
      </c>
      <c r="E64" s="13">
        <v>4298</v>
      </c>
    </row>
    <row r="65" spans="1:5" x14ac:dyDescent="0.25">
      <c r="A65" s="11">
        <v>2000</v>
      </c>
      <c r="B65" s="11" t="s">
        <v>267</v>
      </c>
      <c r="C65" s="13">
        <v>152</v>
      </c>
      <c r="D65" s="13">
        <v>83</v>
      </c>
      <c r="E65" s="13">
        <v>69</v>
      </c>
    </row>
    <row r="66" spans="1:5" x14ac:dyDescent="0.25">
      <c r="A66" s="11">
        <v>2000</v>
      </c>
      <c r="B66" s="11" t="s">
        <v>268</v>
      </c>
      <c r="C66" s="13">
        <v>226</v>
      </c>
      <c r="D66" s="13">
        <v>109</v>
      </c>
      <c r="E66" s="13">
        <v>117</v>
      </c>
    </row>
    <row r="67" spans="1:5" x14ac:dyDescent="0.25">
      <c r="A67" s="11">
        <v>2000</v>
      </c>
      <c r="B67" s="11" t="s">
        <v>269</v>
      </c>
      <c r="C67" s="13">
        <v>3846</v>
      </c>
      <c r="D67" s="13">
        <v>1873</v>
      </c>
      <c r="E67" s="13">
        <v>1973</v>
      </c>
    </row>
    <row r="68" spans="1:5" x14ac:dyDescent="0.25">
      <c r="A68" s="11">
        <v>2000</v>
      </c>
      <c r="B68" s="11" t="s">
        <v>270</v>
      </c>
      <c r="C68" s="13">
        <v>228</v>
      </c>
      <c r="D68" s="13">
        <v>108</v>
      </c>
      <c r="E68" s="13">
        <v>120</v>
      </c>
    </row>
    <row r="69" spans="1:5" x14ac:dyDescent="0.25">
      <c r="A69" s="11">
        <v>2001</v>
      </c>
      <c r="B69" s="11" t="s">
        <v>11</v>
      </c>
      <c r="C69" s="13">
        <v>52527</v>
      </c>
      <c r="D69" s="13">
        <v>25741</v>
      </c>
      <c r="E69" s="13">
        <v>26786</v>
      </c>
    </row>
    <row r="70" spans="1:5" x14ac:dyDescent="0.25">
      <c r="A70" s="11">
        <v>2001</v>
      </c>
      <c r="B70" s="11" t="s">
        <v>297</v>
      </c>
      <c r="C70" s="13">
        <v>4136</v>
      </c>
      <c r="D70" s="13">
        <v>2056</v>
      </c>
      <c r="E70" s="13">
        <v>2080</v>
      </c>
    </row>
    <row r="71" spans="1:5" x14ac:dyDescent="0.25">
      <c r="A71" s="11">
        <v>2001</v>
      </c>
      <c r="B71" s="11" t="s">
        <v>260</v>
      </c>
      <c r="C71" s="13">
        <v>3675</v>
      </c>
      <c r="D71" s="13">
        <v>1807</v>
      </c>
      <c r="E71" s="13">
        <v>1868</v>
      </c>
    </row>
    <row r="72" spans="1:5" x14ac:dyDescent="0.25">
      <c r="A72" s="11">
        <v>2001</v>
      </c>
      <c r="B72" s="11" t="s">
        <v>261</v>
      </c>
      <c r="C72" s="13">
        <v>1066</v>
      </c>
      <c r="D72" s="13">
        <v>537</v>
      </c>
      <c r="E72" s="13">
        <v>529</v>
      </c>
    </row>
    <row r="73" spans="1:5" x14ac:dyDescent="0.25">
      <c r="A73" s="11">
        <v>2001</v>
      </c>
      <c r="B73" s="11" t="s">
        <v>233</v>
      </c>
      <c r="C73" s="13">
        <v>1283</v>
      </c>
      <c r="D73" s="13">
        <v>622</v>
      </c>
      <c r="E73" s="13">
        <v>661</v>
      </c>
    </row>
    <row r="74" spans="1:5" x14ac:dyDescent="0.25">
      <c r="A74" s="11">
        <v>2001</v>
      </c>
      <c r="B74" s="11" t="s">
        <v>240</v>
      </c>
      <c r="C74" s="13">
        <v>3642</v>
      </c>
      <c r="D74" s="13">
        <v>1782</v>
      </c>
      <c r="E74" s="13">
        <v>1860</v>
      </c>
    </row>
    <row r="75" spans="1:5" x14ac:dyDescent="0.25">
      <c r="A75" s="11">
        <v>2001</v>
      </c>
      <c r="B75" s="11" t="s">
        <v>262</v>
      </c>
      <c r="C75" s="13">
        <v>2817</v>
      </c>
      <c r="D75" s="13">
        <v>1403</v>
      </c>
      <c r="E75" s="13">
        <v>1414</v>
      </c>
    </row>
    <row r="76" spans="1:5" x14ac:dyDescent="0.25">
      <c r="A76" s="11">
        <v>2001</v>
      </c>
      <c r="B76" s="11" t="s">
        <v>263</v>
      </c>
      <c r="C76" s="13">
        <v>5213</v>
      </c>
      <c r="D76" s="13">
        <v>2558</v>
      </c>
      <c r="E76" s="13">
        <v>2655</v>
      </c>
    </row>
    <row r="77" spans="1:5" x14ac:dyDescent="0.25">
      <c r="A77" s="11">
        <v>2001</v>
      </c>
      <c r="B77" s="11" t="s">
        <v>298</v>
      </c>
      <c r="C77" s="13">
        <v>9656</v>
      </c>
      <c r="D77" s="13">
        <v>4712</v>
      </c>
      <c r="E77" s="13">
        <v>4944</v>
      </c>
    </row>
    <row r="78" spans="1:5" x14ac:dyDescent="0.25">
      <c r="A78" s="11">
        <v>2001</v>
      </c>
      <c r="B78" s="11" t="s">
        <v>242</v>
      </c>
      <c r="C78" s="13">
        <v>2131</v>
      </c>
      <c r="D78" s="13">
        <v>1021</v>
      </c>
      <c r="E78" s="13">
        <v>1110</v>
      </c>
    </row>
    <row r="79" spans="1:5" x14ac:dyDescent="0.25">
      <c r="A79" s="11">
        <v>2001</v>
      </c>
      <c r="B79" s="11" t="s">
        <v>265</v>
      </c>
      <c r="C79" s="13">
        <v>6025</v>
      </c>
      <c r="D79" s="13">
        <v>2918</v>
      </c>
      <c r="E79" s="13">
        <v>3107</v>
      </c>
    </row>
    <row r="80" spans="1:5" x14ac:dyDescent="0.25">
      <c r="A80" s="11">
        <v>2001</v>
      </c>
      <c r="B80" s="11" t="s">
        <v>266</v>
      </c>
      <c r="C80" s="13">
        <v>8331</v>
      </c>
      <c r="D80" s="13">
        <v>4123</v>
      </c>
      <c r="E80" s="13">
        <v>4208</v>
      </c>
    </row>
    <row r="81" spans="1:5" x14ac:dyDescent="0.25">
      <c r="A81" s="11">
        <v>2001</v>
      </c>
      <c r="B81" s="11" t="s">
        <v>267</v>
      </c>
      <c r="C81" s="13">
        <v>174</v>
      </c>
      <c r="D81" s="13">
        <v>93</v>
      </c>
      <c r="E81" s="13">
        <v>81</v>
      </c>
    </row>
    <row r="82" spans="1:5" x14ac:dyDescent="0.25">
      <c r="A82" s="11">
        <v>2001</v>
      </c>
      <c r="B82" s="11" t="s">
        <v>268</v>
      </c>
      <c r="C82" s="13">
        <v>247</v>
      </c>
      <c r="D82" s="13">
        <v>115</v>
      </c>
      <c r="E82" s="13">
        <v>132</v>
      </c>
    </row>
    <row r="83" spans="1:5" x14ac:dyDescent="0.25">
      <c r="A83" s="11">
        <v>2001</v>
      </c>
      <c r="B83" s="11" t="s">
        <v>269</v>
      </c>
      <c r="C83" s="13">
        <v>3905</v>
      </c>
      <c r="D83" s="13">
        <v>1885</v>
      </c>
      <c r="E83" s="13">
        <v>2020</v>
      </c>
    </row>
    <row r="84" spans="1:5" x14ac:dyDescent="0.25">
      <c r="A84" s="11">
        <v>2001</v>
      </c>
      <c r="B84" s="11" t="s">
        <v>270</v>
      </c>
      <c r="C84" s="13">
        <v>226</v>
      </c>
      <c r="D84" s="13">
        <v>109</v>
      </c>
      <c r="E84" s="13">
        <v>117</v>
      </c>
    </row>
    <row r="85" spans="1:5" x14ac:dyDescent="0.25">
      <c r="A85" s="11">
        <v>2002</v>
      </c>
      <c r="B85" s="11" t="s">
        <v>11</v>
      </c>
      <c r="C85" s="13">
        <v>51270</v>
      </c>
      <c r="D85" s="13">
        <v>25052</v>
      </c>
      <c r="E85" s="13">
        <v>26218</v>
      </c>
    </row>
    <row r="86" spans="1:5" x14ac:dyDescent="0.25">
      <c r="A86" s="11">
        <v>2002</v>
      </c>
      <c r="B86" s="11" t="s">
        <v>297</v>
      </c>
      <c r="C86" s="13">
        <v>4028</v>
      </c>
      <c r="D86" s="13">
        <v>1999</v>
      </c>
      <c r="E86" s="13">
        <v>2029</v>
      </c>
    </row>
    <row r="87" spans="1:5" x14ac:dyDescent="0.25">
      <c r="A87" s="11">
        <v>2002</v>
      </c>
      <c r="B87" s="11" t="s">
        <v>260</v>
      </c>
      <c r="C87" s="13">
        <v>3491</v>
      </c>
      <c r="D87" s="13">
        <v>1691</v>
      </c>
      <c r="E87" s="13">
        <v>1800</v>
      </c>
    </row>
    <row r="88" spans="1:5" x14ac:dyDescent="0.25">
      <c r="A88" s="11">
        <v>2002</v>
      </c>
      <c r="B88" s="11" t="s">
        <v>261</v>
      </c>
      <c r="C88" s="13">
        <v>1021</v>
      </c>
      <c r="D88" s="13">
        <v>499</v>
      </c>
      <c r="E88" s="13">
        <v>522</v>
      </c>
    </row>
    <row r="89" spans="1:5" x14ac:dyDescent="0.25">
      <c r="A89" s="11">
        <v>2002</v>
      </c>
      <c r="B89" s="11" t="s">
        <v>233</v>
      </c>
      <c r="C89" s="13">
        <v>1343</v>
      </c>
      <c r="D89" s="13">
        <v>639</v>
      </c>
      <c r="E89" s="13">
        <v>704</v>
      </c>
    </row>
    <row r="90" spans="1:5" x14ac:dyDescent="0.25">
      <c r="A90" s="11">
        <v>2002</v>
      </c>
      <c r="B90" s="11" t="s">
        <v>240</v>
      </c>
      <c r="C90" s="13">
        <v>3536</v>
      </c>
      <c r="D90" s="13">
        <v>1711</v>
      </c>
      <c r="E90" s="13">
        <v>1825</v>
      </c>
    </row>
    <row r="91" spans="1:5" x14ac:dyDescent="0.25">
      <c r="A91" s="11">
        <v>2002</v>
      </c>
      <c r="B91" s="11" t="s">
        <v>262</v>
      </c>
      <c r="C91" s="13">
        <v>2820</v>
      </c>
      <c r="D91" s="13">
        <v>1357</v>
      </c>
      <c r="E91" s="13">
        <v>1463</v>
      </c>
    </row>
    <row r="92" spans="1:5" x14ac:dyDescent="0.25">
      <c r="A92" s="11">
        <v>2002</v>
      </c>
      <c r="B92" s="11" t="s">
        <v>263</v>
      </c>
      <c r="C92" s="13">
        <v>5300</v>
      </c>
      <c r="D92" s="13">
        <v>2570</v>
      </c>
      <c r="E92" s="13">
        <v>2730</v>
      </c>
    </row>
    <row r="93" spans="1:5" x14ac:dyDescent="0.25">
      <c r="A93" s="11">
        <v>2002</v>
      </c>
      <c r="B93" s="11" t="s">
        <v>298</v>
      </c>
      <c r="C93" s="13">
        <v>9242</v>
      </c>
      <c r="D93" s="13">
        <v>4536</v>
      </c>
      <c r="E93" s="13">
        <v>4706</v>
      </c>
    </row>
    <row r="94" spans="1:5" x14ac:dyDescent="0.25">
      <c r="A94" s="11">
        <v>2002</v>
      </c>
      <c r="B94" s="11" t="s">
        <v>242</v>
      </c>
      <c r="C94" s="13">
        <v>1977</v>
      </c>
      <c r="D94" s="13">
        <v>993</v>
      </c>
      <c r="E94" s="13">
        <v>984</v>
      </c>
    </row>
    <row r="95" spans="1:5" x14ac:dyDescent="0.25">
      <c r="A95" s="11">
        <v>2002</v>
      </c>
      <c r="B95" s="11" t="s">
        <v>265</v>
      </c>
      <c r="C95" s="13">
        <v>5992</v>
      </c>
      <c r="D95" s="13">
        <v>2991</v>
      </c>
      <c r="E95" s="13">
        <v>3001</v>
      </c>
    </row>
    <row r="96" spans="1:5" x14ac:dyDescent="0.25">
      <c r="A96" s="11">
        <v>2002</v>
      </c>
      <c r="B96" s="11" t="s">
        <v>266</v>
      </c>
      <c r="C96" s="13">
        <v>8210</v>
      </c>
      <c r="D96" s="13">
        <v>3969</v>
      </c>
      <c r="E96" s="13">
        <v>4241</v>
      </c>
    </row>
    <row r="97" spans="1:5" x14ac:dyDescent="0.25">
      <c r="A97" s="11">
        <v>2002</v>
      </c>
      <c r="B97" s="11" t="s">
        <v>267</v>
      </c>
      <c r="C97" s="13">
        <v>164</v>
      </c>
      <c r="D97" s="13">
        <v>91</v>
      </c>
      <c r="E97" s="13">
        <v>73</v>
      </c>
    </row>
    <row r="98" spans="1:5" x14ac:dyDescent="0.25">
      <c r="A98" s="11">
        <v>2002</v>
      </c>
      <c r="B98" s="11" t="s">
        <v>268</v>
      </c>
      <c r="C98" s="13">
        <v>209</v>
      </c>
      <c r="D98" s="13">
        <v>85</v>
      </c>
      <c r="E98" s="13">
        <v>124</v>
      </c>
    </row>
    <row r="99" spans="1:5" x14ac:dyDescent="0.25">
      <c r="A99" s="11">
        <v>2002</v>
      </c>
      <c r="B99" s="11" t="s">
        <v>269</v>
      </c>
      <c r="C99" s="13">
        <v>3695</v>
      </c>
      <c r="D99" s="13">
        <v>1793</v>
      </c>
      <c r="E99" s="13">
        <v>1902</v>
      </c>
    </row>
    <row r="100" spans="1:5" x14ac:dyDescent="0.25">
      <c r="A100" s="11">
        <v>2002</v>
      </c>
      <c r="B100" s="11" t="s">
        <v>270</v>
      </c>
      <c r="C100" s="13">
        <v>242</v>
      </c>
      <c r="D100" s="13">
        <v>128</v>
      </c>
      <c r="E100" s="13">
        <v>114</v>
      </c>
    </row>
    <row r="101" spans="1:5" x14ac:dyDescent="0.25">
      <c r="A101" s="11">
        <v>2003</v>
      </c>
      <c r="B101" s="11" t="s">
        <v>11</v>
      </c>
      <c r="C101" s="13">
        <v>52432</v>
      </c>
      <c r="D101" s="13">
        <v>25526</v>
      </c>
      <c r="E101" s="13">
        <v>26906</v>
      </c>
    </row>
    <row r="102" spans="1:5" x14ac:dyDescent="0.25">
      <c r="A102" s="11">
        <v>2003</v>
      </c>
      <c r="B102" s="11" t="s">
        <v>297</v>
      </c>
      <c r="C102" s="13">
        <v>4095</v>
      </c>
      <c r="D102" s="13">
        <v>2007</v>
      </c>
      <c r="E102" s="13">
        <v>2088</v>
      </c>
    </row>
    <row r="103" spans="1:5" x14ac:dyDescent="0.25">
      <c r="A103" s="11">
        <v>2003</v>
      </c>
      <c r="B103" s="11" t="s">
        <v>260</v>
      </c>
      <c r="C103" s="13">
        <v>3602</v>
      </c>
      <c r="D103" s="13">
        <v>1756</v>
      </c>
      <c r="E103" s="13">
        <v>1846</v>
      </c>
    </row>
    <row r="104" spans="1:5" x14ac:dyDescent="0.25">
      <c r="A104" s="11">
        <v>2003</v>
      </c>
      <c r="B104" s="11" t="s">
        <v>261</v>
      </c>
      <c r="C104" s="13">
        <v>1047</v>
      </c>
      <c r="D104" s="13">
        <v>519</v>
      </c>
      <c r="E104" s="13">
        <v>528</v>
      </c>
    </row>
    <row r="105" spans="1:5" x14ac:dyDescent="0.25">
      <c r="A105" s="11">
        <v>2003</v>
      </c>
      <c r="B105" s="11" t="s">
        <v>233</v>
      </c>
      <c r="C105" s="13">
        <v>1307</v>
      </c>
      <c r="D105" s="13">
        <v>661</v>
      </c>
      <c r="E105" s="13">
        <v>646</v>
      </c>
    </row>
    <row r="106" spans="1:5" x14ac:dyDescent="0.25">
      <c r="A106" s="11">
        <v>2003</v>
      </c>
      <c r="B106" s="11" t="s">
        <v>240</v>
      </c>
      <c r="C106" s="13">
        <v>3642</v>
      </c>
      <c r="D106" s="13">
        <v>1776</v>
      </c>
      <c r="E106" s="13">
        <v>1866</v>
      </c>
    </row>
    <row r="107" spans="1:5" x14ac:dyDescent="0.25">
      <c r="A107" s="11">
        <v>2003</v>
      </c>
      <c r="B107" s="11" t="s">
        <v>262</v>
      </c>
      <c r="C107" s="13">
        <v>2926</v>
      </c>
      <c r="D107" s="13">
        <v>1393</v>
      </c>
      <c r="E107" s="13">
        <v>1533</v>
      </c>
    </row>
    <row r="108" spans="1:5" x14ac:dyDescent="0.25">
      <c r="A108" s="11">
        <v>2003</v>
      </c>
      <c r="B108" s="11" t="s">
        <v>263</v>
      </c>
      <c r="C108" s="13">
        <v>5195</v>
      </c>
      <c r="D108" s="13">
        <v>2529</v>
      </c>
      <c r="E108" s="13">
        <v>2666</v>
      </c>
    </row>
    <row r="109" spans="1:5" x14ac:dyDescent="0.25">
      <c r="A109" s="11">
        <v>2003</v>
      </c>
      <c r="B109" s="11" t="s">
        <v>298</v>
      </c>
      <c r="C109" s="13">
        <v>9468</v>
      </c>
      <c r="D109" s="13">
        <v>4519</v>
      </c>
      <c r="E109" s="13">
        <v>4949</v>
      </c>
    </row>
    <row r="110" spans="1:5" x14ac:dyDescent="0.25">
      <c r="A110" s="11">
        <v>2003</v>
      </c>
      <c r="B110" s="11" t="s">
        <v>242</v>
      </c>
      <c r="C110" s="13">
        <v>2085</v>
      </c>
      <c r="D110" s="13">
        <v>1063</v>
      </c>
      <c r="E110" s="13">
        <v>1022</v>
      </c>
    </row>
    <row r="111" spans="1:5" x14ac:dyDescent="0.25">
      <c r="A111" s="11">
        <v>2003</v>
      </c>
      <c r="B111" s="11" t="s">
        <v>265</v>
      </c>
      <c r="C111" s="13">
        <v>6045</v>
      </c>
      <c r="D111" s="13">
        <v>2987</v>
      </c>
      <c r="E111" s="13">
        <v>3058</v>
      </c>
    </row>
    <row r="112" spans="1:5" x14ac:dyDescent="0.25">
      <c r="A112" s="11">
        <v>2003</v>
      </c>
      <c r="B112" s="11" t="s">
        <v>266</v>
      </c>
      <c r="C112" s="13">
        <v>8414</v>
      </c>
      <c r="D112" s="13">
        <v>4092</v>
      </c>
      <c r="E112" s="13">
        <v>4322</v>
      </c>
    </row>
    <row r="113" spans="1:5" x14ac:dyDescent="0.25">
      <c r="A113" s="11">
        <v>2003</v>
      </c>
      <c r="B113" s="11" t="s">
        <v>267</v>
      </c>
      <c r="C113" s="13">
        <v>171</v>
      </c>
      <c r="D113" s="13">
        <v>80</v>
      </c>
      <c r="E113" s="13">
        <v>91</v>
      </c>
    </row>
    <row r="114" spans="1:5" x14ac:dyDescent="0.25">
      <c r="A114" s="11">
        <v>2003</v>
      </c>
      <c r="B114" s="11" t="s">
        <v>268</v>
      </c>
      <c r="C114" s="13">
        <v>251</v>
      </c>
      <c r="D114" s="13">
        <v>118</v>
      </c>
      <c r="E114" s="13">
        <v>133</v>
      </c>
    </row>
    <row r="115" spans="1:5" x14ac:dyDescent="0.25">
      <c r="A115" s="11">
        <v>2003</v>
      </c>
      <c r="B115" s="11" t="s">
        <v>269</v>
      </c>
      <c r="C115" s="13">
        <v>3929</v>
      </c>
      <c r="D115" s="13">
        <v>1897</v>
      </c>
      <c r="E115" s="13">
        <v>2032</v>
      </c>
    </row>
    <row r="116" spans="1:5" x14ac:dyDescent="0.25">
      <c r="A116" s="11">
        <v>2003</v>
      </c>
      <c r="B116" s="11" t="s">
        <v>270</v>
      </c>
      <c r="C116" s="13">
        <v>255</v>
      </c>
      <c r="D116" s="13">
        <v>129</v>
      </c>
      <c r="E116" s="13">
        <v>126</v>
      </c>
    </row>
    <row r="117" spans="1:5" x14ac:dyDescent="0.25">
      <c r="A117" s="11">
        <v>2004</v>
      </c>
      <c r="B117" s="11" t="s">
        <v>11</v>
      </c>
      <c r="C117" s="13">
        <v>53957</v>
      </c>
      <c r="D117" s="13">
        <v>26188</v>
      </c>
      <c r="E117" s="13">
        <v>27769</v>
      </c>
    </row>
    <row r="118" spans="1:5" x14ac:dyDescent="0.25">
      <c r="A118" s="11">
        <v>2004</v>
      </c>
      <c r="B118" s="11" t="s">
        <v>297</v>
      </c>
      <c r="C118" s="13">
        <v>4390</v>
      </c>
      <c r="D118" s="13">
        <v>2137</v>
      </c>
      <c r="E118" s="13">
        <v>2253</v>
      </c>
    </row>
    <row r="119" spans="1:5" x14ac:dyDescent="0.25">
      <c r="A119" s="11">
        <v>2004</v>
      </c>
      <c r="B119" s="11" t="s">
        <v>260</v>
      </c>
      <c r="C119" s="13">
        <v>3707</v>
      </c>
      <c r="D119" s="13">
        <v>1793</v>
      </c>
      <c r="E119" s="13">
        <v>1914</v>
      </c>
    </row>
    <row r="120" spans="1:5" x14ac:dyDescent="0.25">
      <c r="A120" s="11">
        <v>2004</v>
      </c>
      <c r="B120" s="11" t="s">
        <v>261</v>
      </c>
      <c r="C120" s="13">
        <v>1051</v>
      </c>
      <c r="D120" s="13">
        <v>499</v>
      </c>
      <c r="E120" s="13">
        <v>552</v>
      </c>
    </row>
    <row r="121" spans="1:5" x14ac:dyDescent="0.25">
      <c r="A121" s="11">
        <v>2004</v>
      </c>
      <c r="B121" s="11" t="s">
        <v>233</v>
      </c>
      <c r="C121" s="13">
        <v>1431</v>
      </c>
      <c r="D121" s="13">
        <v>705</v>
      </c>
      <c r="E121" s="13">
        <v>726</v>
      </c>
    </row>
    <row r="122" spans="1:5" x14ac:dyDescent="0.25">
      <c r="A122" s="11">
        <v>2004</v>
      </c>
      <c r="B122" s="11" t="s">
        <v>240</v>
      </c>
      <c r="C122" s="13">
        <v>3735</v>
      </c>
      <c r="D122" s="13">
        <v>1830</v>
      </c>
      <c r="E122" s="13">
        <v>1905</v>
      </c>
    </row>
    <row r="123" spans="1:5" x14ac:dyDescent="0.25">
      <c r="A123" s="11">
        <v>2004</v>
      </c>
      <c r="B123" s="11" t="s">
        <v>262</v>
      </c>
      <c r="C123" s="13">
        <v>3171</v>
      </c>
      <c r="D123" s="13">
        <v>1544</v>
      </c>
      <c r="E123" s="13">
        <v>1627</v>
      </c>
    </row>
    <row r="124" spans="1:5" x14ac:dyDescent="0.25">
      <c r="A124" s="11">
        <v>2004</v>
      </c>
      <c r="B124" s="11" t="s">
        <v>263</v>
      </c>
      <c r="C124" s="13">
        <v>5317</v>
      </c>
      <c r="D124" s="13">
        <v>2563</v>
      </c>
      <c r="E124" s="13">
        <v>2754</v>
      </c>
    </row>
    <row r="125" spans="1:5" x14ac:dyDescent="0.25">
      <c r="A125" s="11">
        <v>2004</v>
      </c>
      <c r="B125" s="11" t="s">
        <v>298</v>
      </c>
      <c r="C125" s="13">
        <v>9512</v>
      </c>
      <c r="D125" s="13">
        <v>4723</v>
      </c>
      <c r="E125" s="13">
        <v>4789</v>
      </c>
    </row>
    <row r="126" spans="1:5" x14ac:dyDescent="0.25">
      <c r="A126" s="11">
        <v>2004</v>
      </c>
      <c r="B126" s="11" t="s">
        <v>242</v>
      </c>
      <c r="C126" s="13">
        <v>2175</v>
      </c>
      <c r="D126" s="13">
        <v>1043</v>
      </c>
      <c r="E126" s="13">
        <v>1132</v>
      </c>
    </row>
    <row r="127" spans="1:5" x14ac:dyDescent="0.25">
      <c r="A127" s="11">
        <v>2004</v>
      </c>
      <c r="B127" s="11" t="s">
        <v>265</v>
      </c>
      <c r="C127" s="13">
        <v>6497</v>
      </c>
      <c r="D127" s="13">
        <v>3159</v>
      </c>
      <c r="E127" s="13">
        <v>3338</v>
      </c>
    </row>
    <row r="128" spans="1:5" x14ac:dyDescent="0.25">
      <c r="A128" s="11">
        <v>2004</v>
      </c>
      <c r="B128" s="11" t="s">
        <v>266</v>
      </c>
      <c r="C128" s="13">
        <v>8454</v>
      </c>
      <c r="D128" s="13">
        <v>4027</v>
      </c>
      <c r="E128" s="13">
        <v>4427</v>
      </c>
    </row>
    <row r="129" spans="1:5" x14ac:dyDescent="0.25">
      <c r="A129" s="11">
        <v>2004</v>
      </c>
      <c r="B129" s="11" t="s">
        <v>267</v>
      </c>
      <c r="C129" s="13">
        <v>171</v>
      </c>
      <c r="D129" s="13">
        <v>78</v>
      </c>
      <c r="E129" s="13">
        <v>93</v>
      </c>
    </row>
    <row r="130" spans="1:5" x14ac:dyDescent="0.25">
      <c r="A130" s="11">
        <v>2004</v>
      </c>
      <c r="B130" s="11" t="s">
        <v>268</v>
      </c>
      <c r="C130" s="13">
        <v>230</v>
      </c>
      <c r="D130" s="13">
        <v>111</v>
      </c>
      <c r="E130" s="13">
        <v>119</v>
      </c>
    </row>
    <row r="131" spans="1:5" x14ac:dyDescent="0.25">
      <c r="A131" s="11">
        <v>2004</v>
      </c>
      <c r="B131" s="11" t="s">
        <v>269</v>
      </c>
      <c r="C131" s="13">
        <v>3893</v>
      </c>
      <c r="D131" s="13">
        <v>1863</v>
      </c>
      <c r="E131" s="13">
        <v>2030</v>
      </c>
    </row>
    <row r="132" spans="1:5" x14ac:dyDescent="0.25">
      <c r="A132" s="11">
        <v>2004</v>
      </c>
      <c r="B132" s="11" t="s">
        <v>270</v>
      </c>
      <c r="C132" s="13">
        <v>223</v>
      </c>
      <c r="D132" s="13">
        <v>113</v>
      </c>
      <c r="E132" s="13">
        <v>110</v>
      </c>
    </row>
    <row r="133" spans="1:5" x14ac:dyDescent="0.25">
      <c r="A133" s="11">
        <v>2005</v>
      </c>
      <c r="B133" s="11" t="s">
        <v>11</v>
      </c>
      <c r="C133" s="13">
        <v>54386</v>
      </c>
      <c r="D133" s="13">
        <v>26303</v>
      </c>
      <c r="E133" s="13">
        <v>28083</v>
      </c>
    </row>
    <row r="134" spans="1:5" x14ac:dyDescent="0.25">
      <c r="A134" s="11">
        <v>2005</v>
      </c>
      <c r="B134" s="11" t="s">
        <v>297</v>
      </c>
      <c r="C134" s="13">
        <v>4296</v>
      </c>
      <c r="D134" s="13">
        <v>2077</v>
      </c>
      <c r="E134" s="13">
        <v>2219</v>
      </c>
    </row>
    <row r="135" spans="1:5" x14ac:dyDescent="0.25">
      <c r="A135" s="11">
        <v>2005</v>
      </c>
      <c r="B135" s="11" t="s">
        <v>260</v>
      </c>
      <c r="C135" s="13">
        <v>3613</v>
      </c>
      <c r="D135" s="13">
        <v>1782</v>
      </c>
      <c r="E135" s="13">
        <v>1831</v>
      </c>
    </row>
    <row r="136" spans="1:5" x14ac:dyDescent="0.25">
      <c r="A136" s="11">
        <v>2005</v>
      </c>
      <c r="B136" s="11" t="s">
        <v>261</v>
      </c>
      <c r="C136" s="13">
        <v>1047</v>
      </c>
      <c r="D136" s="13">
        <v>505</v>
      </c>
      <c r="E136" s="13">
        <v>542</v>
      </c>
    </row>
    <row r="137" spans="1:5" x14ac:dyDescent="0.25">
      <c r="A137" s="11">
        <v>2005</v>
      </c>
      <c r="B137" s="11" t="s">
        <v>233</v>
      </c>
      <c r="C137" s="13">
        <v>1407</v>
      </c>
      <c r="D137" s="13">
        <v>674</v>
      </c>
      <c r="E137" s="13">
        <v>733</v>
      </c>
    </row>
    <row r="138" spans="1:5" x14ac:dyDescent="0.25">
      <c r="A138" s="11">
        <v>2005</v>
      </c>
      <c r="B138" s="11" t="s">
        <v>240</v>
      </c>
      <c r="C138" s="13">
        <v>3831</v>
      </c>
      <c r="D138" s="13">
        <v>1906</v>
      </c>
      <c r="E138" s="13">
        <v>1925</v>
      </c>
    </row>
    <row r="139" spans="1:5" x14ac:dyDescent="0.25">
      <c r="A139" s="11">
        <v>2005</v>
      </c>
      <c r="B139" s="11" t="s">
        <v>262</v>
      </c>
      <c r="C139" s="13">
        <v>3136</v>
      </c>
      <c r="D139" s="13">
        <v>1514</v>
      </c>
      <c r="E139" s="13">
        <v>1622</v>
      </c>
    </row>
    <row r="140" spans="1:5" x14ac:dyDescent="0.25">
      <c r="A140" s="11">
        <v>2005</v>
      </c>
      <c r="B140" s="11" t="s">
        <v>263</v>
      </c>
      <c r="C140" s="13">
        <v>5404</v>
      </c>
      <c r="D140" s="13">
        <v>2636</v>
      </c>
      <c r="E140" s="13">
        <v>2768</v>
      </c>
    </row>
    <row r="141" spans="1:5" x14ac:dyDescent="0.25">
      <c r="A141" s="11">
        <v>2005</v>
      </c>
      <c r="B141" s="11" t="s">
        <v>298</v>
      </c>
      <c r="C141" s="13">
        <v>9787</v>
      </c>
      <c r="D141" s="13">
        <v>4722</v>
      </c>
      <c r="E141" s="13">
        <v>5065</v>
      </c>
    </row>
    <row r="142" spans="1:5" x14ac:dyDescent="0.25">
      <c r="A142" s="11">
        <v>2005</v>
      </c>
      <c r="B142" s="11" t="s">
        <v>242</v>
      </c>
      <c r="C142" s="13">
        <v>2233</v>
      </c>
      <c r="D142" s="13">
        <v>1061</v>
      </c>
      <c r="E142" s="13">
        <v>1172</v>
      </c>
    </row>
    <row r="143" spans="1:5" x14ac:dyDescent="0.25">
      <c r="A143" s="11">
        <v>2005</v>
      </c>
      <c r="B143" s="11" t="s">
        <v>265</v>
      </c>
      <c r="C143" s="13">
        <v>6283</v>
      </c>
      <c r="D143" s="13">
        <v>3017</v>
      </c>
      <c r="E143" s="13">
        <v>3266</v>
      </c>
    </row>
    <row r="144" spans="1:5" x14ac:dyDescent="0.25">
      <c r="A144" s="11">
        <v>2005</v>
      </c>
      <c r="B144" s="11" t="s">
        <v>266</v>
      </c>
      <c r="C144" s="13">
        <v>8723</v>
      </c>
      <c r="D144" s="13">
        <v>4150</v>
      </c>
      <c r="E144" s="13">
        <v>4573</v>
      </c>
    </row>
    <row r="145" spans="1:5" x14ac:dyDescent="0.25">
      <c r="A145" s="11">
        <v>2005</v>
      </c>
      <c r="B145" s="11" t="s">
        <v>267</v>
      </c>
      <c r="C145" s="13">
        <v>180</v>
      </c>
      <c r="D145" s="13">
        <v>91</v>
      </c>
      <c r="E145" s="13">
        <v>89</v>
      </c>
    </row>
    <row r="146" spans="1:5" x14ac:dyDescent="0.25">
      <c r="A146" s="11">
        <v>2005</v>
      </c>
      <c r="B146" s="11" t="s">
        <v>268</v>
      </c>
      <c r="C146" s="13">
        <v>227</v>
      </c>
      <c r="D146" s="13">
        <v>105</v>
      </c>
      <c r="E146" s="13">
        <v>122</v>
      </c>
    </row>
    <row r="147" spans="1:5" x14ac:dyDescent="0.25">
      <c r="A147" s="11">
        <v>2005</v>
      </c>
      <c r="B147" s="11" t="s">
        <v>269</v>
      </c>
      <c r="C147" s="13">
        <v>3986</v>
      </c>
      <c r="D147" s="13">
        <v>1940</v>
      </c>
      <c r="E147" s="13">
        <v>2046</v>
      </c>
    </row>
    <row r="148" spans="1:5" x14ac:dyDescent="0.25">
      <c r="A148" s="11">
        <v>2005</v>
      </c>
      <c r="B148" s="11" t="s">
        <v>270</v>
      </c>
      <c r="C148" s="13">
        <v>233</v>
      </c>
      <c r="D148" s="13">
        <v>123</v>
      </c>
      <c r="E148" s="13">
        <v>110</v>
      </c>
    </row>
    <row r="149" spans="1:5" x14ac:dyDescent="0.25">
      <c r="A149" s="11">
        <v>2006</v>
      </c>
      <c r="B149" s="11" t="s">
        <v>11</v>
      </c>
      <c r="C149" s="13">
        <v>55690</v>
      </c>
      <c r="D149" s="13">
        <v>27217</v>
      </c>
      <c r="E149" s="13">
        <v>28473</v>
      </c>
    </row>
    <row r="150" spans="1:5" x14ac:dyDescent="0.25">
      <c r="A150" s="11">
        <v>2006</v>
      </c>
      <c r="B150" s="11" t="s">
        <v>297</v>
      </c>
      <c r="C150" s="13">
        <v>4260</v>
      </c>
      <c r="D150" s="13">
        <v>2066</v>
      </c>
      <c r="E150" s="13">
        <v>2194</v>
      </c>
    </row>
    <row r="151" spans="1:5" x14ac:dyDescent="0.25">
      <c r="A151" s="11">
        <v>2006</v>
      </c>
      <c r="B151" s="11" t="s">
        <v>260</v>
      </c>
      <c r="C151" s="13">
        <v>3829</v>
      </c>
      <c r="D151" s="13">
        <v>1898</v>
      </c>
      <c r="E151" s="13">
        <v>1931</v>
      </c>
    </row>
    <row r="152" spans="1:5" x14ac:dyDescent="0.25">
      <c r="A152" s="11">
        <v>2006</v>
      </c>
      <c r="B152" s="11" t="s">
        <v>261</v>
      </c>
      <c r="C152" s="13">
        <v>1109</v>
      </c>
      <c r="D152" s="13">
        <v>535</v>
      </c>
      <c r="E152" s="13">
        <v>574</v>
      </c>
    </row>
    <row r="153" spans="1:5" x14ac:dyDescent="0.25">
      <c r="A153" s="11">
        <v>2006</v>
      </c>
      <c r="B153" s="11" t="s">
        <v>233</v>
      </c>
      <c r="C153" s="13">
        <v>1471</v>
      </c>
      <c r="D153" s="13">
        <v>712</v>
      </c>
      <c r="E153" s="13">
        <v>759</v>
      </c>
    </row>
    <row r="154" spans="1:5" x14ac:dyDescent="0.25">
      <c r="A154" s="11">
        <v>2006</v>
      </c>
      <c r="B154" s="11" t="s">
        <v>240</v>
      </c>
      <c r="C154" s="13">
        <v>3999</v>
      </c>
      <c r="D154" s="13">
        <v>1993</v>
      </c>
      <c r="E154" s="13">
        <v>2006</v>
      </c>
    </row>
    <row r="155" spans="1:5" x14ac:dyDescent="0.25">
      <c r="A155" s="11">
        <v>2006</v>
      </c>
      <c r="B155" s="11" t="s">
        <v>262</v>
      </c>
      <c r="C155" s="13">
        <v>3211</v>
      </c>
      <c r="D155" s="13">
        <v>1536</v>
      </c>
      <c r="E155" s="13">
        <v>1675</v>
      </c>
    </row>
    <row r="156" spans="1:5" x14ac:dyDescent="0.25">
      <c r="A156" s="11">
        <v>2006</v>
      </c>
      <c r="B156" s="11" t="s">
        <v>263</v>
      </c>
      <c r="C156" s="13">
        <v>5688</v>
      </c>
      <c r="D156" s="13">
        <v>2754</v>
      </c>
      <c r="E156" s="13">
        <v>2934</v>
      </c>
    </row>
    <row r="157" spans="1:5" x14ac:dyDescent="0.25">
      <c r="A157" s="11">
        <v>2006</v>
      </c>
      <c r="B157" s="11" t="s">
        <v>298</v>
      </c>
      <c r="C157" s="13">
        <v>9594</v>
      </c>
      <c r="D157" s="13">
        <v>4702</v>
      </c>
      <c r="E157" s="13">
        <v>4892</v>
      </c>
    </row>
    <row r="158" spans="1:5" x14ac:dyDescent="0.25">
      <c r="A158" s="11">
        <v>2006</v>
      </c>
      <c r="B158" s="11" t="s">
        <v>242</v>
      </c>
      <c r="C158" s="13">
        <v>2159</v>
      </c>
      <c r="D158" s="13">
        <v>1063</v>
      </c>
      <c r="E158" s="13">
        <v>1096</v>
      </c>
    </row>
    <row r="159" spans="1:5" x14ac:dyDescent="0.25">
      <c r="A159" s="11">
        <v>2006</v>
      </c>
      <c r="B159" s="11" t="s">
        <v>265</v>
      </c>
      <c r="C159" s="13">
        <v>6584</v>
      </c>
      <c r="D159" s="13">
        <v>3199</v>
      </c>
      <c r="E159" s="13">
        <v>3385</v>
      </c>
    </row>
    <row r="160" spans="1:5" x14ac:dyDescent="0.25">
      <c r="A160" s="11">
        <v>2006</v>
      </c>
      <c r="B160" s="11" t="s">
        <v>266</v>
      </c>
      <c r="C160" s="13">
        <v>9027</v>
      </c>
      <c r="D160" s="13">
        <v>4402</v>
      </c>
      <c r="E160" s="13">
        <v>4625</v>
      </c>
    </row>
    <row r="161" spans="1:5" x14ac:dyDescent="0.25">
      <c r="A161" s="11">
        <v>2006</v>
      </c>
      <c r="B161" s="11" t="s">
        <v>267</v>
      </c>
      <c r="C161" s="13">
        <v>213</v>
      </c>
      <c r="D161" s="13">
        <v>108</v>
      </c>
      <c r="E161" s="13">
        <v>105</v>
      </c>
    </row>
    <row r="162" spans="1:5" x14ac:dyDescent="0.25">
      <c r="A162" s="11">
        <v>2006</v>
      </c>
      <c r="B162" s="11" t="s">
        <v>268</v>
      </c>
      <c r="C162" s="13">
        <v>268</v>
      </c>
      <c r="D162" s="13">
        <v>142</v>
      </c>
      <c r="E162" s="13">
        <v>126</v>
      </c>
    </row>
    <row r="163" spans="1:5" x14ac:dyDescent="0.25">
      <c r="A163" s="11">
        <v>2006</v>
      </c>
      <c r="B163" s="11" t="s">
        <v>269</v>
      </c>
      <c r="C163" s="13">
        <v>4004</v>
      </c>
      <c r="D163" s="13">
        <v>1969</v>
      </c>
      <c r="E163" s="13">
        <v>2035</v>
      </c>
    </row>
    <row r="164" spans="1:5" x14ac:dyDescent="0.25">
      <c r="A164" s="11">
        <v>2006</v>
      </c>
      <c r="B164" s="11" t="s">
        <v>270</v>
      </c>
      <c r="C164" s="13">
        <v>274</v>
      </c>
      <c r="D164" s="13">
        <v>138</v>
      </c>
      <c r="E164" s="13">
        <v>136</v>
      </c>
    </row>
  </sheetData>
  <pageMargins left="0.7" right="0.7" top="0.75" bottom="0.75" header="0.3" footer="0.3"/>
  <pageSetup paperSize="9" orientation="portrait" horizontalDpi="300" verticalDpi="300"/>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112"/>
  <sheetViews>
    <sheetView workbookViewId="0"/>
  </sheetViews>
  <sheetFormatPr defaultColWidth="11.6328125" defaultRowHeight="15" x14ac:dyDescent="0.25"/>
  <cols>
    <col min="1" max="1" width="12.26953125" customWidth="1"/>
    <col min="2" max="2" width="12.36328125" customWidth="1"/>
    <col min="3" max="3" width="13.6328125" bestFit="1" customWidth="1"/>
  </cols>
  <sheetData>
    <row r="1" spans="1:3" ht="21" x14ac:dyDescent="0.4">
      <c r="A1" s="5" t="s">
        <v>299</v>
      </c>
    </row>
    <row r="2" spans="1:3" x14ac:dyDescent="0.25">
      <c r="A2" t="s">
        <v>29</v>
      </c>
    </row>
    <row r="3" spans="1:3" x14ac:dyDescent="0.25">
      <c r="A3" t="s">
        <v>278</v>
      </c>
    </row>
    <row r="4" spans="1:3" x14ac:dyDescent="0.25">
      <c r="A4" s="16" t="str">
        <f>HYPERLINK("#'Contents'!A1", "back to contents")</f>
        <v>back to contents</v>
      </c>
    </row>
    <row r="5" spans="1:3" ht="31.2" x14ac:dyDescent="0.3">
      <c r="A5" s="10" t="s">
        <v>69</v>
      </c>
      <c r="B5" s="10" t="s">
        <v>300</v>
      </c>
      <c r="C5" s="12" t="s">
        <v>301</v>
      </c>
    </row>
    <row r="6" spans="1:3" ht="15.75" customHeight="1" x14ac:dyDescent="0.25">
      <c r="A6" s="11" t="s">
        <v>302</v>
      </c>
      <c r="B6" s="11" t="s">
        <v>303</v>
      </c>
      <c r="C6" s="13">
        <v>1070</v>
      </c>
    </row>
    <row r="7" spans="1:3" ht="15.75" customHeight="1" x14ac:dyDescent="0.25">
      <c r="A7" s="11" t="s">
        <v>304</v>
      </c>
      <c r="B7" s="11" t="s">
        <v>303</v>
      </c>
      <c r="C7" s="13">
        <v>720</v>
      </c>
    </row>
    <row r="8" spans="1:3" ht="15.75" customHeight="1" x14ac:dyDescent="0.25">
      <c r="A8" s="11" t="s">
        <v>305</v>
      </c>
      <c r="B8" s="11" t="s">
        <v>303</v>
      </c>
      <c r="C8" s="13">
        <v>636</v>
      </c>
    </row>
    <row r="9" spans="1:3" ht="15.75" customHeight="1" x14ac:dyDescent="0.25">
      <c r="A9" s="11" t="s">
        <v>306</v>
      </c>
      <c r="B9" s="11" t="s">
        <v>303</v>
      </c>
      <c r="C9" s="13">
        <v>467</v>
      </c>
    </row>
    <row r="10" spans="1:3" ht="15.75" customHeight="1" x14ac:dyDescent="0.25">
      <c r="A10" s="11" t="s">
        <v>307</v>
      </c>
      <c r="B10" s="11" t="s">
        <v>303</v>
      </c>
      <c r="C10" s="13">
        <v>364</v>
      </c>
    </row>
    <row r="11" spans="1:3" ht="15.75" customHeight="1" x14ac:dyDescent="0.25">
      <c r="A11" s="11" t="s">
        <v>308</v>
      </c>
      <c r="B11" s="11" t="s">
        <v>303</v>
      </c>
      <c r="C11" s="13">
        <v>352</v>
      </c>
    </row>
    <row r="12" spans="1:3" ht="15.75" customHeight="1" x14ac:dyDescent="0.25">
      <c r="A12" s="11" t="s">
        <v>309</v>
      </c>
      <c r="B12" s="11" t="s">
        <v>303</v>
      </c>
      <c r="C12" s="13">
        <v>619</v>
      </c>
    </row>
    <row r="13" spans="1:3" ht="15.75" customHeight="1" x14ac:dyDescent="0.25">
      <c r="A13" s="11" t="s">
        <v>310</v>
      </c>
      <c r="B13" s="11" t="s">
        <v>303</v>
      </c>
      <c r="C13" s="13">
        <v>781</v>
      </c>
    </row>
    <row r="14" spans="1:3" ht="15.75" customHeight="1" x14ac:dyDescent="0.25">
      <c r="A14" s="11" t="s">
        <v>311</v>
      </c>
      <c r="B14" s="11" t="s">
        <v>303</v>
      </c>
      <c r="C14" s="13">
        <v>710</v>
      </c>
    </row>
    <row r="15" spans="1:3" ht="15.75" customHeight="1" x14ac:dyDescent="0.25">
      <c r="A15" s="11" t="s">
        <v>312</v>
      </c>
      <c r="B15" s="11" t="s">
        <v>303</v>
      </c>
      <c r="C15" s="13">
        <v>791</v>
      </c>
    </row>
    <row r="16" spans="1:3" ht="15.75" customHeight="1" x14ac:dyDescent="0.25">
      <c r="A16" s="11" t="s">
        <v>313</v>
      </c>
      <c r="B16" s="11" t="s">
        <v>303</v>
      </c>
      <c r="C16" s="13">
        <v>1132</v>
      </c>
    </row>
    <row r="17" spans="1:3" ht="15.75" customHeight="1" x14ac:dyDescent="0.25">
      <c r="A17" s="11" t="s">
        <v>314</v>
      </c>
      <c r="B17" s="11" t="s">
        <v>303</v>
      </c>
      <c r="C17" s="13">
        <v>1168</v>
      </c>
    </row>
    <row r="18" spans="1:3" ht="15.75" customHeight="1" x14ac:dyDescent="0.25">
      <c r="A18" s="11" t="s">
        <v>315</v>
      </c>
      <c r="B18" s="11" t="s">
        <v>303</v>
      </c>
      <c r="C18" s="13">
        <v>1097</v>
      </c>
    </row>
    <row r="19" spans="1:3" ht="15.75" customHeight="1" x14ac:dyDescent="0.25">
      <c r="A19" s="11" t="s">
        <v>316</v>
      </c>
      <c r="B19" s="11" t="s">
        <v>303</v>
      </c>
      <c r="C19" s="13">
        <v>992</v>
      </c>
    </row>
    <row r="20" spans="1:3" ht="15.75" customHeight="1" x14ac:dyDescent="0.25">
      <c r="A20" s="11" t="s">
        <v>317</v>
      </c>
      <c r="B20" s="11" t="s">
        <v>303</v>
      </c>
      <c r="C20" s="13">
        <v>1220</v>
      </c>
    </row>
    <row r="21" spans="1:3" ht="15.75" customHeight="1" x14ac:dyDescent="0.25">
      <c r="A21" s="11" t="s">
        <v>318</v>
      </c>
      <c r="B21" s="11" t="s">
        <v>303</v>
      </c>
      <c r="C21" s="13">
        <v>1206</v>
      </c>
    </row>
    <row r="22" spans="1:3" ht="15.75" customHeight="1" x14ac:dyDescent="0.25">
      <c r="A22" s="11" t="s">
        <v>319</v>
      </c>
      <c r="B22" s="11" t="s">
        <v>303</v>
      </c>
      <c r="C22" s="13">
        <v>474</v>
      </c>
    </row>
    <row r="23" spans="1:3" x14ac:dyDescent="0.25">
      <c r="A23" s="11" t="s">
        <v>320</v>
      </c>
      <c r="B23" s="11" t="s">
        <v>321</v>
      </c>
      <c r="C23" s="13">
        <v>1259</v>
      </c>
    </row>
    <row r="24" spans="1:3" x14ac:dyDescent="0.25">
      <c r="A24" s="11" t="s">
        <v>322</v>
      </c>
      <c r="B24" s="11" t="s">
        <v>321</v>
      </c>
      <c r="C24" s="13">
        <v>1063</v>
      </c>
    </row>
    <row r="25" spans="1:3" x14ac:dyDescent="0.25">
      <c r="A25" s="11" t="s">
        <v>323</v>
      </c>
      <c r="B25" s="11" t="s">
        <v>321</v>
      </c>
      <c r="C25" s="13">
        <v>1048</v>
      </c>
    </row>
    <row r="26" spans="1:3" x14ac:dyDescent="0.25">
      <c r="A26" s="11" t="s">
        <v>324</v>
      </c>
      <c r="B26" s="11" t="s">
        <v>321</v>
      </c>
      <c r="C26" s="13">
        <v>979</v>
      </c>
    </row>
    <row r="27" spans="1:3" x14ac:dyDescent="0.25">
      <c r="A27" s="11" t="s">
        <v>325</v>
      </c>
      <c r="B27" s="11" t="s">
        <v>321</v>
      </c>
      <c r="C27" s="13">
        <v>1069</v>
      </c>
    </row>
    <row r="28" spans="1:3" x14ac:dyDescent="0.25">
      <c r="A28" s="11" t="s">
        <v>326</v>
      </c>
      <c r="B28" s="11" t="s">
        <v>321</v>
      </c>
      <c r="C28" s="13">
        <v>1191</v>
      </c>
    </row>
    <row r="29" spans="1:3" x14ac:dyDescent="0.25">
      <c r="A29" s="11" t="s">
        <v>327</v>
      </c>
      <c r="B29" s="11" t="s">
        <v>321</v>
      </c>
      <c r="C29" s="13">
        <v>716</v>
      </c>
    </row>
    <row r="30" spans="1:3" x14ac:dyDescent="0.25">
      <c r="A30" s="11" t="s">
        <v>328</v>
      </c>
      <c r="B30" s="11" t="s">
        <v>321</v>
      </c>
      <c r="C30" s="13">
        <v>742</v>
      </c>
    </row>
    <row r="31" spans="1:3" x14ac:dyDescent="0.25">
      <c r="A31" s="11" t="s">
        <v>329</v>
      </c>
      <c r="B31" s="11" t="s">
        <v>321</v>
      </c>
      <c r="C31" s="13">
        <v>687</v>
      </c>
    </row>
    <row r="32" spans="1:3" x14ac:dyDescent="0.25">
      <c r="A32" s="11" t="s">
        <v>330</v>
      </c>
      <c r="B32" s="11" t="s">
        <v>321</v>
      </c>
      <c r="C32" s="13">
        <v>737</v>
      </c>
    </row>
    <row r="33" spans="1:3" x14ac:dyDescent="0.25">
      <c r="A33" s="11" t="s">
        <v>76</v>
      </c>
      <c r="B33" s="11" t="s">
        <v>321</v>
      </c>
      <c r="C33" s="13">
        <v>719</v>
      </c>
    </row>
    <row r="34" spans="1:3" x14ac:dyDescent="0.25">
      <c r="A34" s="11" t="s">
        <v>77</v>
      </c>
      <c r="B34" s="11" t="s">
        <v>321</v>
      </c>
      <c r="C34" s="13">
        <v>729</v>
      </c>
    </row>
    <row r="35" spans="1:3" x14ac:dyDescent="0.25">
      <c r="A35" s="11" t="s">
        <v>78</v>
      </c>
      <c r="B35" s="11" t="s">
        <v>321</v>
      </c>
      <c r="C35" s="13">
        <v>717</v>
      </c>
    </row>
    <row r="36" spans="1:3" x14ac:dyDescent="0.25">
      <c r="A36" s="11" t="s">
        <v>79</v>
      </c>
      <c r="B36" s="11" t="s">
        <v>321</v>
      </c>
      <c r="C36" s="13">
        <v>648</v>
      </c>
    </row>
    <row r="37" spans="1:3" x14ac:dyDescent="0.25">
      <c r="A37" s="11" t="s">
        <v>80</v>
      </c>
      <c r="B37" s="11" t="s">
        <v>321</v>
      </c>
      <c r="C37" s="13">
        <v>534</v>
      </c>
    </row>
    <row r="38" spans="1:3" x14ac:dyDescent="0.25">
      <c r="A38" s="11" t="s">
        <v>81</v>
      </c>
      <c r="B38" s="11" t="s">
        <v>321</v>
      </c>
      <c r="C38" s="13">
        <v>552</v>
      </c>
    </row>
    <row r="39" spans="1:3" x14ac:dyDescent="0.25">
      <c r="A39" s="11" t="s">
        <v>82</v>
      </c>
      <c r="B39" s="11" t="s">
        <v>321</v>
      </c>
      <c r="C39" s="13">
        <v>507</v>
      </c>
    </row>
    <row r="40" spans="1:3" x14ac:dyDescent="0.25">
      <c r="A40" s="11" t="s">
        <v>83</v>
      </c>
      <c r="B40" s="11" t="s">
        <v>321</v>
      </c>
      <c r="C40" s="13">
        <v>507</v>
      </c>
    </row>
    <row r="41" spans="1:3" x14ac:dyDescent="0.25">
      <c r="A41" s="11" t="s">
        <v>84</v>
      </c>
      <c r="B41" s="11" t="s">
        <v>321</v>
      </c>
      <c r="C41" s="13">
        <v>469</v>
      </c>
    </row>
    <row r="42" spans="1:3" x14ac:dyDescent="0.25">
      <c r="A42" s="11" t="s">
        <v>85</v>
      </c>
      <c r="B42" s="11" t="s">
        <v>321</v>
      </c>
      <c r="C42" s="13">
        <v>449</v>
      </c>
    </row>
    <row r="43" spans="1:3" x14ac:dyDescent="0.25">
      <c r="A43" s="11" t="s">
        <v>86</v>
      </c>
      <c r="B43" s="11" t="s">
        <v>321</v>
      </c>
      <c r="C43" s="13">
        <v>401</v>
      </c>
    </row>
    <row r="44" spans="1:3" x14ac:dyDescent="0.25">
      <c r="A44" s="11" t="s">
        <v>87</v>
      </c>
      <c r="B44" s="11" t="s">
        <v>321</v>
      </c>
      <c r="C44" s="13">
        <v>511</v>
      </c>
    </row>
    <row r="45" spans="1:3" x14ac:dyDescent="0.25">
      <c r="A45" s="11" t="s">
        <v>88</v>
      </c>
      <c r="B45" s="11" t="s">
        <v>321</v>
      </c>
      <c r="C45" s="13">
        <v>382</v>
      </c>
    </row>
    <row r="46" spans="1:3" x14ac:dyDescent="0.25">
      <c r="A46" s="11" t="s">
        <v>89</v>
      </c>
      <c r="B46" s="11" t="s">
        <v>321</v>
      </c>
      <c r="C46" s="13">
        <v>317</v>
      </c>
    </row>
    <row r="47" spans="1:3" x14ac:dyDescent="0.25">
      <c r="A47" s="11" t="s">
        <v>90</v>
      </c>
      <c r="B47" s="11" t="s">
        <v>321</v>
      </c>
      <c r="C47" s="13">
        <v>276</v>
      </c>
    </row>
    <row r="48" spans="1:3" x14ac:dyDescent="0.25">
      <c r="A48" s="11" t="s">
        <v>91</v>
      </c>
      <c r="B48" s="11" t="s">
        <v>321</v>
      </c>
      <c r="C48" s="13">
        <v>332</v>
      </c>
    </row>
    <row r="49" spans="1:3" x14ac:dyDescent="0.25">
      <c r="A49" s="11" t="s">
        <v>92</v>
      </c>
      <c r="B49" s="11" t="s">
        <v>321</v>
      </c>
      <c r="C49" s="13">
        <v>351</v>
      </c>
    </row>
    <row r="50" spans="1:3" x14ac:dyDescent="0.25">
      <c r="A50" s="11" t="s">
        <v>93</v>
      </c>
      <c r="B50" s="11" t="s">
        <v>321</v>
      </c>
      <c r="C50" s="13">
        <v>329</v>
      </c>
    </row>
    <row r="51" spans="1:3" x14ac:dyDescent="0.25">
      <c r="A51" s="11" t="s">
        <v>94</v>
      </c>
      <c r="B51" s="11" t="s">
        <v>321</v>
      </c>
      <c r="C51" s="13">
        <v>325</v>
      </c>
    </row>
    <row r="52" spans="1:3" x14ac:dyDescent="0.25">
      <c r="A52" s="11" t="s">
        <v>95</v>
      </c>
      <c r="B52" s="11" t="s">
        <v>321</v>
      </c>
      <c r="C52" s="13">
        <v>367</v>
      </c>
    </row>
    <row r="53" spans="1:3" x14ac:dyDescent="0.25">
      <c r="A53" s="11" t="s">
        <v>96</v>
      </c>
      <c r="B53" s="11" t="s">
        <v>321</v>
      </c>
      <c r="C53" s="13">
        <v>390</v>
      </c>
    </row>
    <row r="54" spans="1:3" x14ac:dyDescent="0.25">
      <c r="A54" s="11" t="s">
        <v>97</v>
      </c>
      <c r="B54" s="11" t="s">
        <v>321</v>
      </c>
      <c r="C54" s="13">
        <v>384</v>
      </c>
    </row>
    <row r="55" spans="1:3" x14ac:dyDescent="0.25">
      <c r="A55" s="11" t="s">
        <v>98</v>
      </c>
      <c r="B55" s="11" t="s">
        <v>321</v>
      </c>
      <c r="C55" s="13">
        <v>433</v>
      </c>
    </row>
    <row r="56" spans="1:3" x14ac:dyDescent="0.25">
      <c r="A56" s="11" t="s">
        <v>99</v>
      </c>
      <c r="B56" s="11" t="s">
        <v>321</v>
      </c>
      <c r="C56" s="13">
        <v>678</v>
      </c>
    </row>
    <row r="57" spans="1:3" x14ac:dyDescent="0.25">
      <c r="A57" s="11" t="s">
        <v>100</v>
      </c>
      <c r="B57" s="11" t="s">
        <v>321</v>
      </c>
      <c r="C57" s="13">
        <v>775</v>
      </c>
    </row>
    <row r="58" spans="1:3" x14ac:dyDescent="0.25">
      <c r="A58" s="11" t="s">
        <v>101</v>
      </c>
      <c r="B58" s="11" t="s">
        <v>321</v>
      </c>
      <c r="C58" s="13">
        <v>824</v>
      </c>
    </row>
    <row r="59" spans="1:3" x14ac:dyDescent="0.25">
      <c r="A59" s="11" t="s">
        <v>102</v>
      </c>
      <c r="B59" s="11" t="s">
        <v>321</v>
      </c>
      <c r="C59" s="13">
        <v>816</v>
      </c>
    </row>
    <row r="60" spans="1:3" x14ac:dyDescent="0.25">
      <c r="A60" s="11" t="s">
        <v>103</v>
      </c>
      <c r="B60" s="11" t="s">
        <v>321</v>
      </c>
      <c r="C60" s="13">
        <v>837</v>
      </c>
    </row>
    <row r="61" spans="1:3" x14ac:dyDescent="0.25">
      <c r="A61" s="11" t="s">
        <v>104</v>
      </c>
      <c r="B61" s="11" t="s">
        <v>321</v>
      </c>
      <c r="C61" s="13">
        <v>746</v>
      </c>
    </row>
    <row r="62" spans="1:3" x14ac:dyDescent="0.25">
      <c r="A62" s="11" t="s">
        <v>105</v>
      </c>
      <c r="B62" s="11" t="s">
        <v>321</v>
      </c>
      <c r="C62" s="13">
        <v>677</v>
      </c>
    </row>
    <row r="63" spans="1:3" x14ac:dyDescent="0.25">
      <c r="A63" s="11" t="s">
        <v>106</v>
      </c>
      <c r="B63" s="11" t="s">
        <v>321</v>
      </c>
      <c r="C63" s="13">
        <v>829</v>
      </c>
    </row>
    <row r="64" spans="1:3" x14ac:dyDescent="0.25">
      <c r="A64" s="11" t="s">
        <v>107</v>
      </c>
      <c r="B64" s="11" t="s">
        <v>321</v>
      </c>
      <c r="C64" s="13">
        <v>654</v>
      </c>
    </row>
    <row r="65" spans="1:3" x14ac:dyDescent="0.25">
      <c r="A65" s="11" t="s">
        <v>108</v>
      </c>
      <c r="B65" s="11" t="s">
        <v>321</v>
      </c>
      <c r="C65" s="13">
        <v>620</v>
      </c>
    </row>
    <row r="66" spans="1:3" x14ac:dyDescent="0.25">
      <c r="A66" s="11" t="s">
        <v>109</v>
      </c>
      <c r="B66" s="11" t="s">
        <v>321</v>
      </c>
      <c r="C66" s="13">
        <v>717</v>
      </c>
    </row>
    <row r="67" spans="1:3" x14ac:dyDescent="0.25">
      <c r="A67" s="11" t="s">
        <v>110</v>
      </c>
      <c r="B67" s="11" t="s">
        <v>321</v>
      </c>
      <c r="C67" s="13">
        <v>772</v>
      </c>
    </row>
    <row r="68" spans="1:3" x14ac:dyDescent="0.25">
      <c r="A68" s="11" t="s">
        <v>111</v>
      </c>
      <c r="B68" s="11" t="s">
        <v>321</v>
      </c>
      <c r="C68" s="13">
        <v>785</v>
      </c>
    </row>
    <row r="69" spans="1:3" x14ac:dyDescent="0.25">
      <c r="A69" s="11" t="s">
        <v>112</v>
      </c>
      <c r="B69" s="11" t="s">
        <v>321</v>
      </c>
      <c r="C69" s="13">
        <v>643</v>
      </c>
    </row>
    <row r="70" spans="1:3" x14ac:dyDescent="0.25">
      <c r="A70" s="11" t="s">
        <v>113</v>
      </c>
      <c r="B70" s="11" t="s">
        <v>321</v>
      </c>
      <c r="C70" s="13">
        <v>786</v>
      </c>
    </row>
    <row r="71" spans="1:3" x14ac:dyDescent="0.25">
      <c r="A71" s="11" t="s">
        <v>114</v>
      </c>
      <c r="B71" s="11" t="s">
        <v>321</v>
      </c>
      <c r="C71" s="13">
        <v>781</v>
      </c>
    </row>
    <row r="72" spans="1:3" x14ac:dyDescent="0.25">
      <c r="A72" s="11" t="s">
        <v>115</v>
      </c>
      <c r="B72" s="11" t="s">
        <v>321</v>
      </c>
      <c r="C72" s="13">
        <v>857</v>
      </c>
    </row>
    <row r="73" spans="1:3" x14ac:dyDescent="0.25">
      <c r="A73" s="11" t="s">
        <v>116</v>
      </c>
      <c r="B73" s="11" t="s">
        <v>321</v>
      </c>
      <c r="C73" s="13">
        <v>886</v>
      </c>
    </row>
    <row r="74" spans="1:3" x14ac:dyDescent="0.25">
      <c r="A74" s="11" t="s">
        <v>117</v>
      </c>
      <c r="B74" s="11" t="s">
        <v>321</v>
      </c>
      <c r="C74" s="13">
        <v>1016</v>
      </c>
    </row>
    <row r="75" spans="1:3" x14ac:dyDescent="0.25">
      <c r="A75" s="11" t="s">
        <v>118</v>
      </c>
      <c r="B75" s="11" t="s">
        <v>321</v>
      </c>
      <c r="C75" s="13">
        <v>1365</v>
      </c>
    </row>
    <row r="76" spans="1:3" x14ac:dyDescent="0.25">
      <c r="A76" s="11" t="s">
        <v>119</v>
      </c>
      <c r="B76" s="11" t="s">
        <v>321</v>
      </c>
      <c r="C76" s="13">
        <v>1148</v>
      </c>
    </row>
    <row r="77" spans="1:3" x14ac:dyDescent="0.25">
      <c r="A77" s="11" t="s">
        <v>120</v>
      </c>
      <c r="B77" s="11" t="s">
        <v>321</v>
      </c>
      <c r="C77" s="13">
        <v>1086</v>
      </c>
    </row>
    <row r="78" spans="1:3" x14ac:dyDescent="0.25">
      <c r="A78" s="11" t="s">
        <v>121</v>
      </c>
      <c r="B78" s="11" t="s">
        <v>321</v>
      </c>
      <c r="C78" s="13">
        <v>1047</v>
      </c>
    </row>
    <row r="79" spans="1:3" x14ac:dyDescent="0.25">
      <c r="A79" s="11" t="s">
        <v>122</v>
      </c>
      <c r="B79" s="11" t="s">
        <v>321</v>
      </c>
      <c r="C79" s="13">
        <v>1206</v>
      </c>
    </row>
    <row r="80" spans="1:3" x14ac:dyDescent="0.25">
      <c r="A80" s="11" t="s">
        <v>123</v>
      </c>
      <c r="B80" s="11" t="s">
        <v>321</v>
      </c>
      <c r="C80" s="13">
        <v>1370</v>
      </c>
    </row>
    <row r="81" spans="1:3" x14ac:dyDescent="0.25">
      <c r="A81" s="11" t="s">
        <v>124</v>
      </c>
      <c r="B81" s="11" t="s">
        <v>321</v>
      </c>
      <c r="C81" s="13">
        <v>1023</v>
      </c>
    </row>
    <row r="82" spans="1:3" x14ac:dyDescent="0.25">
      <c r="A82" s="11" t="s">
        <v>125</v>
      </c>
      <c r="B82" s="11" t="s">
        <v>321</v>
      </c>
      <c r="C82" s="13">
        <v>1124</v>
      </c>
    </row>
    <row r="83" spans="1:3" x14ac:dyDescent="0.25">
      <c r="A83" s="11" t="s">
        <v>126</v>
      </c>
      <c r="B83" s="11" t="s">
        <v>321</v>
      </c>
      <c r="C83" s="13">
        <v>1119</v>
      </c>
    </row>
    <row r="84" spans="1:3" x14ac:dyDescent="0.25">
      <c r="A84" s="11" t="s">
        <v>127</v>
      </c>
      <c r="B84" s="11" t="s">
        <v>321</v>
      </c>
      <c r="C84" s="13">
        <v>1093</v>
      </c>
    </row>
    <row r="85" spans="1:3" x14ac:dyDescent="0.25">
      <c r="A85" s="11" t="s">
        <v>128</v>
      </c>
      <c r="B85" s="11" t="s">
        <v>321</v>
      </c>
      <c r="C85" s="13">
        <v>1117</v>
      </c>
    </row>
    <row r="86" spans="1:3" x14ac:dyDescent="0.25">
      <c r="A86" s="11" t="s">
        <v>129</v>
      </c>
      <c r="B86" s="11" t="s">
        <v>321</v>
      </c>
      <c r="C86" s="13">
        <v>1127</v>
      </c>
    </row>
    <row r="87" spans="1:3" x14ac:dyDescent="0.25">
      <c r="A87" s="11" t="s">
        <v>130</v>
      </c>
      <c r="B87" s="11" t="s">
        <v>321</v>
      </c>
      <c r="C87" s="13">
        <v>1055</v>
      </c>
    </row>
    <row r="88" spans="1:3" x14ac:dyDescent="0.25">
      <c r="A88" s="11" t="s">
        <v>131</v>
      </c>
      <c r="B88" s="11" t="s">
        <v>321</v>
      </c>
      <c r="C88" s="13">
        <v>1094</v>
      </c>
    </row>
    <row r="89" spans="1:3" x14ac:dyDescent="0.25">
      <c r="A89" s="11" t="s">
        <v>132</v>
      </c>
      <c r="B89" s="11" t="s">
        <v>321</v>
      </c>
      <c r="C89" s="13">
        <v>1037</v>
      </c>
    </row>
    <row r="90" spans="1:3" x14ac:dyDescent="0.25">
      <c r="A90" s="11" t="s">
        <v>133</v>
      </c>
      <c r="B90" s="11" t="s">
        <v>321</v>
      </c>
      <c r="C90" s="13">
        <v>1096</v>
      </c>
    </row>
    <row r="91" spans="1:3" x14ac:dyDescent="0.25">
      <c r="A91" s="11" t="s">
        <v>134</v>
      </c>
      <c r="B91" s="11" t="s">
        <v>321</v>
      </c>
      <c r="C91" s="13">
        <v>950</v>
      </c>
    </row>
    <row r="92" spans="1:3" x14ac:dyDescent="0.25">
      <c r="A92" s="11" t="s">
        <v>135</v>
      </c>
      <c r="B92" s="11" t="s">
        <v>321</v>
      </c>
      <c r="C92" s="13">
        <v>907</v>
      </c>
    </row>
    <row r="93" spans="1:3" x14ac:dyDescent="0.25">
      <c r="A93" s="11" t="s">
        <v>136</v>
      </c>
      <c r="B93" s="11" t="s">
        <v>321</v>
      </c>
      <c r="C93" s="13">
        <v>972</v>
      </c>
    </row>
    <row r="94" spans="1:3" x14ac:dyDescent="0.25">
      <c r="A94" s="11" t="s">
        <v>137</v>
      </c>
      <c r="B94" s="11" t="s">
        <v>321</v>
      </c>
      <c r="C94" s="13">
        <v>1159</v>
      </c>
    </row>
    <row r="95" spans="1:3" x14ac:dyDescent="0.25">
      <c r="A95" s="11" t="s">
        <v>138</v>
      </c>
      <c r="B95" s="11" t="s">
        <v>321</v>
      </c>
      <c r="C95" s="13">
        <v>1237</v>
      </c>
    </row>
    <row r="96" spans="1:3" x14ac:dyDescent="0.25">
      <c r="A96" s="11" t="s">
        <v>139</v>
      </c>
      <c r="B96" s="11" t="s">
        <v>321</v>
      </c>
      <c r="C96" s="13">
        <v>1212</v>
      </c>
    </row>
    <row r="97" spans="1:3" x14ac:dyDescent="0.25">
      <c r="A97" s="11" t="s">
        <v>140</v>
      </c>
      <c r="B97" s="11" t="s">
        <v>321</v>
      </c>
      <c r="C97" s="13">
        <v>1218</v>
      </c>
    </row>
    <row r="98" spans="1:3" x14ac:dyDescent="0.25">
      <c r="A98" s="11" t="s">
        <v>141</v>
      </c>
      <c r="B98" s="11" t="s">
        <v>321</v>
      </c>
      <c r="C98" s="13">
        <v>1272</v>
      </c>
    </row>
    <row r="99" spans="1:3" x14ac:dyDescent="0.25">
      <c r="A99" s="11" t="s">
        <v>142</v>
      </c>
      <c r="B99" s="11" t="s">
        <v>321</v>
      </c>
      <c r="C99" s="13">
        <v>1304</v>
      </c>
    </row>
    <row r="100" spans="1:3" x14ac:dyDescent="0.25">
      <c r="A100" s="11" t="s">
        <v>143</v>
      </c>
      <c r="B100" s="11" t="s">
        <v>321</v>
      </c>
      <c r="C100" s="13">
        <v>1291</v>
      </c>
    </row>
    <row r="101" spans="1:3" x14ac:dyDescent="0.25">
      <c r="A101" s="11" t="s">
        <v>144</v>
      </c>
      <c r="B101" s="11" t="s">
        <v>321</v>
      </c>
      <c r="C101" s="13">
        <v>1313</v>
      </c>
    </row>
    <row r="102" spans="1:3" x14ac:dyDescent="0.25">
      <c r="A102" s="11" t="s">
        <v>145</v>
      </c>
      <c r="B102" s="11" t="s">
        <v>321</v>
      </c>
      <c r="C102" s="13">
        <v>1090</v>
      </c>
    </row>
    <row r="103" spans="1:3" x14ac:dyDescent="0.25">
      <c r="A103" s="11" t="s">
        <v>146</v>
      </c>
      <c r="B103" s="11" t="s">
        <v>321</v>
      </c>
      <c r="C103" s="13">
        <v>1030</v>
      </c>
    </row>
    <row r="104" spans="1:3" x14ac:dyDescent="0.25">
      <c r="A104" s="11" t="s">
        <v>147</v>
      </c>
      <c r="B104" s="11" t="s">
        <v>321</v>
      </c>
      <c r="C104" s="13">
        <v>968</v>
      </c>
    </row>
    <row r="105" spans="1:3" x14ac:dyDescent="0.25">
      <c r="A105" s="11" t="s">
        <v>148</v>
      </c>
      <c r="B105" s="11" t="s">
        <v>321</v>
      </c>
      <c r="C105" s="13">
        <v>1052</v>
      </c>
    </row>
    <row r="106" spans="1:3" x14ac:dyDescent="0.25">
      <c r="A106" s="11" t="s">
        <v>149</v>
      </c>
      <c r="B106" s="11" t="s">
        <v>321</v>
      </c>
      <c r="C106" s="13">
        <v>79</v>
      </c>
    </row>
    <row r="107" spans="1:3" x14ac:dyDescent="0.25">
      <c r="A107" s="11" t="s">
        <v>150</v>
      </c>
      <c r="B107" s="11" t="s">
        <v>321</v>
      </c>
      <c r="C107" s="13">
        <v>104</v>
      </c>
    </row>
    <row r="108" spans="1:3" x14ac:dyDescent="0.25">
      <c r="A108" s="11" t="s">
        <v>151</v>
      </c>
      <c r="B108" s="11" t="s">
        <v>321</v>
      </c>
      <c r="C108" s="13">
        <v>166</v>
      </c>
    </row>
    <row r="109" spans="1:3" x14ac:dyDescent="0.25">
      <c r="A109" s="11" t="s">
        <v>152</v>
      </c>
      <c r="B109" s="11" t="s">
        <v>321</v>
      </c>
      <c r="C109" s="13">
        <v>69</v>
      </c>
    </row>
    <row r="110" spans="1:3" x14ac:dyDescent="0.25">
      <c r="A110" s="11" t="s">
        <v>153</v>
      </c>
      <c r="B110" s="11" t="s">
        <v>321</v>
      </c>
      <c r="C110" s="13">
        <v>264</v>
      </c>
    </row>
    <row r="111" spans="1:3" x14ac:dyDescent="0.25">
      <c r="A111" s="11" t="s">
        <v>154</v>
      </c>
      <c r="B111" s="11" t="s">
        <v>321</v>
      </c>
      <c r="C111" s="13">
        <v>627</v>
      </c>
    </row>
    <row r="112" spans="1:3" x14ac:dyDescent="0.25">
      <c r="A112" s="11" t="s">
        <v>155</v>
      </c>
      <c r="B112" s="11" t="s">
        <v>321</v>
      </c>
      <c r="C112" s="13">
        <v>413</v>
      </c>
    </row>
  </sheetData>
  <pageMargins left="0.7" right="0.7" top="0.75" bottom="0.75" header="0.3" footer="0.3"/>
  <pageSetup paperSize="9" orientation="portrait" horizontalDpi="300" verticalDpi="30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etadata xmlns="http://www.objective.com/ecm/document/metadata/53D26341A57B383EE0540010E0463CCA" version="1.0.0">
  <systemFields>
    <field name="Objective-Id">
      <value order="0">A53616511</value>
    </field>
    <field name="Objective-Title">
      <value order="0">NRS  - Birth Time series - Final workbook</value>
    </field>
    <field name="Objective-Description">
      <value order="0"/>
    </field>
    <field name="Objective-CreationStamp">
      <value order="0">2025-07-24T10:55:34Z</value>
    </field>
    <field name="Objective-IsApproved">
      <value order="0">false</value>
    </field>
    <field name="Objective-IsPublished">
      <value order="0">false</value>
    </field>
    <field name="Objective-DatePublished">
      <value order="0"/>
    </field>
    <field name="Objective-ModificationStamp">
      <value order="0">2025-08-21T12:06:49Z</value>
    </field>
    <field name="Objective-Owner">
      <value order="0">Gordon, Ellie E  (U456872)</value>
    </field>
    <field name="Objective-Path">
      <value order="0">Objective Global Folder:SG File Plan:People, communities and living:Population and migration:Demography:Research and analysis: Demography:National Records of Scotland (NRS): Vital Events: Publication: Vital Events Reference Tables: (2024): 2025-2030</value>
    </field>
    <field name="Objective-Parent">
      <value order="0">National Records of Scotland (NRS): Vital Events: Publication: Vital Events Reference Tables: (2024): 2025-2030</value>
    </field>
    <field name="Objective-State">
      <value order="0">Being Drafted</value>
    </field>
    <field name="Objective-VersionId">
      <value order="0">vA81435044</value>
    </field>
    <field name="Objective-Version">
      <value order="0">1.3</value>
    </field>
    <field name="Objective-VersionNumber">
      <value order="0">4</value>
    </field>
    <field name="Objective-VersionComment">
      <value order="0"/>
    </field>
    <field name="Objective-FileNumber">
      <value order="0">STAT/769</value>
    </field>
    <field name="Objective-Classification">
      <value order="0">OFFICIAL-SENSITIVE</value>
    </field>
    <field name="Objective-Caveats">
      <value order="0">Caveat for access to SG Fileplan</value>
    </field>
  </systemFields>
  <catalogues>
    <catalogue name="Document Type Catalogue" type="type" ori="id:cA35">
      <field name="Objective-Date of Original">
        <value order="0"/>
      </field>
      <field name="Objective-Date Received">
        <value order="0"/>
      </field>
      <field name="Objective-SG Web Publication - Category">
        <value order="0"/>
      </field>
      <field name="Objective-SG Web Publication - Category 2 Classification">
        <value order="0"/>
      </field>
      <field name="Objective-Connect Creator">
        <value order="0"/>
      </field>
      <field name="Objective-Required Redaction">
        <value order="0"/>
      </field>
      <field name="Objective-Shared By">
        <value order="0"/>
      </field>
      <field name="Objective-Access Conditions">
        <value order="0"/>
      </field>
      <field name="Objective-Access Status">
        <value order="0"/>
      </field>
      <field name="Objective-Date Open From">
        <value order="0"/>
      </field>
    </catalogue>
  </catalogues>
</metadata>
</file>

<file path=customXml/itemProps1.xml><?xml version="1.0" encoding="utf-8"?>
<ds:datastoreItem xmlns:ds="http://schemas.openxmlformats.org/officeDocument/2006/customXml" ds:itemID="{5745109E-2DDF-40CB-AC2B-FF9B10C90820}">
  <ds:schemaRefs>
    <ds:schemaRef ds:uri="http://www.objective.com/ecm/document/metadata/53D26341A57B383EE0540010E0463CC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Cover</vt:lpstr>
      <vt:lpstr>Contents</vt:lpstr>
      <vt:lpstr>Notes</vt:lpstr>
      <vt:lpstr>Table_1</vt:lpstr>
      <vt:lpstr>Table_2</vt:lpstr>
      <vt:lpstr>Table_3</vt:lpstr>
      <vt:lpstr>Number of births by sex, year a</vt:lpstr>
      <vt:lpstr>Table_5</vt:lpstr>
      <vt:lpstr>Number of births by council are</vt:lpstr>
      <vt:lpstr>Table_7</vt:lpstr>
      <vt:lpstr>Table_8</vt:lpstr>
      <vt:lpstr>Table_9</vt:lpstr>
      <vt:lpstr>Table_10</vt:lpstr>
      <vt:lpstr>Table_11</vt:lpstr>
      <vt:lpstr>Table_12</vt:lpstr>
      <vt:lpstr>Table_13</vt:lpstr>
      <vt:lpstr>Table_14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Rohan Thube</cp:lastModifiedBy>
  <dcterms:created xsi:type="dcterms:W3CDTF">2025-07-24T08:49:21Z</dcterms:created>
  <dcterms:modified xsi:type="dcterms:W3CDTF">2025-11-20T19:20:35Z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A53616511</vt:lpwstr>
  </property>
  <property fmtid="{D5CDD505-2E9C-101B-9397-08002B2CF9AE}" pid="4" name="Objective-Title">
    <vt:lpwstr>NRS  - Birth Time series - Final workbook</vt:lpwstr>
  </property>
  <property fmtid="{D5CDD505-2E9C-101B-9397-08002B2CF9AE}" pid="5" name="Objective-Description">
    <vt:lpwstr/>
  </property>
  <property fmtid="{D5CDD505-2E9C-101B-9397-08002B2CF9AE}" pid="6" name="Objective-CreationStamp">
    <vt:filetime>2025-07-24T10:55:34Z</vt:filetime>
  </property>
  <property fmtid="{D5CDD505-2E9C-101B-9397-08002B2CF9AE}" pid="7" name="Objective-IsApproved">
    <vt:bool>false</vt:bool>
  </property>
  <property fmtid="{D5CDD505-2E9C-101B-9397-08002B2CF9AE}" pid="8" name="Objective-IsPublished">
    <vt:bool>false</vt:bool>
  </property>
  <property fmtid="{D5CDD505-2E9C-101B-9397-08002B2CF9AE}" pid="9" name="Objective-DatePublished">
    <vt:lpwstr/>
  </property>
  <property fmtid="{D5CDD505-2E9C-101B-9397-08002B2CF9AE}" pid="10" name="Objective-ModificationStamp">
    <vt:filetime>2025-08-21T12:06:49Z</vt:filetime>
  </property>
  <property fmtid="{D5CDD505-2E9C-101B-9397-08002B2CF9AE}" pid="11" name="Objective-Owner">
    <vt:lpwstr>Gordon, Ellie E  (U456872)</vt:lpwstr>
  </property>
  <property fmtid="{D5CDD505-2E9C-101B-9397-08002B2CF9AE}" pid="12" name="Objective-Path">
    <vt:lpwstr>Objective Global Folder:SG File Plan:People, communities and living:Population and migration:Demography:Research and analysis: Demography:National Records of Scotland (NRS): Vital Events: Publication: Vital Events Reference Tables: (2024): 2025-2030</vt:lpwstr>
  </property>
  <property fmtid="{D5CDD505-2E9C-101B-9397-08002B2CF9AE}" pid="13" name="Objective-Parent">
    <vt:lpwstr>National Records of Scotland (NRS): Vital Events: Publication: Vital Events Reference Tables: (2024): 2025-2030</vt:lpwstr>
  </property>
  <property fmtid="{D5CDD505-2E9C-101B-9397-08002B2CF9AE}" pid="14" name="Objective-State">
    <vt:lpwstr>Being Drafted</vt:lpwstr>
  </property>
  <property fmtid="{D5CDD505-2E9C-101B-9397-08002B2CF9AE}" pid="15" name="Objective-VersionId">
    <vt:lpwstr>vA81435044</vt:lpwstr>
  </property>
  <property fmtid="{D5CDD505-2E9C-101B-9397-08002B2CF9AE}" pid="16" name="Objective-Version">
    <vt:lpwstr>1.3</vt:lpwstr>
  </property>
  <property fmtid="{D5CDD505-2E9C-101B-9397-08002B2CF9AE}" pid="17" name="Objective-VersionNumber">
    <vt:r8>4</vt:r8>
  </property>
  <property fmtid="{D5CDD505-2E9C-101B-9397-08002B2CF9AE}" pid="18" name="Objective-VersionComment">
    <vt:lpwstr/>
  </property>
  <property fmtid="{D5CDD505-2E9C-101B-9397-08002B2CF9AE}" pid="19" name="Objective-FileNumber">
    <vt:lpwstr>STAT/769</vt:lpwstr>
  </property>
  <property fmtid="{D5CDD505-2E9C-101B-9397-08002B2CF9AE}" pid="20" name="Objective-Classification">
    <vt:lpwstr>OFFICIAL-SENSITIVE</vt:lpwstr>
  </property>
  <property fmtid="{D5CDD505-2E9C-101B-9397-08002B2CF9AE}" pid="21" name="Objective-Caveats">
    <vt:lpwstr>Caveat for access to SG Fileplan</vt:lpwstr>
  </property>
  <property fmtid="{D5CDD505-2E9C-101B-9397-08002B2CF9AE}" pid="22" name="Objective-Date of Original">
    <vt:lpwstr/>
  </property>
  <property fmtid="{D5CDD505-2E9C-101B-9397-08002B2CF9AE}" pid="23" name="Objective-Date Received">
    <vt:lpwstr/>
  </property>
  <property fmtid="{D5CDD505-2E9C-101B-9397-08002B2CF9AE}" pid="24" name="Objective-SG Web Publication - Category">
    <vt:lpwstr/>
  </property>
  <property fmtid="{D5CDD505-2E9C-101B-9397-08002B2CF9AE}" pid="25" name="Objective-SG Web Publication - Category 2 Classification">
    <vt:lpwstr/>
  </property>
  <property fmtid="{D5CDD505-2E9C-101B-9397-08002B2CF9AE}" pid="26" name="Objective-Connect Creator">
    <vt:lpwstr/>
  </property>
  <property fmtid="{D5CDD505-2E9C-101B-9397-08002B2CF9AE}" pid="27" name="Objective-Required Redaction">
    <vt:lpwstr/>
  </property>
  <property fmtid="{D5CDD505-2E9C-101B-9397-08002B2CF9AE}" pid="28" name="Objective-Shared By">
    <vt:lpwstr/>
  </property>
  <property fmtid="{D5CDD505-2E9C-101B-9397-08002B2CF9AE}" pid="29" name="Objective-Access Conditions">
    <vt:lpwstr/>
  </property>
  <property fmtid="{D5CDD505-2E9C-101B-9397-08002B2CF9AE}" pid="30" name="Objective-Access Status">
    <vt:lpwstr/>
  </property>
  <property fmtid="{D5CDD505-2E9C-101B-9397-08002B2CF9AE}" pid="31" name="Objective-Date Open From">
    <vt:lpwstr/>
  </property>
</Properties>
</file>